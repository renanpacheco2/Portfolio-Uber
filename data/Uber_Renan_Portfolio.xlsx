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idas" sheetId="1" state="visible" r:id="rId3"/>
    <sheet name="Localidade" sheetId="2" state="visible" r:id="rId4"/>
    <sheet name="Valor_Viagem" sheetId="3" state="visible" r:id="rId5"/>
    <sheet name="Aplicativos" sheetId="4" state="visible" r:id="rId6"/>
    <sheet name="Motoristas" sheetId="5" state="visible" r:id="rId7"/>
    <sheet name="Carros" sheetId="6" state="visible" r:id="rId8"/>
    <sheet name="Tipo de Pagamento" sheetId="7" state="visible" r:id="rId9"/>
    <sheet name="Gastos" sheetId="8" state="hidden" r:id="rId10"/>
    <sheet name="Manutenção" sheetId="9" state="hidden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<sst xmlns="http://schemas.openxmlformats.org/spreadsheetml/2006/main" count="2407" uniqueCount="197">
  <si>
    <t xml:space="preserve">ID_viagem</t>
  </si>
  <si>
    <t xml:space="preserve">Data</t>
  </si>
  <si>
    <t xml:space="preserve">Dia_da_Semana</t>
  </si>
  <si>
    <t xml:space="preserve">Horário</t>
  </si>
  <si>
    <t xml:space="preserve">ID_local</t>
  </si>
  <si>
    <t xml:space="preserve">ID_valor</t>
  </si>
  <si>
    <t xml:space="preserve">ID_Pagamento</t>
  </si>
  <si>
    <t xml:space="preserve">ID_Carro</t>
  </si>
  <si>
    <t xml:space="preserve">ID_Motorista</t>
  </si>
  <si>
    <t xml:space="preserve">ID_Aplicativo</t>
  </si>
  <si>
    <t xml:space="preserve">Duração_min</t>
  </si>
  <si>
    <t xml:space="preserve">Municipio_Embarque</t>
  </si>
  <si>
    <t xml:space="preserve">Bairro_Embarque</t>
  </si>
  <si>
    <t xml:space="preserve">Municipio_Desembarque</t>
  </si>
  <si>
    <t xml:space="preserve">Bairro_Desembarque</t>
  </si>
  <si>
    <t xml:space="preserve">Distância(KM)</t>
  </si>
  <si>
    <t xml:space="preserve">São Gonçalo</t>
  </si>
  <si>
    <t xml:space="preserve">Raul Veiga</t>
  </si>
  <si>
    <t xml:space="preserve">Arsenal</t>
  </si>
  <si>
    <t xml:space="preserve">Colubande</t>
  </si>
  <si>
    <t xml:space="preserve">Fonseca </t>
  </si>
  <si>
    <t xml:space="preserve">Niterói</t>
  </si>
  <si>
    <t xml:space="preserve">Barreto</t>
  </si>
  <si>
    <t xml:space="preserve">Santana</t>
  </si>
  <si>
    <t xml:space="preserve">Neves</t>
  </si>
  <si>
    <t xml:space="preserve">Bairro Jardim California</t>
  </si>
  <si>
    <t xml:space="preserve">Mutuá</t>
  </si>
  <si>
    <t xml:space="preserve">Centro</t>
  </si>
  <si>
    <t xml:space="preserve">Rocha</t>
  </si>
  <si>
    <t xml:space="preserve">Trindade</t>
  </si>
  <si>
    <t xml:space="preserve">Alcantara</t>
  </si>
  <si>
    <t xml:space="preserve">Mutondo</t>
  </si>
  <si>
    <t xml:space="preserve">Pião</t>
  </si>
  <si>
    <t xml:space="preserve">Boa Vista</t>
  </si>
  <si>
    <t xml:space="preserve">Tribobó</t>
  </si>
  <si>
    <t xml:space="preserve">Laranjal</t>
  </si>
  <si>
    <t xml:space="preserve">CANCELADO</t>
  </si>
  <si>
    <t xml:space="preserve">Coelho</t>
  </si>
  <si>
    <t xml:space="preserve">Brasilandia</t>
  </si>
  <si>
    <t xml:space="preserve">Zé Garoto</t>
  </si>
  <si>
    <t xml:space="preserve">Pita</t>
  </si>
  <si>
    <t xml:space="preserve">Porto Novo</t>
  </si>
  <si>
    <t xml:space="preserve">Galo Branco</t>
  </si>
  <si>
    <t xml:space="preserve">Jóquei</t>
  </si>
  <si>
    <t xml:space="preserve">Engenhoca</t>
  </si>
  <si>
    <t xml:space="preserve">São Domingos</t>
  </si>
  <si>
    <t xml:space="preserve">Porto da Madama</t>
  </si>
  <si>
    <t xml:space="preserve">Porto Velho</t>
  </si>
  <si>
    <t xml:space="preserve">Paraíso</t>
  </si>
  <si>
    <t xml:space="preserve">Porto do Rosa</t>
  </si>
  <si>
    <t xml:space="preserve">Portão do Rosa</t>
  </si>
  <si>
    <t xml:space="preserve">Covanca</t>
  </si>
  <si>
    <t xml:space="preserve">Santa Catarina</t>
  </si>
  <si>
    <t xml:space="preserve">Monjolos</t>
  </si>
  <si>
    <t xml:space="preserve">Charitas</t>
  </si>
  <si>
    <t xml:space="preserve">Icaraí</t>
  </si>
  <si>
    <t xml:space="preserve">Boaçu</t>
  </si>
  <si>
    <t xml:space="preserve">Vila Tres</t>
  </si>
  <si>
    <t xml:space="preserve">São Lourenço</t>
  </si>
  <si>
    <t xml:space="preserve">Mutuaguaçu</t>
  </si>
  <si>
    <t xml:space="preserve">Rio de Janeiro</t>
  </si>
  <si>
    <t xml:space="preserve">Pé Pequeno</t>
  </si>
  <si>
    <t xml:space="preserve">Santa Rosa</t>
  </si>
  <si>
    <t xml:space="preserve">Cubango</t>
  </si>
  <si>
    <t xml:space="preserve">Fonseca</t>
  </si>
  <si>
    <t xml:space="preserve">Santa Bárbara</t>
  </si>
  <si>
    <t xml:space="preserve">Morro do Estado</t>
  </si>
  <si>
    <t xml:space="preserve">Rio do Ouro</t>
  </si>
  <si>
    <t xml:space="preserve">Maria Paula</t>
  </si>
  <si>
    <t xml:space="preserve">Pendotiba</t>
  </si>
  <si>
    <t xml:space="preserve">Cantagalo</t>
  </si>
  <si>
    <t xml:space="preserve">Sape</t>
  </si>
  <si>
    <t xml:space="preserve">Itaboraí</t>
  </si>
  <si>
    <t xml:space="preserve">Manilha</t>
  </si>
  <si>
    <t xml:space="preserve">Itambi</t>
  </si>
  <si>
    <t xml:space="preserve">Estrela do Norte</t>
  </si>
  <si>
    <t xml:space="preserve">Ingá</t>
  </si>
  <si>
    <t xml:space="preserve">Miriambi</t>
  </si>
  <si>
    <t xml:space="preserve">Amendoeira</t>
  </si>
  <si>
    <t xml:space="preserve">Vista Alegre</t>
  </si>
  <si>
    <t xml:space="preserve">São Miguel</t>
  </si>
  <si>
    <t xml:space="preserve">Vila Lage</t>
  </si>
  <si>
    <t xml:space="preserve">Pacheco</t>
  </si>
  <si>
    <t xml:space="preserve">Vital Brasil</t>
  </si>
  <si>
    <t xml:space="preserve">Itaúna</t>
  </si>
  <si>
    <t xml:space="preserve">Jardim Nova Republica</t>
  </si>
  <si>
    <t xml:space="preserve">Engenho Pequeno</t>
  </si>
  <si>
    <t xml:space="preserve">Caramujo</t>
  </si>
  <si>
    <t xml:space="preserve">Tres Pontes</t>
  </si>
  <si>
    <t xml:space="preserve">Retiro São Joaquim</t>
  </si>
  <si>
    <t xml:space="preserve">Maricá</t>
  </si>
  <si>
    <t xml:space="preserve">Itaipuaçu</t>
  </si>
  <si>
    <t xml:space="preserve">Inoã</t>
  </si>
  <si>
    <t xml:space="preserve">Barro Vermelho</t>
  </si>
  <si>
    <t xml:space="preserve">Almerinda</t>
  </si>
  <si>
    <t xml:space="preserve">Jardim Fluminense</t>
  </si>
  <si>
    <t xml:space="preserve">Lagoinha</t>
  </si>
  <si>
    <t xml:space="preserve">Ponta da Armação</t>
  </si>
  <si>
    <t xml:space="preserve">São Francisco</t>
  </si>
  <si>
    <t xml:space="preserve">Lindo Parque</t>
  </si>
  <si>
    <t xml:space="preserve">Retiro</t>
  </si>
  <si>
    <t xml:space="preserve">Santo Expedito</t>
  </si>
  <si>
    <t xml:space="preserve">Nancilandia</t>
  </si>
  <si>
    <t xml:space="preserve">Gebara</t>
  </si>
  <si>
    <t xml:space="preserve">Piratininga</t>
  </si>
  <si>
    <t xml:space="preserve">Marambaia</t>
  </si>
  <si>
    <t xml:space="preserve">Jardim Catarina</t>
  </si>
  <si>
    <t xml:space="preserve">Camarão</t>
  </si>
  <si>
    <t xml:space="preserve">Porto da Pedra</t>
  </si>
  <si>
    <t xml:space="preserve">Baldeador</t>
  </si>
  <si>
    <t xml:space="preserve">Gradim</t>
  </si>
  <si>
    <t xml:space="preserve">Patronato</t>
  </si>
  <si>
    <t xml:space="preserve">Jardim Califórnia</t>
  </si>
  <si>
    <t xml:space="preserve">Santa Luzia</t>
  </si>
  <si>
    <t xml:space="preserve">Parada 40</t>
  </si>
  <si>
    <t xml:space="preserve">Largo do Barradas</t>
  </si>
  <si>
    <t xml:space="preserve">Desconhecido</t>
  </si>
  <si>
    <t xml:space="preserve">Venda da Cruz</t>
  </si>
  <si>
    <t xml:space="preserve">Sete Pontes</t>
  </si>
  <si>
    <t xml:space="preserve">Morro do Castro</t>
  </si>
  <si>
    <t xml:space="preserve">Antonina</t>
  </si>
  <si>
    <t xml:space="preserve">Serra Grande</t>
  </si>
  <si>
    <t xml:space="preserve">Engenho do Mato</t>
  </si>
  <si>
    <t xml:space="preserve">Arrastão</t>
  </si>
  <si>
    <t xml:space="preserve">Nova Cidade</t>
  </si>
  <si>
    <t xml:space="preserve">Apolo II</t>
  </si>
  <si>
    <t xml:space="preserve">Cabuçu(Centro)</t>
  </si>
  <si>
    <t xml:space="preserve">Jurujuba</t>
  </si>
  <si>
    <t xml:space="preserve">Parque Nanci</t>
  </si>
  <si>
    <t xml:space="preserve">São José de Imbassaí</t>
  </si>
  <si>
    <t xml:space="preserve">Vila Yara</t>
  </si>
  <si>
    <t xml:space="preserve">Nova Grécia</t>
  </si>
  <si>
    <t xml:space="preserve">Viçoso Jardim</t>
  </si>
  <si>
    <t xml:space="preserve">Ilha da Conceição</t>
  </si>
  <si>
    <t xml:space="preserve">Itaipu</t>
  </si>
  <si>
    <t xml:space="preserve">Ilha das Flores</t>
  </si>
  <si>
    <t xml:space="preserve">Vila Gabriela</t>
  </si>
  <si>
    <t xml:space="preserve">Bairro de Fátima</t>
  </si>
  <si>
    <t xml:space="preserve">Largo da Batalha</t>
  </si>
  <si>
    <t xml:space="preserve">Vila Progresso</t>
  </si>
  <si>
    <t xml:space="preserve">Luiz Caçador</t>
  </si>
  <si>
    <t xml:space="preserve">Tenente Jardim</t>
  </si>
  <si>
    <t xml:space="preserve">Fátima</t>
  </si>
  <si>
    <t xml:space="preserve">Ipiiba</t>
  </si>
  <si>
    <t xml:space="preserve">Sapê</t>
  </si>
  <si>
    <t xml:space="preserve">Preço_Dinamico</t>
  </si>
  <si>
    <t xml:space="preserve">Turbo+</t>
  </si>
  <si>
    <t xml:space="preserve">PG_Motorista</t>
  </si>
  <si>
    <t xml:space="preserve">PG_Usuario</t>
  </si>
  <si>
    <t xml:space="preserve">Promo_Usuario</t>
  </si>
  <si>
    <t xml:space="preserve">DSC_Uber</t>
  </si>
  <si>
    <t xml:space="preserve">%_Pago_Uber</t>
  </si>
  <si>
    <t xml:space="preserve">ID</t>
  </si>
  <si>
    <t xml:space="preserve">Nome</t>
  </si>
  <si>
    <t xml:space="preserve">Uber</t>
  </si>
  <si>
    <t xml:space="preserve">Indriver</t>
  </si>
  <si>
    <t xml:space="preserve">Particular</t>
  </si>
  <si>
    <t xml:space="preserve">Idade</t>
  </si>
  <si>
    <t xml:space="preserve">1</t>
  </si>
  <si>
    <t xml:space="preserve">Renan</t>
  </si>
  <si>
    <t xml:space="preserve">Ano</t>
  </si>
  <si>
    <t xml:space="preserve">Modelo</t>
  </si>
  <si>
    <t xml:space="preserve">Marca</t>
  </si>
  <si>
    <t xml:space="preserve">Rendimento_Etanol(km/L)</t>
  </si>
  <si>
    <t xml:space="preserve">Rendimento_Gasolina(km/L)</t>
  </si>
  <si>
    <t xml:space="preserve">Abastecimento</t>
  </si>
  <si>
    <t xml:space="preserve">KA SE</t>
  </si>
  <si>
    <t xml:space="preserve">Ford</t>
  </si>
  <si>
    <t xml:space="preserve">Flex</t>
  </si>
  <si>
    <t xml:space="preserve">Tipo</t>
  </si>
  <si>
    <t xml:space="preserve">Dinheiro</t>
  </si>
  <si>
    <t xml:space="preserve">Cartão</t>
  </si>
  <si>
    <t xml:space="preserve">Ajuste</t>
  </si>
  <si>
    <t xml:space="preserve">Cancelamento</t>
  </si>
  <si>
    <t xml:space="preserve">Missão</t>
  </si>
  <si>
    <t xml:space="preserve">Dia da Semana</t>
  </si>
  <si>
    <t xml:space="preserve">Combustivel(R$)</t>
  </si>
  <si>
    <t xml:space="preserve">Combustível(Tipo)</t>
  </si>
  <si>
    <t xml:space="preserve">Abastecido(R$)</t>
  </si>
  <si>
    <t xml:space="preserve">Abastencido(L)</t>
  </si>
  <si>
    <t xml:space="preserve">Pedágio(R$)</t>
  </si>
  <si>
    <t xml:space="preserve">Estacionamento(R$)</t>
  </si>
  <si>
    <t xml:space="preserve">Alimentação(R$)</t>
  </si>
  <si>
    <t xml:space="preserve">Lavagem(R$)</t>
  </si>
  <si>
    <t xml:space="preserve">Etanol</t>
  </si>
  <si>
    <t xml:space="preserve">Manutenção</t>
  </si>
  <si>
    <t xml:space="preserve">Manutenção(R$)</t>
  </si>
  <si>
    <t xml:space="preserve">Mangueira do Radiador</t>
  </si>
  <si>
    <t xml:space="preserve">Troca de Óleo e Filtro</t>
  </si>
  <si>
    <t xml:space="preserve">Tampa do Radiador</t>
  </si>
  <si>
    <t xml:space="preserve">3 velas</t>
  </si>
  <si>
    <t xml:space="preserve">Borboleta ( Tbi )</t>
  </si>
  <si>
    <t xml:space="preserve">Filtro de Combustível</t>
  </si>
  <si>
    <t xml:space="preserve">Calço Inferior Motor</t>
  </si>
  <si>
    <t xml:space="preserve">Calço Lado Direito Motor</t>
  </si>
  <si>
    <t xml:space="preserve">Kit Suspensão</t>
  </si>
  <si>
    <t xml:space="preserve">Pneu Meia Vida ( 2x 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</si>
</sst>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"/>
    <numFmt numFmtId="166" formatCode="@"/>
    <numFmt numFmtId="167" formatCode="0.00"/>
    <numFmt numFmtId="168" formatCode="#,##0.00"/>
    <numFmt numFmtId="169" formatCode="hh:mm:ss"/>
    <numFmt numFmtId="170" formatCode="#,##0"/>
    <numFmt numFmtId="171" formatCode="dddd&quot;, &quot;d&quot; de &quot;mmmm&quot; de &quot;yyyy"/>
    <numFmt numFmtId="172" formatCode="[$R$ -416]#,##0.00"/>
    <numFmt numFmtId="173" formatCode="0.00%"/>
    <numFmt numFmtId="174" formatCode="dd/mm"/>
    <numFmt numFmtId="175" formatCode="[$R$-416]\ #,##0.00;[RED]\-[$R$-416]\ #,##0.00"/>
    <numFmt numFmtId="176" formatCode="dd/mm/yy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4B4B4B"/>
      <name val="Times New Roman"/>
      <family val="1"/>
      <charset val="1"/>
    </font>
    <font>
      <sz val="11"/>
      <color theme="1"/>
      <name val="Arial"/>
      <family val="0"/>
      <charset val="1"/>
    </font>
    <font>
      <sz val="11"/>
      <color rgb="FF1F1F1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B4B4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4B4B4B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rridas" displayName="Corridas" ref="A1:K644" headerRowCount="1" totalsRowCount="0" totalsRowShown="0">
  <tableColumns count="11">
    <tableColumn id="1" name="ID_viagem"/>
    <tableColumn id="2" name="Data"/>
    <tableColumn id="3" name="Dia_da_Semana"/>
    <tableColumn id="4" name="Horário"/>
    <tableColumn id="5" name="ID_local"/>
    <tableColumn id="6" name="ID_valor"/>
    <tableColumn id="7" name="ID_Pagamento"/>
    <tableColumn id="8" name="ID_Carro"/>
    <tableColumn id="9" name="ID_Motorista"/>
    <tableColumn id="10" name="ID_Aplicativo"/>
    <tableColumn id="11" name="Duração_min"/>
  </tableColumns>
</table>
</file>

<file path=xl/tables/table2.xml><?xml version="1.0" encoding="utf-8"?>
<table xmlns="http://schemas.openxmlformats.org/spreadsheetml/2006/main" id="2" name="Gastos" displayName="Gastos" ref="B2:K124" headerRowCount="1" totalsRowCount="0" totalsRowShown="0">
  <tableColumns count="10">
    <tableColumn id="1" name="Data"/>
    <tableColumn id="2" name="Dia da Semana"/>
    <tableColumn id="3" name="Combustivel(R$)"/>
    <tableColumn id="4" name="Combustível(Tipo)"/>
    <tableColumn id="5" name="Abastecido(R$)"/>
    <tableColumn id="6" name="Abastencido(L)"/>
    <tableColumn id="7" name="Pedágio(R$)"/>
    <tableColumn id="8" name="Estacionamento(R$)"/>
    <tableColumn id="9" name="Alimentação(R$)"/>
    <tableColumn id="10" name="Lavagem(R$)"/>
  </tableColumns>
</table>
</file>

<file path=xl/tables/table3.xml><?xml version="1.0" encoding="utf-8"?>
<table xmlns="http://schemas.openxmlformats.org/spreadsheetml/2006/main" id="3" name="Local" displayName="Local" ref="A1:F540" headerRowCount="1" totalsRowCount="0" totalsRowShown="0">
  <tableColumns count="6">
    <tableColumn id="1" name="ID_local"/>
    <tableColumn id="2" name="Municipio_Embarque"/>
    <tableColumn id="3" name="Bairro_Embarque"/>
    <tableColumn id="4" name="Municipio_Desembarque"/>
    <tableColumn id="5" name="Bairro_Desembarque"/>
    <tableColumn id="6" name="Distância(KM)"/>
  </tableColumns>
</table>
</file>

<file path=xl/tables/table4.xml><?xml version="1.0" encoding="utf-8"?>
<table xmlns="http://schemas.openxmlformats.org/spreadsheetml/2006/main" id="4" name="Pagamentos" displayName="Pagamentos" ref="A1:I486" headerRowCount="1" totalsRowCount="0" totalsRowShown="0">
  <tableColumns count="9">
    <tableColumn id="1" name="ID_valor"/>
    <tableColumn id="2" name="Data"/>
    <tableColumn id="3" name="Preço_Dinamico"/>
    <tableColumn id="4" name="Turbo+"/>
    <tableColumn id="5" name="PG_Motorista"/>
    <tableColumn id="6" name="PG_Usuario"/>
    <tableColumn id="7" name="Promo_Usuario"/>
    <tableColumn id="8" name="DSC_Uber"/>
    <tableColumn id="9" name="%_Pago_Uber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63" activePane="bottomLeft" state="frozen"/>
      <selection pane="topLeft" activeCell="A1" activeCellId="0" sqref="A1"/>
      <selection pane="bottomLeft" activeCell="D2" activeCellId="0" sqref="D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2" width="11.58"/>
    <col collapsed="false" customWidth="true" hidden="false" outlineLevel="0" max="3" min="3" style="1" width="16.58"/>
    <col collapsed="false" customWidth="true" hidden="false" outlineLevel="0" max="4" min="4" style="1" width="9.36"/>
    <col collapsed="false" customWidth="true" hidden="false" outlineLevel="0" max="7" min="5" style="1" width="14.52"/>
    <col collapsed="false" customWidth="true" hidden="false" outlineLevel="0" max="8" min="8" style="1" width="9.79"/>
    <col collapsed="false" customWidth="true" hidden="false" outlineLevel="0" max="9" min="9" style="1" width="13.12"/>
    <col collapsed="false" customWidth="true" hidden="false" outlineLevel="0" max="10" min="10" style="1" width="13.95"/>
    <col collapsed="false" customWidth="true" hidden="false" outlineLevel="0" max="11" min="11" style="1" width="17.43"/>
    <col collapsed="false" customWidth="false" hidden="false" outlineLevel="0" max="12" min="12" style="1" width="12.63"/>
    <col collapsed="false" customWidth="true" hidden="false" outlineLevel="0" max="13" min="13" style="1" width="16.89"/>
    <col collapsed="false" customWidth="true" hidden="false" outlineLevel="0" max="14" min="14" style="1" width="14.75"/>
    <col collapsed="false" customWidth="true" hidden="false" outlineLevel="0" max="15" min="15" style="1" width="19.63"/>
    <col collapsed="false" customWidth="true" hidden="false" outlineLevel="0" max="16" min="16" style="1" width="17"/>
    <col collapsed="false" customWidth="false" hidden="false" outlineLevel="0" max="22" min="17" style="1" width="12.63"/>
    <col collapsed="false" customWidth="true" hidden="false" outlineLevel="0" max="23" min="23" style="1" width="23.13"/>
    <col collapsed="false" customWidth="true" hidden="false" outlineLevel="0" max="24" min="24" style="1" width="13.75"/>
    <col collapsed="false" customWidth="false" hidden="false" outlineLevel="0" max="25" min="25" style="1" width="12.63"/>
    <col collapsed="false" customWidth="true" hidden="false" outlineLevel="0" max="26" min="26" style="1" width="10.75"/>
    <col collapsed="false" customWidth="false" hidden="false" outlineLevel="0" max="16384" min="27" style="1" width="12.63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/>
      <c r="N1" s="7"/>
      <c r="O1" s="7"/>
      <c r="P1" s="7"/>
      <c r="Q1" s="8"/>
      <c r="Z1" s="9"/>
    </row>
    <row r="2" customFormat="false" ht="15.75" hidden="false" customHeight="false" outlineLevel="0" collapsed="false">
      <c r="A2" s="3" t="n">
        <v>1</v>
      </c>
      <c r="B2" s="4" t="n">
        <v>45506</v>
      </c>
      <c r="C2" s="10" t="str">
        <f aca="false">PROPER(TEXT(WEEKDAY(B2),"dddd"))</f>
        <v>Sexta-Feira</v>
      </c>
      <c r="D2" s="11" t="n">
        <v>0.195138888888889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6" t="n">
        <v>11.5</v>
      </c>
      <c r="L2" s="7"/>
      <c r="N2" s="7"/>
      <c r="O2" s="7"/>
      <c r="P2" s="7"/>
      <c r="Q2" s="8"/>
      <c r="Z2" s="12"/>
    </row>
    <row r="3" customFormat="false" ht="15.75" hidden="false" customHeight="false" outlineLevel="0" collapsed="false">
      <c r="A3" s="3" t="n">
        <v>2</v>
      </c>
      <c r="B3" s="4" t="n">
        <v>45506</v>
      </c>
      <c r="C3" s="10" t="str">
        <f aca="false">PROPER(TEXT(WEEKDAY(B3),"dddd"))</f>
        <v>Sexta-Feira</v>
      </c>
      <c r="D3" s="13" t="n">
        <v>0.211805555555556</v>
      </c>
      <c r="E3" s="3" t="n">
        <v>2</v>
      </c>
      <c r="F3" s="3" t="n">
        <v>2</v>
      </c>
      <c r="G3" s="3" t="n">
        <v>1</v>
      </c>
      <c r="H3" s="3" t="n">
        <v>1</v>
      </c>
      <c r="I3" s="3" t="n">
        <v>1</v>
      </c>
      <c r="J3" s="3" t="n">
        <v>1</v>
      </c>
      <c r="K3" s="6" t="n">
        <v>17.6</v>
      </c>
      <c r="L3" s="7"/>
      <c r="M3" s="7"/>
      <c r="N3" s="7"/>
      <c r="O3" s="7"/>
      <c r="P3" s="7"/>
      <c r="Q3" s="8"/>
      <c r="Z3" s="9"/>
    </row>
    <row r="4" customFormat="false" ht="15.75" hidden="false" customHeight="false" outlineLevel="0" collapsed="false">
      <c r="A4" s="3" t="n">
        <v>3</v>
      </c>
      <c r="B4" s="4" t="n">
        <v>45506</v>
      </c>
      <c r="C4" s="10" t="str">
        <f aca="false">PROPER(TEXT(WEEKDAY(B4),"dddd"))</f>
        <v>Sexta-Feira</v>
      </c>
      <c r="D4" s="13" t="n">
        <v>0.256944444444444</v>
      </c>
      <c r="E4" s="3" t="n">
        <v>3</v>
      </c>
      <c r="F4" s="3" t="n">
        <v>3</v>
      </c>
      <c r="G4" s="3" t="n">
        <v>1</v>
      </c>
      <c r="H4" s="3" t="n">
        <v>1</v>
      </c>
      <c r="I4" s="3" t="n">
        <v>1</v>
      </c>
      <c r="J4" s="3" t="n">
        <v>1</v>
      </c>
      <c r="K4" s="6" t="n">
        <v>9.3</v>
      </c>
      <c r="L4" s="7"/>
      <c r="M4" s="7"/>
      <c r="N4" s="7"/>
      <c r="O4" s="7"/>
      <c r="P4" s="7"/>
      <c r="Q4" s="8"/>
      <c r="Z4" s="9"/>
    </row>
    <row r="5" customFormat="false" ht="15.75" hidden="false" customHeight="false" outlineLevel="0" collapsed="false">
      <c r="A5" s="3" t="n">
        <v>4</v>
      </c>
      <c r="B5" s="4" t="n">
        <v>45506</v>
      </c>
      <c r="C5" s="10" t="str">
        <f aca="false">PROPER(TEXT(WEEKDAY(B5),"dddd"))</f>
        <v>Sexta-Feira</v>
      </c>
      <c r="D5" s="13" t="n">
        <v>0.2625</v>
      </c>
      <c r="E5" s="3" t="n">
        <v>4</v>
      </c>
      <c r="F5" s="3" t="n">
        <v>4</v>
      </c>
      <c r="G5" s="3" t="n">
        <v>1</v>
      </c>
      <c r="H5" s="3" t="n">
        <v>1</v>
      </c>
      <c r="I5" s="3" t="n">
        <v>1</v>
      </c>
      <c r="J5" s="3" t="n">
        <v>1</v>
      </c>
      <c r="K5" s="6" t="n">
        <v>7.7</v>
      </c>
      <c r="L5" s="7"/>
      <c r="M5" s="7"/>
      <c r="N5" s="7"/>
      <c r="O5" s="7"/>
      <c r="P5" s="7"/>
      <c r="Q5" s="8"/>
      <c r="Z5" s="9"/>
    </row>
    <row r="6" customFormat="false" ht="15.75" hidden="false" customHeight="false" outlineLevel="0" collapsed="false">
      <c r="A6" s="3" t="n">
        <v>5</v>
      </c>
      <c r="B6" s="4" t="n">
        <v>45506</v>
      </c>
      <c r="C6" s="10" t="str">
        <f aca="false">PROPER(TEXT(WEEKDAY(B6),"dddd"))</f>
        <v>Sexta-Feira</v>
      </c>
      <c r="D6" s="13" t="n">
        <v>0.363194444444444</v>
      </c>
      <c r="E6" s="3" t="n">
        <v>5</v>
      </c>
      <c r="F6" s="3" t="n">
        <v>5</v>
      </c>
      <c r="G6" s="3" t="n">
        <v>1</v>
      </c>
      <c r="H6" s="3" t="n">
        <v>1</v>
      </c>
      <c r="I6" s="3" t="n">
        <v>1</v>
      </c>
      <c r="J6" s="3" t="n">
        <v>1</v>
      </c>
      <c r="K6" s="6" t="n">
        <v>11.4</v>
      </c>
      <c r="L6" s="7"/>
      <c r="M6" s="7"/>
      <c r="N6" s="7"/>
      <c r="O6" s="7"/>
      <c r="P6" s="7"/>
      <c r="Q6" s="8"/>
      <c r="Z6" s="9"/>
    </row>
    <row r="7" customFormat="false" ht="15.75" hidden="false" customHeight="false" outlineLevel="0" collapsed="false">
      <c r="A7" s="3" t="n">
        <v>6</v>
      </c>
      <c r="B7" s="4" t="n">
        <v>45506</v>
      </c>
      <c r="C7" s="10" t="str">
        <f aca="false">PROPER(TEXT(WEEKDAY(B7),"dddd"))</f>
        <v>Sexta-Feira</v>
      </c>
      <c r="D7" s="13" t="n">
        <v>0.41875</v>
      </c>
      <c r="E7" s="3" t="n">
        <v>6</v>
      </c>
      <c r="F7" s="3" t="n">
        <v>6</v>
      </c>
      <c r="G7" s="3" t="n">
        <v>1</v>
      </c>
      <c r="H7" s="3" t="n">
        <v>1</v>
      </c>
      <c r="I7" s="3" t="n">
        <v>1</v>
      </c>
      <c r="J7" s="3" t="n">
        <v>1</v>
      </c>
      <c r="K7" s="6" t="n">
        <v>17.4</v>
      </c>
      <c r="L7" s="7"/>
      <c r="M7" s="7"/>
      <c r="N7" s="7"/>
      <c r="O7" s="7"/>
      <c r="P7" s="7"/>
      <c r="Q7" s="8"/>
      <c r="Z7" s="9"/>
    </row>
    <row r="8" customFormat="false" ht="15.75" hidden="false" customHeight="false" outlineLevel="0" collapsed="false">
      <c r="A8" s="3" t="n">
        <v>7</v>
      </c>
      <c r="B8" s="4" t="n">
        <v>45506</v>
      </c>
      <c r="C8" s="10" t="str">
        <f aca="false">PROPER(TEXT(WEEKDAY(B8),"dddd"))</f>
        <v>Sexta-Feira</v>
      </c>
      <c r="D8" s="13" t="n">
        <v>0.446527777777778</v>
      </c>
      <c r="E8" s="3" t="n">
        <v>7</v>
      </c>
      <c r="F8" s="3" t="n">
        <v>7</v>
      </c>
      <c r="G8" s="3" t="n">
        <v>2</v>
      </c>
      <c r="H8" s="3" t="n">
        <v>1</v>
      </c>
      <c r="I8" s="3" t="n">
        <v>1</v>
      </c>
      <c r="J8" s="3" t="n">
        <v>1</v>
      </c>
      <c r="K8" s="6" t="n">
        <v>13.4</v>
      </c>
      <c r="L8" s="7"/>
      <c r="M8" s="7"/>
      <c r="N8" s="7"/>
      <c r="O8" s="7"/>
      <c r="P8" s="7"/>
      <c r="Q8" s="8"/>
      <c r="Z8" s="9"/>
    </row>
    <row r="9" customFormat="false" ht="15.75" hidden="false" customHeight="false" outlineLevel="0" collapsed="false">
      <c r="A9" s="3" t="n">
        <v>8</v>
      </c>
      <c r="B9" s="4" t="n">
        <v>45506</v>
      </c>
      <c r="C9" s="10" t="str">
        <f aca="false">PROPER(TEXT(WEEKDAY(B9),"dddd"))</f>
        <v>Sexta-Feira</v>
      </c>
      <c r="D9" s="13" t="n">
        <v>0.477083333333333</v>
      </c>
      <c r="E9" s="3" t="n">
        <v>8</v>
      </c>
      <c r="F9" s="3" t="n">
        <v>8</v>
      </c>
      <c r="G9" s="3" t="n">
        <v>2</v>
      </c>
      <c r="H9" s="3" t="n">
        <v>1</v>
      </c>
      <c r="I9" s="3" t="n">
        <v>1</v>
      </c>
      <c r="J9" s="3" t="n">
        <v>1</v>
      </c>
      <c r="K9" s="6" t="n">
        <v>4.1</v>
      </c>
      <c r="L9" s="7"/>
      <c r="M9" s="7"/>
      <c r="N9" s="7"/>
      <c r="O9" s="7"/>
      <c r="P9" s="7"/>
      <c r="Q9" s="8"/>
      <c r="Z9" s="9"/>
    </row>
    <row r="10" customFormat="false" ht="15.75" hidden="false" customHeight="false" outlineLevel="0" collapsed="false">
      <c r="A10" s="3" t="n">
        <v>9</v>
      </c>
      <c r="B10" s="4" t="n">
        <v>45506</v>
      </c>
      <c r="C10" s="10" t="str">
        <f aca="false">PROPER(TEXT(WEEKDAY(B10),"dddd"))</f>
        <v>Sexta-Feira</v>
      </c>
      <c r="D10" s="13" t="n">
        <v>0.708333333333333</v>
      </c>
      <c r="E10" s="3" t="n">
        <v>9</v>
      </c>
      <c r="F10" s="3" t="n">
        <v>9</v>
      </c>
      <c r="G10" s="3" t="n">
        <v>2</v>
      </c>
      <c r="H10" s="3" t="n">
        <v>1</v>
      </c>
      <c r="I10" s="3" t="n">
        <v>1</v>
      </c>
      <c r="J10" s="3" t="n">
        <v>1</v>
      </c>
      <c r="K10" s="6" t="n">
        <v>8.3</v>
      </c>
      <c r="L10" s="7"/>
      <c r="M10" s="7"/>
      <c r="N10" s="7"/>
      <c r="O10" s="7"/>
      <c r="P10" s="7"/>
      <c r="Q10" s="8"/>
      <c r="Z10" s="9"/>
    </row>
    <row r="11" customFormat="false" ht="15.75" hidden="false" customHeight="false" outlineLevel="0" collapsed="false">
      <c r="A11" s="3" t="n">
        <v>10</v>
      </c>
      <c r="B11" s="4" t="n">
        <v>45506</v>
      </c>
      <c r="C11" s="10" t="str">
        <f aca="false">PROPER(TEXT(WEEKDAY(B11),"dddd"))</f>
        <v>Sexta-Feira</v>
      </c>
      <c r="D11" s="13" t="n">
        <v>0.711111111111111</v>
      </c>
      <c r="E11" s="3" t="n">
        <v>10</v>
      </c>
      <c r="F11" s="3" t="n">
        <v>10</v>
      </c>
      <c r="G11" s="3" t="n">
        <v>2</v>
      </c>
      <c r="H11" s="3" t="n">
        <v>1</v>
      </c>
      <c r="I11" s="3" t="n">
        <v>1</v>
      </c>
      <c r="J11" s="3" t="n">
        <v>1</v>
      </c>
      <c r="K11" s="6" t="n">
        <v>17.3</v>
      </c>
      <c r="L11" s="7"/>
      <c r="M11" s="7"/>
      <c r="N11" s="7"/>
      <c r="O11" s="7"/>
      <c r="P11" s="7"/>
      <c r="Q11" s="8"/>
      <c r="Z11" s="9"/>
    </row>
    <row r="12" customFormat="false" ht="15.75" hidden="false" customHeight="false" outlineLevel="0" collapsed="false">
      <c r="A12" s="3" t="n">
        <v>11</v>
      </c>
      <c r="B12" s="4" t="n">
        <v>45506</v>
      </c>
      <c r="C12" s="10" t="str">
        <f aca="false">PROPER(TEXT(WEEKDAY(B12),"dddd"))</f>
        <v>Sexta-Feira</v>
      </c>
      <c r="D12" s="11" t="n">
        <v>0.73125</v>
      </c>
      <c r="E12" s="3" t="n">
        <v>11</v>
      </c>
      <c r="F12" s="3" t="n">
        <v>11</v>
      </c>
      <c r="G12" s="3" t="n">
        <v>1</v>
      </c>
      <c r="H12" s="3" t="n">
        <v>1</v>
      </c>
      <c r="I12" s="3" t="n">
        <v>1</v>
      </c>
      <c r="J12" s="3" t="n">
        <v>1</v>
      </c>
      <c r="K12" s="6" t="n">
        <v>26.5</v>
      </c>
      <c r="L12" s="7"/>
      <c r="M12" s="7"/>
      <c r="N12" s="7"/>
      <c r="O12" s="7"/>
      <c r="P12" s="7"/>
      <c r="Q12" s="8"/>
      <c r="Z12" s="9"/>
    </row>
    <row r="13" customFormat="false" ht="15.75" hidden="false" customHeight="false" outlineLevel="0" collapsed="false">
      <c r="A13" s="3" t="n">
        <v>12</v>
      </c>
      <c r="B13" s="4" t="n">
        <v>45506</v>
      </c>
      <c r="C13" s="10" t="str">
        <f aca="false">PROPER(TEXT(WEEKDAY(B13),"dddd"))</f>
        <v>Sexta-Feira</v>
      </c>
      <c r="D13" s="11" t="n">
        <v>0.749305555555556</v>
      </c>
      <c r="E13" s="3" t="n">
        <v>12</v>
      </c>
      <c r="F13" s="3" t="n">
        <v>12</v>
      </c>
      <c r="G13" s="3" t="n">
        <v>1</v>
      </c>
      <c r="H13" s="3" t="n">
        <v>1</v>
      </c>
      <c r="I13" s="3" t="n">
        <v>1</v>
      </c>
      <c r="J13" s="3" t="n">
        <v>1</v>
      </c>
      <c r="K13" s="6" t="n">
        <v>24.4</v>
      </c>
      <c r="L13" s="7"/>
      <c r="M13" s="7"/>
      <c r="N13" s="7"/>
      <c r="O13" s="7"/>
      <c r="P13" s="7"/>
      <c r="Q13" s="8"/>
      <c r="Z13" s="9"/>
    </row>
    <row r="14" customFormat="false" ht="15.75" hidden="false" customHeight="false" outlineLevel="0" collapsed="false">
      <c r="A14" s="3" t="n">
        <v>13</v>
      </c>
      <c r="B14" s="4" t="n">
        <v>45506</v>
      </c>
      <c r="C14" s="10" t="str">
        <f aca="false">PROPER(TEXT(WEEKDAY(B14),"dddd"))</f>
        <v>Sexta-Feira</v>
      </c>
      <c r="D14" s="11" t="n">
        <v>0.775</v>
      </c>
      <c r="E14" s="3" t="n">
        <v>13</v>
      </c>
      <c r="F14" s="3" t="n">
        <v>13</v>
      </c>
      <c r="G14" s="3" t="n">
        <v>1</v>
      </c>
      <c r="H14" s="3" t="n">
        <v>1</v>
      </c>
      <c r="I14" s="3" t="n">
        <v>1</v>
      </c>
      <c r="J14" s="3" t="n">
        <v>1</v>
      </c>
      <c r="K14" s="6" t="n">
        <v>4.5</v>
      </c>
      <c r="L14" s="7"/>
      <c r="M14" s="7"/>
      <c r="N14" s="7"/>
      <c r="O14" s="7"/>
      <c r="P14" s="7"/>
      <c r="Q14" s="8"/>
      <c r="Z14" s="9"/>
    </row>
    <row r="15" customFormat="false" ht="15.75" hidden="false" customHeight="false" outlineLevel="0" collapsed="false">
      <c r="A15" s="3" t="n">
        <v>14</v>
      </c>
      <c r="B15" s="4" t="n">
        <v>45506</v>
      </c>
      <c r="C15" s="10" t="str">
        <f aca="false">PROPER(TEXT(WEEKDAY(B15),"dddd"))</f>
        <v>Sexta-Feira</v>
      </c>
      <c r="D15" s="11" t="n">
        <v>0.792361111111111</v>
      </c>
      <c r="E15" s="3" t="n">
        <v>14</v>
      </c>
      <c r="F15" s="3" t="n">
        <v>14</v>
      </c>
      <c r="G15" s="3" t="n">
        <v>1</v>
      </c>
      <c r="H15" s="3" t="n">
        <v>1</v>
      </c>
      <c r="I15" s="3" t="n">
        <v>1</v>
      </c>
      <c r="J15" s="3" t="n">
        <v>1</v>
      </c>
      <c r="K15" s="6" t="n">
        <v>4.8</v>
      </c>
      <c r="L15" s="7"/>
      <c r="M15" s="7"/>
      <c r="N15" s="7"/>
      <c r="O15" s="7"/>
      <c r="P15" s="7"/>
      <c r="Q15" s="8"/>
      <c r="Z15" s="9"/>
    </row>
    <row r="16" customFormat="false" ht="15.75" hidden="false" customHeight="false" outlineLevel="0" collapsed="false">
      <c r="A16" s="3" t="n">
        <v>15</v>
      </c>
      <c r="B16" s="4" t="n">
        <v>45507</v>
      </c>
      <c r="C16" s="10" t="str">
        <f aca="false">PROPER(TEXT(WEEKDAY(B16),"dddd"))</f>
        <v>Sábado</v>
      </c>
      <c r="D16" s="11" t="n">
        <v>0.5</v>
      </c>
      <c r="E16" s="3" t="n">
        <v>15</v>
      </c>
      <c r="F16" s="3" t="n">
        <v>15</v>
      </c>
      <c r="G16" s="3" t="n">
        <v>1</v>
      </c>
      <c r="H16" s="3" t="n">
        <v>1</v>
      </c>
      <c r="I16" s="3" t="n">
        <v>1</v>
      </c>
      <c r="J16" s="3" t="n">
        <v>1</v>
      </c>
      <c r="K16" s="6" t="n">
        <v>19.7</v>
      </c>
      <c r="L16" s="7"/>
      <c r="M16" s="7"/>
      <c r="N16" s="7"/>
      <c r="O16" s="7"/>
      <c r="P16" s="7"/>
      <c r="Q16" s="8"/>
      <c r="Z16" s="9"/>
    </row>
    <row r="17" customFormat="false" ht="15.75" hidden="false" customHeight="false" outlineLevel="0" collapsed="false">
      <c r="A17" s="3" t="n">
        <v>16</v>
      </c>
      <c r="B17" s="4" t="n">
        <v>45507</v>
      </c>
      <c r="C17" s="10" t="str">
        <f aca="false">PROPER(TEXT(WEEKDAY(B17),"dddd"))</f>
        <v>Sábado</v>
      </c>
      <c r="D17" s="11" t="n">
        <v>0.51875</v>
      </c>
      <c r="E17" s="3" t="n">
        <v>16</v>
      </c>
      <c r="F17" s="3" t="n">
        <v>16</v>
      </c>
      <c r="G17" s="3" t="n">
        <v>4</v>
      </c>
      <c r="H17" s="3" t="n">
        <v>1</v>
      </c>
      <c r="I17" s="3" t="n">
        <v>1</v>
      </c>
      <c r="J17" s="3" t="n">
        <v>1</v>
      </c>
      <c r="K17" s="6" t="n">
        <v>2</v>
      </c>
      <c r="L17" s="7"/>
      <c r="M17" s="7"/>
      <c r="N17" s="7"/>
      <c r="O17" s="7"/>
      <c r="P17" s="7"/>
      <c r="Q17" s="8"/>
      <c r="Z17" s="9"/>
    </row>
    <row r="18" customFormat="false" ht="15.75" hidden="false" customHeight="false" outlineLevel="0" collapsed="false">
      <c r="A18" s="3" t="n">
        <v>17</v>
      </c>
      <c r="B18" s="4" t="n">
        <v>45507</v>
      </c>
      <c r="C18" s="10" t="str">
        <f aca="false">PROPER(TEXT(WEEKDAY(B18),"dddd"))</f>
        <v>Sábado</v>
      </c>
      <c r="D18" s="11" t="n">
        <v>0.546527777777778</v>
      </c>
      <c r="E18" s="3" t="n">
        <v>17</v>
      </c>
      <c r="F18" s="3" t="n">
        <v>17</v>
      </c>
      <c r="G18" s="3" t="n">
        <v>1</v>
      </c>
      <c r="H18" s="3" t="n">
        <v>1</v>
      </c>
      <c r="I18" s="3" t="n">
        <v>1</v>
      </c>
      <c r="J18" s="3" t="n">
        <v>1</v>
      </c>
      <c r="K18" s="6" t="n">
        <v>8.7</v>
      </c>
      <c r="L18" s="7"/>
      <c r="M18" s="7"/>
      <c r="N18" s="7"/>
      <c r="O18" s="7"/>
      <c r="P18" s="7"/>
      <c r="Q18" s="8"/>
      <c r="Z18" s="9"/>
    </row>
    <row r="19" customFormat="false" ht="15.75" hidden="false" customHeight="false" outlineLevel="0" collapsed="false">
      <c r="A19" s="3" t="n">
        <v>18</v>
      </c>
      <c r="B19" s="4" t="n">
        <v>45507</v>
      </c>
      <c r="C19" s="10" t="str">
        <f aca="false">PROPER(TEXT(WEEKDAY(B19),"dddd"))</f>
        <v>Sábado</v>
      </c>
      <c r="D19" s="11" t="n">
        <v>0.565277777777778</v>
      </c>
      <c r="E19" s="3" t="n">
        <v>18</v>
      </c>
      <c r="F19" s="3" t="n">
        <v>18</v>
      </c>
      <c r="G19" s="3" t="n">
        <v>1</v>
      </c>
      <c r="H19" s="3" t="n">
        <v>1</v>
      </c>
      <c r="I19" s="3" t="n">
        <v>1</v>
      </c>
      <c r="J19" s="3" t="n">
        <v>1</v>
      </c>
      <c r="K19" s="6" t="n">
        <v>22.6</v>
      </c>
      <c r="L19" s="7"/>
      <c r="M19" s="7"/>
      <c r="N19" s="7"/>
      <c r="O19" s="7"/>
      <c r="P19" s="7"/>
      <c r="Q19" s="8"/>
      <c r="Z19" s="9"/>
    </row>
    <row r="20" customFormat="false" ht="15.75" hidden="false" customHeight="false" outlineLevel="0" collapsed="false">
      <c r="A20" s="3" t="n">
        <v>19</v>
      </c>
      <c r="B20" s="4" t="n">
        <v>45507</v>
      </c>
      <c r="C20" s="10" t="str">
        <f aca="false">PROPER(TEXT(WEEKDAY(B20),"dddd"))</f>
        <v>Sábado</v>
      </c>
      <c r="D20" s="11" t="n">
        <v>0.604166666666667</v>
      </c>
      <c r="E20" s="3" t="n">
        <v>19</v>
      </c>
      <c r="F20" s="3" t="n">
        <v>19</v>
      </c>
      <c r="G20" s="3" t="n">
        <v>2</v>
      </c>
      <c r="H20" s="3" t="n">
        <v>1</v>
      </c>
      <c r="I20" s="3" t="n">
        <v>1</v>
      </c>
      <c r="J20" s="3" t="n">
        <v>1</v>
      </c>
      <c r="K20" s="6" t="n">
        <v>7.3</v>
      </c>
      <c r="L20" s="7"/>
      <c r="M20" s="7"/>
      <c r="N20" s="7"/>
      <c r="O20" s="7"/>
      <c r="P20" s="7"/>
      <c r="Q20" s="8"/>
      <c r="Z20" s="9"/>
    </row>
    <row r="21" customFormat="false" ht="15.75" hidden="false" customHeight="false" outlineLevel="0" collapsed="false">
      <c r="A21" s="3" t="n">
        <v>20</v>
      </c>
      <c r="B21" s="4" t="n">
        <v>45507</v>
      </c>
      <c r="C21" s="10" t="str">
        <f aca="false">PROPER(TEXT(WEEKDAY(B21),"dddd"))</f>
        <v>Sábado</v>
      </c>
      <c r="D21" s="11" t="n">
        <v>0.7</v>
      </c>
      <c r="E21" s="3" t="n">
        <v>20</v>
      </c>
      <c r="F21" s="3" t="n">
        <v>20</v>
      </c>
      <c r="G21" s="3" t="n">
        <v>2</v>
      </c>
      <c r="H21" s="3" t="n">
        <v>1</v>
      </c>
      <c r="I21" s="3" t="n">
        <v>1</v>
      </c>
      <c r="J21" s="3" t="n">
        <v>1</v>
      </c>
      <c r="K21" s="6" t="n">
        <v>8.2</v>
      </c>
      <c r="L21" s="7"/>
      <c r="M21" s="7"/>
      <c r="N21" s="7"/>
      <c r="O21" s="7"/>
      <c r="P21" s="7"/>
      <c r="Q21" s="8"/>
      <c r="Z21" s="9"/>
    </row>
    <row r="22" customFormat="false" ht="15.75" hidden="false" customHeight="false" outlineLevel="0" collapsed="false">
      <c r="A22" s="3" t="n">
        <v>21</v>
      </c>
      <c r="B22" s="4" t="n">
        <v>45507</v>
      </c>
      <c r="C22" s="10" t="str">
        <f aca="false">PROPER(TEXT(WEEKDAY(B22),"dddd"))</f>
        <v>Sábado</v>
      </c>
      <c r="D22" s="11" t="n">
        <v>0.715972222222222</v>
      </c>
      <c r="E22" s="3" t="n">
        <v>21</v>
      </c>
      <c r="F22" s="3" t="n">
        <v>21</v>
      </c>
      <c r="G22" s="3" t="n">
        <v>1</v>
      </c>
      <c r="H22" s="3" t="n">
        <v>1</v>
      </c>
      <c r="I22" s="3" t="n">
        <v>1</v>
      </c>
      <c r="J22" s="3" t="n">
        <v>1</v>
      </c>
      <c r="K22" s="6" t="n">
        <v>14.2</v>
      </c>
      <c r="L22" s="7"/>
      <c r="M22" s="7"/>
      <c r="N22" s="7"/>
      <c r="O22" s="7"/>
      <c r="P22" s="7"/>
      <c r="Q22" s="8"/>
      <c r="Z22" s="9"/>
    </row>
    <row r="23" customFormat="false" ht="15.75" hidden="false" customHeight="false" outlineLevel="0" collapsed="false">
      <c r="A23" s="3" t="n">
        <v>22</v>
      </c>
      <c r="B23" s="4" t="n">
        <v>45507</v>
      </c>
      <c r="C23" s="10" t="str">
        <f aca="false">PROPER(TEXT(WEEKDAY(B23),"dddd"))</f>
        <v>Sábado</v>
      </c>
      <c r="D23" s="11" t="n">
        <v>0.726388888888889</v>
      </c>
      <c r="E23" s="3" t="n">
        <v>22</v>
      </c>
      <c r="F23" s="3" t="n">
        <v>22</v>
      </c>
      <c r="G23" s="3" t="n">
        <v>2</v>
      </c>
      <c r="H23" s="3" t="n">
        <v>1</v>
      </c>
      <c r="I23" s="3" t="n">
        <v>1</v>
      </c>
      <c r="J23" s="3" t="n">
        <v>1</v>
      </c>
      <c r="K23" s="6" t="n">
        <v>19.2</v>
      </c>
      <c r="L23" s="7"/>
      <c r="M23" s="7"/>
      <c r="N23" s="7"/>
      <c r="O23" s="7"/>
      <c r="P23" s="7"/>
      <c r="Q23" s="8"/>
      <c r="Z23" s="9"/>
    </row>
    <row r="24" customFormat="false" ht="15.75" hidden="false" customHeight="false" outlineLevel="0" collapsed="false">
      <c r="A24" s="3" t="n">
        <v>23</v>
      </c>
      <c r="B24" s="4" t="n">
        <v>45507</v>
      </c>
      <c r="C24" s="10" t="str">
        <f aca="false">PROPER(TEXT(WEEKDAY(B24),"dddd"))</f>
        <v>Sábado</v>
      </c>
      <c r="D24" s="11" t="n">
        <v>0.754166666666667</v>
      </c>
      <c r="E24" s="3" t="n">
        <v>23</v>
      </c>
      <c r="F24" s="3" t="n">
        <v>23</v>
      </c>
      <c r="G24" s="3" t="n">
        <v>1</v>
      </c>
      <c r="H24" s="3" t="n">
        <v>1</v>
      </c>
      <c r="I24" s="3" t="n">
        <v>1</v>
      </c>
      <c r="J24" s="3" t="n">
        <v>1</v>
      </c>
      <c r="K24" s="6" t="n">
        <v>21.2</v>
      </c>
      <c r="L24" s="7"/>
      <c r="M24" s="7"/>
      <c r="N24" s="7"/>
      <c r="O24" s="7"/>
      <c r="P24" s="7"/>
      <c r="Q24" s="8"/>
      <c r="Z24" s="9"/>
    </row>
    <row r="25" customFormat="false" ht="15.75" hidden="false" customHeight="false" outlineLevel="0" collapsed="false">
      <c r="A25" s="3" t="n">
        <v>24</v>
      </c>
      <c r="B25" s="4" t="n">
        <v>45507</v>
      </c>
      <c r="C25" s="10" t="str">
        <f aca="false">PROPER(TEXT(WEEKDAY(B25),"dddd"))</f>
        <v>Sábado</v>
      </c>
      <c r="D25" s="11" t="n">
        <v>0.772916666666667</v>
      </c>
      <c r="E25" s="3" t="n">
        <v>24</v>
      </c>
      <c r="F25" s="3" t="n">
        <v>24</v>
      </c>
      <c r="G25" s="3" t="n">
        <v>2</v>
      </c>
      <c r="H25" s="3" t="n">
        <v>1</v>
      </c>
      <c r="I25" s="3" t="n">
        <v>1</v>
      </c>
      <c r="J25" s="3" t="n">
        <v>1</v>
      </c>
      <c r="K25" s="6" t="n">
        <v>24.6</v>
      </c>
      <c r="L25" s="7"/>
      <c r="M25" s="7"/>
      <c r="N25" s="7"/>
      <c r="O25" s="7"/>
      <c r="P25" s="7"/>
      <c r="Q25" s="8"/>
      <c r="Z25" s="9"/>
    </row>
    <row r="26" customFormat="false" ht="15.75" hidden="false" customHeight="false" outlineLevel="0" collapsed="false">
      <c r="A26" s="3" t="n">
        <v>25</v>
      </c>
      <c r="B26" s="4" t="n">
        <v>45507</v>
      </c>
      <c r="C26" s="10" t="str">
        <f aca="false">PROPER(TEXT(WEEKDAY(B26),"dddd"))</f>
        <v>Sábado</v>
      </c>
      <c r="D26" s="11" t="n">
        <v>0.79375</v>
      </c>
      <c r="E26" s="3" t="n">
        <v>25</v>
      </c>
      <c r="F26" s="3" t="n">
        <v>25</v>
      </c>
      <c r="G26" s="3" t="n">
        <v>2</v>
      </c>
      <c r="H26" s="3" t="n">
        <v>1</v>
      </c>
      <c r="I26" s="3" t="n">
        <v>1</v>
      </c>
      <c r="J26" s="3" t="n">
        <v>1</v>
      </c>
      <c r="K26" s="6" t="n">
        <v>6.6</v>
      </c>
      <c r="L26" s="7"/>
      <c r="M26" s="7"/>
      <c r="N26" s="7"/>
      <c r="O26" s="7"/>
      <c r="P26" s="7"/>
      <c r="Q26" s="8"/>
      <c r="Z26" s="9"/>
    </row>
    <row r="27" customFormat="false" ht="15.75" hidden="false" customHeight="false" outlineLevel="0" collapsed="false">
      <c r="A27" s="3" t="n">
        <v>26</v>
      </c>
      <c r="B27" s="4" t="n">
        <v>45507</v>
      </c>
      <c r="C27" s="10" t="str">
        <f aca="false">PROPER(TEXT(WEEKDAY(B27),"dddd"))</f>
        <v>Sábado</v>
      </c>
      <c r="D27" s="11" t="n">
        <v>0.795138888888889</v>
      </c>
      <c r="E27" s="3" t="n">
        <v>26</v>
      </c>
      <c r="F27" s="3" t="n">
        <v>26</v>
      </c>
      <c r="G27" s="3" t="n">
        <v>1</v>
      </c>
      <c r="H27" s="3" t="n">
        <v>1</v>
      </c>
      <c r="I27" s="3" t="n">
        <v>1</v>
      </c>
      <c r="J27" s="3" t="n">
        <v>1</v>
      </c>
      <c r="K27" s="6" t="n">
        <v>7.6</v>
      </c>
      <c r="L27" s="7"/>
      <c r="M27" s="7"/>
      <c r="N27" s="7"/>
      <c r="O27" s="7"/>
      <c r="P27" s="7"/>
      <c r="Q27" s="8"/>
      <c r="Z27" s="9"/>
    </row>
    <row r="28" customFormat="false" ht="15.75" hidden="false" customHeight="false" outlineLevel="0" collapsed="false">
      <c r="A28" s="3" t="n">
        <v>27</v>
      </c>
      <c r="B28" s="4" t="n">
        <v>45507</v>
      </c>
      <c r="C28" s="10" t="str">
        <f aca="false">PROPER(TEXT(WEEKDAY(B28),"dddd"))</f>
        <v>Sábado</v>
      </c>
      <c r="D28" s="11" t="n">
        <v>0.809722222222222</v>
      </c>
      <c r="E28" s="3" t="n">
        <v>27</v>
      </c>
      <c r="F28" s="3" t="n">
        <v>27</v>
      </c>
      <c r="G28" s="3" t="n">
        <v>2</v>
      </c>
      <c r="H28" s="3" t="n">
        <v>1</v>
      </c>
      <c r="I28" s="3" t="n">
        <v>1</v>
      </c>
      <c r="J28" s="3" t="n">
        <v>1</v>
      </c>
      <c r="K28" s="6" t="n">
        <v>8.5</v>
      </c>
      <c r="L28" s="7"/>
      <c r="M28" s="7"/>
      <c r="N28" s="7"/>
      <c r="O28" s="7"/>
      <c r="P28" s="7"/>
      <c r="Q28" s="8"/>
      <c r="Z28" s="9"/>
    </row>
    <row r="29" customFormat="false" ht="15.75" hidden="false" customHeight="false" outlineLevel="0" collapsed="false">
      <c r="A29" s="3" t="n">
        <v>28</v>
      </c>
      <c r="B29" s="4" t="n">
        <v>45507</v>
      </c>
      <c r="C29" s="10" t="str">
        <f aca="false">PROPER(TEXT(WEEKDAY(B29),"dddd"))</f>
        <v>Sábado</v>
      </c>
      <c r="D29" s="11" t="n">
        <v>0.81875</v>
      </c>
      <c r="E29" s="3" t="n">
        <v>28</v>
      </c>
      <c r="F29" s="3" t="n">
        <v>28</v>
      </c>
      <c r="G29" s="3" t="n">
        <v>1</v>
      </c>
      <c r="H29" s="3" t="n">
        <v>1</v>
      </c>
      <c r="I29" s="3" t="n">
        <v>1</v>
      </c>
      <c r="J29" s="3" t="n">
        <v>1</v>
      </c>
      <c r="K29" s="6" t="n">
        <v>6.1</v>
      </c>
      <c r="L29" s="7"/>
      <c r="M29" s="7"/>
      <c r="N29" s="7"/>
      <c r="O29" s="7"/>
      <c r="P29" s="7"/>
      <c r="Q29" s="8"/>
      <c r="Z29" s="9"/>
    </row>
    <row r="30" customFormat="false" ht="15.75" hidden="false" customHeight="false" outlineLevel="0" collapsed="false">
      <c r="A30" s="3" t="n">
        <v>29</v>
      </c>
      <c r="B30" s="4" t="n">
        <v>45508</v>
      </c>
      <c r="C30" s="10" t="str">
        <f aca="false">PROPER(TEXT(WEEKDAY(B30),"dddd"))</f>
        <v>Domingo</v>
      </c>
      <c r="D30" s="11" t="n">
        <v>0.536111111111111</v>
      </c>
      <c r="E30" s="3" t="n">
        <v>29</v>
      </c>
      <c r="F30" s="3" t="n">
        <v>29</v>
      </c>
      <c r="G30" s="3" t="n">
        <v>2</v>
      </c>
      <c r="H30" s="3" t="n">
        <v>1</v>
      </c>
      <c r="I30" s="3" t="n">
        <v>1</v>
      </c>
      <c r="J30" s="3" t="n">
        <v>1</v>
      </c>
      <c r="K30" s="6" t="n">
        <v>12.2</v>
      </c>
      <c r="L30" s="7"/>
      <c r="M30" s="7"/>
      <c r="N30" s="7"/>
      <c r="O30" s="7"/>
      <c r="P30" s="7"/>
      <c r="Q30" s="8"/>
      <c r="Z30" s="9"/>
    </row>
    <row r="31" customFormat="false" ht="15.75" hidden="false" customHeight="false" outlineLevel="0" collapsed="false">
      <c r="A31" s="3" t="n">
        <v>30</v>
      </c>
      <c r="B31" s="4" t="n">
        <v>45508</v>
      </c>
      <c r="C31" s="10" t="str">
        <f aca="false">PROPER(TEXT(WEEKDAY(B31),"dddd"))</f>
        <v>Domingo</v>
      </c>
      <c r="D31" s="11" t="n">
        <v>0.547916666666667</v>
      </c>
      <c r="E31" s="3" t="n">
        <v>30</v>
      </c>
      <c r="F31" s="3" t="n">
        <v>30</v>
      </c>
      <c r="G31" s="3" t="n">
        <v>2</v>
      </c>
      <c r="H31" s="3" t="n">
        <v>1</v>
      </c>
      <c r="I31" s="3" t="n">
        <v>1</v>
      </c>
      <c r="J31" s="3" t="n">
        <v>1</v>
      </c>
      <c r="K31" s="6" t="n">
        <v>16.9</v>
      </c>
      <c r="L31" s="7"/>
      <c r="M31" s="7"/>
      <c r="N31" s="7"/>
      <c r="O31" s="7"/>
      <c r="P31" s="7"/>
      <c r="Q31" s="8"/>
      <c r="Z31" s="9"/>
    </row>
    <row r="32" customFormat="false" ht="15.75" hidden="false" customHeight="false" outlineLevel="0" collapsed="false">
      <c r="A32" s="3" t="n">
        <v>31</v>
      </c>
      <c r="B32" s="4" t="n">
        <v>45508</v>
      </c>
      <c r="C32" s="10" t="str">
        <f aca="false">PROPER(TEXT(WEEKDAY(B32),"dddd"))</f>
        <v>Domingo</v>
      </c>
      <c r="D32" s="11" t="n">
        <v>0.564583333333333</v>
      </c>
      <c r="E32" s="3" t="n">
        <v>31</v>
      </c>
      <c r="F32" s="3" t="n">
        <v>31</v>
      </c>
      <c r="G32" s="3" t="n">
        <v>2</v>
      </c>
      <c r="H32" s="3" t="n">
        <v>1</v>
      </c>
      <c r="I32" s="3" t="n">
        <v>1</v>
      </c>
      <c r="J32" s="3" t="n">
        <v>1</v>
      </c>
      <c r="K32" s="6" t="n">
        <v>22.7</v>
      </c>
      <c r="L32" s="7"/>
      <c r="M32" s="7"/>
      <c r="N32" s="7"/>
      <c r="O32" s="7"/>
      <c r="P32" s="7"/>
      <c r="Q32" s="8"/>
      <c r="Z32" s="9"/>
    </row>
    <row r="33" customFormat="false" ht="15.75" hidden="false" customHeight="false" outlineLevel="0" collapsed="false">
      <c r="A33" s="3" t="n">
        <v>32</v>
      </c>
      <c r="B33" s="4" t="n">
        <v>45508</v>
      </c>
      <c r="C33" s="10" t="str">
        <f aca="false">PROPER(TEXT(WEEKDAY(B33),"dddd"))</f>
        <v>Domingo</v>
      </c>
      <c r="D33" s="11" t="n">
        <v>0.585416666666667</v>
      </c>
      <c r="E33" s="3" t="n">
        <v>32</v>
      </c>
      <c r="F33" s="3" t="n">
        <v>32</v>
      </c>
      <c r="G33" s="3" t="n">
        <v>1</v>
      </c>
      <c r="H33" s="3" t="n">
        <v>1</v>
      </c>
      <c r="I33" s="3" t="n">
        <v>1</v>
      </c>
      <c r="J33" s="3" t="n">
        <v>1</v>
      </c>
      <c r="K33" s="6" t="n">
        <v>11.3</v>
      </c>
      <c r="L33" s="7"/>
      <c r="M33" s="7"/>
      <c r="N33" s="7"/>
      <c r="O33" s="7"/>
      <c r="P33" s="7"/>
      <c r="Q33" s="8"/>
      <c r="Z33" s="9"/>
    </row>
    <row r="34" customFormat="false" ht="15.75" hidden="false" customHeight="false" outlineLevel="0" collapsed="false">
      <c r="A34" s="3" t="n">
        <v>33</v>
      </c>
      <c r="B34" s="4" t="n">
        <v>45508</v>
      </c>
      <c r="C34" s="10" t="str">
        <f aca="false">PROPER(TEXT(WEEKDAY(B34),"dddd"))</f>
        <v>Domingo</v>
      </c>
      <c r="D34" s="11" t="n">
        <v>0.600694444444444</v>
      </c>
      <c r="E34" s="3" t="n">
        <v>33</v>
      </c>
      <c r="F34" s="3" t="n">
        <v>33</v>
      </c>
      <c r="G34" s="3" t="n">
        <v>1</v>
      </c>
      <c r="H34" s="3" t="n">
        <v>1</v>
      </c>
      <c r="I34" s="3" t="n">
        <v>1</v>
      </c>
      <c r="J34" s="3" t="n">
        <v>1</v>
      </c>
      <c r="K34" s="6" t="n">
        <v>19.1</v>
      </c>
      <c r="L34" s="7"/>
      <c r="M34" s="7"/>
      <c r="N34" s="7"/>
      <c r="O34" s="7"/>
      <c r="P34" s="7"/>
      <c r="Q34" s="8"/>
      <c r="Z34" s="9"/>
    </row>
    <row r="35" customFormat="false" ht="15.75" hidden="false" customHeight="false" outlineLevel="0" collapsed="false">
      <c r="A35" s="3" t="n">
        <v>34</v>
      </c>
      <c r="B35" s="4" t="n">
        <v>45508</v>
      </c>
      <c r="C35" s="10" t="str">
        <f aca="false">PROPER(TEXT(WEEKDAY(B35),"dddd"))</f>
        <v>Domingo</v>
      </c>
      <c r="D35" s="11" t="n">
        <v>0.618055555555556</v>
      </c>
      <c r="E35" s="3" t="n">
        <v>34</v>
      </c>
      <c r="F35" s="3" t="n">
        <v>34</v>
      </c>
      <c r="G35" s="3" t="n">
        <v>1</v>
      </c>
      <c r="H35" s="3" t="n">
        <v>1</v>
      </c>
      <c r="I35" s="3" t="n">
        <v>1</v>
      </c>
      <c r="J35" s="3" t="n">
        <v>1</v>
      </c>
      <c r="K35" s="6" t="n">
        <v>14.2</v>
      </c>
      <c r="L35" s="7"/>
      <c r="M35" s="7"/>
      <c r="N35" s="7"/>
      <c r="O35" s="7"/>
      <c r="P35" s="7"/>
      <c r="Q35" s="8"/>
      <c r="Z35" s="9"/>
    </row>
    <row r="36" customFormat="false" ht="15.75" hidden="false" customHeight="false" outlineLevel="0" collapsed="false">
      <c r="A36" s="3" t="n">
        <v>35</v>
      </c>
      <c r="B36" s="4" t="n">
        <v>45508</v>
      </c>
      <c r="C36" s="10" t="str">
        <f aca="false">PROPER(TEXT(WEEKDAY(B36),"dddd"))</f>
        <v>Domingo</v>
      </c>
      <c r="D36" s="11" t="n">
        <v>0.621527777777778</v>
      </c>
      <c r="E36" s="3" t="n">
        <v>35</v>
      </c>
      <c r="F36" s="3" t="n">
        <v>35</v>
      </c>
      <c r="G36" s="3" t="n">
        <v>2</v>
      </c>
      <c r="H36" s="3" t="n">
        <v>1</v>
      </c>
      <c r="I36" s="3" t="n">
        <v>1</v>
      </c>
      <c r="J36" s="3" t="n">
        <v>1</v>
      </c>
      <c r="K36" s="6" t="n">
        <v>2.15</v>
      </c>
      <c r="L36" s="7"/>
      <c r="M36" s="7"/>
      <c r="N36" s="7"/>
      <c r="O36" s="7"/>
      <c r="P36" s="7"/>
      <c r="Q36" s="8"/>
      <c r="Z36" s="9"/>
    </row>
    <row r="37" customFormat="false" ht="15.75" hidden="false" customHeight="false" outlineLevel="0" collapsed="false">
      <c r="A37" s="3" t="n">
        <v>36</v>
      </c>
      <c r="B37" s="4" t="n">
        <v>45508</v>
      </c>
      <c r="C37" s="10" t="str">
        <f aca="false">PROPER(TEXT(WEEKDAY(B37),"dddd"))</f>
        <v>Domingo</v>
      </c>
      <c r="D37" s="11" t="n">
        <v>0.629861111111111</v>
      </c>
      <c r="E37" s="3" t="n">
        <v>36</v>
      </c>
      <c r="F37" s="3" t="n">
        <v>36</v>
      </c>
      <c r="G37" s="3" t="n">
        <v>2</v>
      </c>
      <c r="H37" s="3" t="n">
        <v>1</v>
      </c>
      <c r="I37" s="3" t="n">
        <v>1</v>
      </c>
      <c r="J37" s="3" t="n">
        <v>1</v>
      </c>
      <c r="K37" s="6" t="n">
        <v>11.1</v>
      </c>
      <c r="L37" s="7"/>
      <c r="M37" s="7"/>
      <c r="N37" s="7"/>
      <c r="O37" s="7"/>
      <c r="P37" s="7"/>
      <c r="Q37" s="8"/>
      <c r="Z37" s="9"/>
    </row>
    <row r="38" customFormat="false" ht="15.75" hidden="false" customHeight="false" outlineLevel="0" collapsed="false">
      <c r="A38" s="3" t="n">
        <v>37</v>
      </c>
      <c r="B38" s="4" t="n">
        <v>45508</v>
      </c>
      <c r="C38" s="10" t="str">
        <f aca="false">PROPER(TEXT(WEEKDAY(B38),"dddd"))</f>
        <v>Domingo</v>
      </c>
      <c r="D38" s="11" t="n">
        <v>0.638194444444444</v>
      </c>
      <c r="E38" s="3" t="n">
        <v>37</v>
      </c>
      <c r="F38" s="3" t="n">
        <v>37</v>
      </c>
      <c r="G38" s="3" t="n">
        <v>1</v>
      </c>
      <c r="H38" s="3" t="n">
        <v>1</v>
      </c>
      <c r="I38" s="3" t="n">
        <v>1</v>
      </c>
      <c r="J38" s="3" t="n">
        <v>1</v>
      </c>
      <c r="K38" s="6" t="n">
        <v>10.7</v>
      </c>
      <c r="L38" s="7"/>
      <c r="M38" s="7"/>
      <c r="N38" s="7"/>
      <c r="O38" s="7"/>
      <c r="P38" s="7"/>
      <c r="Q38" s="8"/>
      <c r="Z38" s="9"/>
    </row>
    <row r="39" customFormat="false" ht="15.75" hidden="false" customHeight="false" outlineLevel="0" collapsed="false">
      <c r="A39" s="3" t="n">
        <v>38</v>
      </c>
      <c r="B39" s="4" t="n">
        <v>45508</v>
      </c>
      <c r="C39" s="10" t="str">
        <f aca="false">PROPER(TEXT(WEEKDAY(B39),"dddd"))</f>
        <v>Domingo</v>
      </c>
      <c r="D39" s="11" t="n">
        <v>0.643055555555556</v>
      </c>
      <c r="E39" s="3" t="n">
        <v>38</v>
      </c>
      <c r="F39" s="3" t="n">
        <v>38</v>
      </c>
      <c r="G39" s="3" t="n">
        <v>1</v>
      </c>
      <c r="H39" s="3" t="n">
        <v>1</v>
      </c>
      <c r="I39" s="3" t="n">
        <v>1</v>
      </c>
      <c r="J39" s="3" t="n">
        <v>1</v>
      </c>
      <c r="K39" s="6" t="n">
        <v>16.9</v>
      </c>
      <c r="L39" s="7"/>
      <c r="M39" s="7"/>
      <c r="N39" s="7"/>
      <c r="O39" s="7"/>
      <c r="P39" s="7"/>
      <c r="Q39" s="8"/>
      <c r="Z39" s="9"/>
    </row>
    <row r="40" customFormat="false" ht="15.75" hidden="false" customHeight="false" outlineLevel="0" collapsed="false">
      <c r="A40" s="3" t="n">
        <v>39</v>
      </c>
      <c r="B40" s="4" t="n">
        <v>45508</v>
      </c>
      <c r="C40" s="10" t="str">
        <f aca="false">PROPER(TEXT(WEEKDAY(B40),"dddd"))</f>
        <v>Domingo</v>
      </c>
      <c r="D40" s="11" t="n">
        <v>0.65625</v>
      </c>
      <c r="E40" s="3" t="n">
        <v>39</v>
      </c>
      <c r="F40" s="3" t="n">
        <v>39</v>
      </c>
      <c r="G40" s="3" t="n">
        <v>2</v>
      </c>
      <c r="H40" s="3" t="n">
        <v>1</v>
      </c>
      <c r="I40" s="3" t="n">
        <v>1</v>
      </c>
      <c r="J40" s="3" t="n">
        <v>1</v>
      </c>
      <c r="K40" s="6" t="n">
        <v>8.8</v>
      </c>
      <c r="L40" s="7"/>
      <c r="M40" s="7"/>
      <c r="N40" s="7"/>
      <c r="O40" s="7"/>
      <c r="P40" s="7"/>
      <c r="Q40" s="8"/>
      <c r="Z40" s="9"/>
    </row>
    <row r="41" customFormat="false" ht="15.75" hidden="false" customHeight="false" outlineLevel="0" collapsed="false">
      <c r="A41" s="3" t="n">
        <v>40</v>
      </c>
      <c r="B41" s="4" t="n">
        <v>45508</v>
      </c>
      <c r="C41" s="10" t="str">
        <f aca="false">PROPER(TEXT(WEEKDAY(B41),"dddd"))</f>
        <v>Domingo</v>
      </c>
      <c r="D41" s="11" t="n">
        <v>0.670833333333333</v>
      </c>
      <c r="E41" s="3" t="n">
        <v>40</v>
      </c>
      <c r="F41" s="3" t="n">
        <v>40</v>
      </c>
      <c r="G41" s="3" t="n">
        <v>2</v>
      </c>
      <c r="H41" s="3" t="n">
        <v>1</v>
      </c>
      <c r="I41" s="3" t="n">
        <v>1</v>
      </c>
      <c r="J41" s="3" t="n">
        <v>1</v>
      </c>
      <c r="K41" s="6" t="n">
        <v>5.35</v>
      </c>
      <c r="L41" s="7"/>
      <c r="M41" s="7"/>
      <c r="N41" s="7"/>
      <c r="O41" s="7"/>
      <c r="P41" s="7"/>
      <c r="Q41" s="8"/>
      <c r="Z41" s="9"/>
    </row>
    <row r="42" customFormat="false" ht="15.75" hidden="false" customHeight="false" outlineLevel="0" collapsed="false">
      <c r="A42" s="3" t="n">
        <v>41</v>
      </c>
      <c r="B42" s="4" t="n">
        <v>45508</v>
      </c>
      <c r="C42" s="10" t="str">
        <f aca="false">PROPER(TEXT(WEEKDAY(B42),"dddd"))</f>
        <v>Domingo</v>
      </c>
      <c r="D42" s="11" t="n">
        <v>0.694444444444444</v>
      </c>
      <c r="E42" s="3" t="n">
        <v>41</v>
      </c>
      <c r="F42" s="3" t="n">
        <v>41</v>
      </c>
      <c r="G42" s="3" t="n">
        <v>1</v>
      </c>
      <c r="H42" s="3" t="n">
        <v>1</v>
      </c>
      <c r="I42" s="3" t="n">
        <v>1</v>
      </c>
      <c r="J42" s="3" t="n">
        <v>1</v>
      </c>
      <c r="K42" s="6" t="n">
        <v>18.8</v>
      </c>
      <c r="L42" s="7"/>
      <c r="M42" s="7"/>
      <c r="N42" s="7"/>
      <c r="O42" s="7"/>
      <c r="P42" s="7"/>
      <c r="Q42" s="8"/>
      <c r="Z42" s="9"/>
    </row>
    <row r="43" customFormat="false" ht="15.75" hidden="false" customHeight="false" outlineLevel="0" collapsed="false">
      <c r="A43" s="3" t="n">
        <v>42</v>
      </c>
      <c r="B43" s="4" t="n">
        <v>45508</v>
      </c>
      <c r="C43" s="10" t="str">
        <f aca="false">PROPER(TEXT(WEEKDAY(B43),"dddd"))</f>
        <v>Domingo</v>
      </c>
      <c r="D43" s="11" t="n">
        <v>0.704861111111111</v>
      </c>
      <c r="E43" s="3" t="n">
        <v>42</v>
      </c>
      <c r="F43" s="3" t="n">
        <v>42</v>
      </c>
      <c r="G43" s="3" t="n">
        <v>1</v>
      </c>
      <c r="H43" s="3" t="n">
        <v>1</v>
      </c>
      <c r="I43" s="3" t="n">
        <v>1</v>
      </c>
      <c r="J43" s="3" t="n">
        <v>1</v>
      </c>
      <c r="K43" s="6" t="n">
        <v>6.4</v>
      </c>
      <c r="L43" s="7"/>
      <c r="M43" s="7"/>
      <c r="N43" s="7"/>
      <c r="O43" s="7"/>
      <c r="P43" s="7"/>
      <c r="Q43" s="8"/>
      <c r="Z43" s="9"/>
    </row>
    <row r="44" customFormat="false" ht="15.75" hidden="false" customHeight="false" outlineLevel="0" collapsed="false">
      <c r="A44" s="3" t="n">
        <v>43</v>
      </c>
      <c r="B44" s="4" t="n">
        <v>45508</v>
      </c>
      <c r="C44" s="10" t="str">
        <f aca="false">PROPER(TEXT(WEEKDAY(B44),"dddd"))</f>
        <v>Domingo</v>
      </c>
      <c r="D44" s="11" t="n">
        <v>0.711111111111111</v>
      </c>
      <c r="E44" s="3" t="n">
        <v>43</v>
      </c>
      <c r="F44" s="3" t="n">
        <v>43</v>
      </c>
      <c r="G44" s="3" t="n">
        <v>5</v>
      </c>
      <c r="H44" s="3" t="n">
        <v>1</v>
      </c>
      <c r="I44" s="3" t="n">
        <v>1</v>
      </c>
      <c r="J44" s="3" t="n">
        <v>1</v>
      </c>
      <c r="K44" s="6" t="n">
        <v>0</v>
      </c>
      <c r="L44" s="7"/>
      <c r="M44" s="7"/>
      <c r="N44" s="7"/>
      <c r="O44" s="7"/>
      <c r="P44" s="7"/>
      <c r="Q44" s="8"/>
      <c r="Z44" s="9"/>
    </row>
    <row r="45" customFormat="false" ht="15.75" hidden="false" customHeight="false" outlineLevel="0" collapsed="false">
      <c r="A45" s="3" t="n">
        <v>44</v>
      </c>
      <c r="B45" s="4" t="n">
        <v>45508</v>
      </c>
      <c r="C45" s="10" t="str">
        <f aca="false">PROPER(TEXT(WEEKDAY(B45),"dddd"))</f>
        <v>Domingo</v>
      </c>
      <c r="D45" s="11" t="n">
        <v>0.715972222222222</v>
      </c>
      <c r="E45" s="3" t="n">
        <v>44</v>
      </c>
      <c r="F45" s="3" t="n">
        <v>44</v>
      </c>
      <c r="G45" s="3" t="n">
        <v>1</v>
      </c>
      <c r="H45" s="3" t="n">
        <v>1</v>
      </c>
      <c r="I45" s="3" t="n">
        <v>1</v>
      </c>
      <c r="J45" s="3" t="n">
        <v>1</v>
      </c>
      <c r="K45" s="6" t="n">
        <v>11.2</v>
      </c>
      <c r="L45" s="7"/>
      <c r="M45" s="7"/>
      <c r="N45" s="7"/>
      <c r="O45" s="7"/>
      <c r="P45" s="7"/>
      <c r="Q45" s="8"/>
      <c r="Z45" s="9"/>
    </row>
    <row r="46" customFormat="false" ht="15.75" hidden="false" customHeight="false" outlineLevel="0" collapsed="false">
      <c r="A46" s="3" t="n">
        <v>45</v>
      </c>
      <c r="B46" s="4" t="n">
        <v>45508</v>
      </c>
      <c r="C46" s="10" t="str">
        <f aca="false">PROPER(TEXT(WEEKDAY(B46),"dddd"))</f>
        <v>Domingo</v>
      </c>
      <c r="D46" s="11" t="n">
        <v>0.729861111111111</v>
      </c>
      <c r="E46" s="3" t="n">
        <v>45</v>
      </c>
      <c r="F46" s="3" t="n">
        <v>45</v>
      </c>
      <c r="G46" s="3" t="n">
        <v>2</v>
      </c>
      <c r="H46" s="3" t="n">
        <v>1</v>
      </c>
      <c r="I46" s="3" t="n">
        <v>1</v>
      </c>
      <c r="J46" s="3" t="n">
        <v>1</v>
      </c>
      <c r="K46" s="6" t="n">
        <v>36.2</v>
      </c>
      <c r="L46" s="7"/>
      <c r="M46" s="7"/>
      <c r="N46" s="7"/>
      <c r="O46" s="7"/>
      <c r="P46" s="7"/>
      <c r="Q46" s="8"/>
      <c r="Z46" s="9"/>
    </row>
    <row r="47" customFormat="false" ht="15.75" hidden="false" customHeight="false" outlineLevel="0" collapsed="false">
      <c r="A47" s="3" t="n">
        <v>46</v>
      </c>
      <c r="B47" s="4" t="n">
        <v>45508</v>
      </c>
      <c r="C47" s="10" t="str">
        <f aca="false">PROPER(TEXT(WEEKDAY(B47),"dddd"))</f>
        <v>Domingo</v>
      </c>
      <c r="D47" s="11" t="n">
        <v>0.761805555555556</v>
      </c>
      <c r="E47" s="3" t="n">
        <v>46</v>
      </c>
      <c r="F47" s="3" t="n">
        <v>46</v>
      </c>
      <c r="G47" s="3" t="n">
        <v>1</v>
      </c>
      <c r="H47" s="3" t="n">
        <v>1</v>
      </c>
      <c r="I47" s="3" t="n">
        <v>1</v>
      </c>
      <c r="J47" s="3" t="n">
        <v>1</v>
      </c>
      <c r="K47" s="6" t="n">
        <v>24.5</v>
      </c>
      <c r="L47" s="7"/>
      <c r="N47" s="7"/>
      <c r="O47" s="7"/>
      <c r="P47" s="7"/>
      <c r="Q47" s="8"/>
      <c r="Z47" s="9"/>
    </row>
    <row r="48" customFormat="false" ht="15.75" hidden="false" customHeight="false" outlineLevel="0" collapsed="false">
      <c r="A48" s="3" t="n">
        <v>47</v>
      </c>
      <c r="B48" s="4" t="n">
        <v>45508</v>
      </c>
      <c r="C48" s="10" t="str">
        <f aca="false">PROPER(TEXT(WEEKDAY(B48),"dddd"))</f>
        <v>Domingo</v>
      </c>
      <c r="D48" s="11" t="n">
        <v>0.78125</v>
      </c>
      <c r="E48" s="3" t="n">
        <v>47</v>
      </c>
      <c r="F48" s="3" t="n">
        <v>47</v>
      </c>
      <c r="G48" s="3" t="n">
        <v>2</v>
      </c>
      <c r="H48" s="3" t="n">
        <v>1</v>
      </c>
      <c r="I48" s="3" t="n">
        <v>1</v>
      </c>
      <c r="J48" s="3" t="n">
        <v>1</v>
      </c>
      <c r="K48" s="6" t="n">
        <v>0.71</v>
      </c>
      <c r="L48" s="7"/>
      <c r="M48" s="14"/>
      <c r="N48" s="7"/>
      <c r="O48" s="7"/>
      <c r="P48" s="7"/>
      <c r="Q48" s="8"/>
      <c r="Z48" s="9"/>
    </row>
    <row r="49" customFormat="false" ht="15.75" hidden="false" customHeight="false" outlineLevel="0" collapsed="false">
      <c r="A49" s="3" t="n">
        <v>48</v>
      </c>
      <c r="B49" s="4" t="n">
        <v>45508</v>
      </c>
      <c r="C49" s="10" t="str">
        <f aca="false">PROPER(TEXT(WEEKDAY(B49),"dddd"))</f>
        <v>Domingo</v>
      </c>
      <c r="D49" s="11" t="n">
        <v>0.788194444444444</v>
      </c>
      <c r="E49" s="3" t="n">
        <v>48</v>
      </c>
      <c r="F49" s="3" t="n">
        <v>48</v>
      </c>
      <c r="G49" s="3" t="n">
        <v>2</v>
      </c>
      <c r="H49" s="3" t="n">
        <v>1</v>
      </c>
      <c r="I49" s="3" t="n">
        <v>1</v>
      </c>
      <c r="J49" s="3" t="n">
        <v>1</v>
      </c>
      <c r="K49" s="6" t="n">
        <v>5.53</v>
      </c>
      <c r="L49" s="7"/>
      <c r="N49" s="7"/>
      <c r="O49" s="7"/>
      <c r="P49" s="7"/>
      <c r="Q49" s="8"/>
      <c r="Z49" s="9"/>
    </row>
    <row r="50" customFormat="false" ht="15.75" hidden="false" customHeight="false" outlineLevel="0" collapsed="false">
      <c r="A50" s="3" t="n">
        <v>49</v>
      </c>
      <c r="B50" s="4" t="n">
        <v>45508</v>
      </c>
      <c r="C50" s="10" t="str">
        <f aca="false">PROPER(TEXT(WEEKDAY(B50),"dddd"))</f>
        <v>Domingo</v>
      </c>
      <c r="D50" s="11" t="n">
        <v>0.809027777777778</v>
      </c>
      <c r="E50" s="3" t="n">
        <v>49</v>
      </c>
      <c r="F50" s="3" t="n">
        <v>49</v>
      </c>
      <c r="G50" s="3" t="n">
        <v>1</v>
      </c>
      <c r="H50" s="3" t="n">
        <v>1</v>
      </c>
      <c r="I50" s="3" t="n">
        <v>1</v>
      </c>
      <c r="J50" s="3" t="n">
        <v>1</v>
      </c>
      <c r="K50" s="6" t="n">
        <v>15.3</v>
      </c>
      <c r="L50" s="7"/>
      <c r="N50" s="7"/>
      <c r="O50" s="7"/>
      <c r="P50" s="7"/>
      <c r="Q50" s="8"/>
      <c r="Z50" s="9"/>
    </row>
    <row r="51" customFormat="false" ht="15.75" hidden="false" customHeight="false" outlineLevel="0" collapsed="false">
      <c r="A51" s="3" t="n">
        <v>50</v>
      </c>
      <c r="B51" s="4" t="n">
        <v>45509</v>
      </c>
      <c r="C51" s="10" t="str">
        <f aca="false">PROPER(TEXT(WEEKDAY(B51),"dddd"))</f>
        <v>Segunda-Feira</v>
      </c>
      <c r="D51" s="11" t="n">
        <v>0.181944444444444</v>
      </c>
      <c r="E51" s="3" t="n">
        <v>50</v>
      </c>
      <c r="F51" s="3" t="n">
        <v>50</v>
      </c>
      <c r="G51" s="3" t="n">
        <v>1</v>
      </c>
      <c r="H51" s="3" t="n">
        <v>1</v>
      </c>
      <c r="I51" s="3" t="n">
        <v>1</v>
      </c>
      <c r="J51" s="3" t="n">
        <v>1</v>
      </c>
      <c r="K51" s="6" t="n">
        <v>3.5</v>
      </c>
      <c r="L51" s="7"/>
      <c r="M51" s="7"/>
      <c r="N51" s="7"/>
      <c r="O51" s="7"/>
      <c r="P51" s="7"/>
      <c r="Q51" s="8"/>
      <c r="Z51" s="9"/>
    </row>
    <row r="52" customFormat="false" ht="15.75" hidden="false" customHeight="false" outlineLevel="0" collapsed="false">
      <c r="A52" s="3" t="n">
        <v>51</v>
      </c>
      <c r="B52" s="4" t="n">
        <v>45509</v>
      </c>
      <c r="C52" s="10" t="str">
        <f aca="false">PROPER(TEXT(WEEKDAY(B52),"dddd"))</f>
        <v>Segunda-Feira</v>
      </c>
      <c r="D52" s="11" t="n">
        <v>0.188888888888889</v>
      </c>
      <c r="E52" s="3" t="n">
        <v>51</v>
      </c>
      <c r="F52" s="3" t="n">
        <v>51</v>
      </c>
      <c r="G52" s="3" t="n">
        <v>2</v>
      </c>
      <c r="H52" s="3" t="n">
        <v>1</v>
      </c>
      <c r="I52" s="3" t="n">
        <v>1</v>
      </c>
      <c r="J52" s="3" t="n">
        <v>1</v>
      </c>
      <c r="K52" s="6" t="n">
        <v>11.1</v>
      </c>
      <c r="L52" s="7"/>
      <c r="M52" s="7"/>
      <c r="N52" s="7"/>
      <c r="O52" s="7"/>
      <c r="P52" s="7"/>
      <c r="Q52" s="8"/>
      <c r="Z52" s="9"/>
    </row>
    <row r="53" customFormat="false" ht="15.75" hidden="false" customHeight="false" outlineLevel="0" collapsed="false">
      <c r="A53" s="3" t="n">
        <v>52</v>
      </c>
      <c r="B53" s="4" t="n">
        <v>45509</v>
      </c>
      <c r="C53" s="10" t="str">
        <f aca="false">PROPER(TEXT(WEEKDAY(B53),"dddd"))</f>
        <v>Segunda-Feira</v>
      </c>
      <c r="D53" s="11" t="n">
        <v>0.194444444444444</v>
      </c>
      <c r="E53" s="3" t="n">
        <v>52</v>
      </c>
      <c r="F53" s="3" t="n">
        <v>52</v>
      </c>
      <c r="G53" s="3" t="n">
        <v>2</v>
      </c>
      <c r="H53" s="3" t="n">
        <v>1</v>
      </c>
      <c r="I53" s="3" t="n">
        <v>1</v>
      </c>
      <c r="J53" s="3" t="n">
        <v>1</v>
      </c>
      <c r="K53" s="6" t="n">
        <v>10.7</v>
      </c>
      <c r="L53" s="7"/>
      <c r="M53" s="7"/>
      <c r="N53" s="7"/>
      <c r="O53" s="7"/>
      <c r="P53" s="7"/>
      <c r="Q53" s="8"/>
      <c r="Z53" s="9"/>
    </row>
    <row r="54" customFormat="false" ht="15.75" hidden="false" customHeight="false" outlineLevel="0" collapsed="false">
      <c r="A54" s="3" t="n">
        <v>53</v>
      </c>
      <c r="B54" s="4" t="n">
        <v>45509</v>
      </c>
      <c r="C54" s="10" t="str">
        <f aca="false">PROPER(TEXT(WEEKDAY(B54),"dddd"))</f>
        <v>Segunda-Feira</v>
      </c>
      <c r="D54" s="11" t="n">
        <v>0.209027777777778</v>
      </c>
      <c r="E54" s="3" t="n">
        <v>53</v>
      </c>
      <c r="F54" s="3" t="n">
        <v>53</v>
      </c>
      <c r="G54" s="3" t="n">
        <v>2</v>
      </c>
      <c r="H54" s="3" t="n">
        <v>1</v>
      </c>
      <c r="I54" s="3" t="n">
        <v>1</v>
      </c>
      <c r="J54" s="3" t="n">
        <v>1</v>
      </c>
      <c r="K54" s="6" t="n">
        <v>2.8</v>
      </c>
      <c r="L54" s="7"/>
      <c r="M54" s="7"/>
      <c r="N54" s="7"/>
      <c r="O54" s="7"/>
      <c r="P54" s="7"/>
      <c r="Q54" s="8"/>
      <c r="Z54" s="9"/>
    </row>
    <row r="55" customFormat="false" ht="15.75" hidden="false" customHeight="false" outlineLevel="0" collapsed="false">
      <c r="A55" s="3" t="n">
        <v>54</v>
      </c>
      <c r="B55" s="4" t="n">
        <v>45509</v>
      </c>
      <c r="C55" s="10" t="str">
        <f aca="false">PROPER(TEXT(WEEKDAY(B55),"dddd"))</f>
        <v>Segunda-Feira</v>
      </c>
      <c r="D55" s="11" t="n">
        <v>0.213888888888889</v>
      </c>
      <c r="E55" s="3" t="n">
        <v>54</v>
      </c>
      <c r="F55" s="3" t="n">
        <v>54</v>
      </c>
      <c r="G55" s="3" t="n">
        <v>1</v>
      </c>
      <c r="H55" s="3" t="n">
        <v>1</v>
      </c>
      <c r="I55" s="3" t="n">
        <v>1</v>
      </c>
      <c r="J55" s="3" t="n">
        <v>1</v>
      </c>
      <c r="K55" s="6" t="n">
        <v>4.6</v>
      </c>
      <c r="L55" s="7"/>
      <c r="M55" s="7"/>
      <c r="N55" s="7"/>
      <c r="O55" s="7"/>
      <c r="P55" s="7"/>
      <c r="Q55" s="8"/>
      <c r="Z55" s="9"/>
    </row>
    <row r="56" customFormat="false" ht="15.75" hidden="false" customHeight="false" outlineLevel="0" collapsed="false">
      <c r="A56" s="3" t="n">
        <v>55</v>
      </c>
      <c r="B56" s="4" t="n">
        <v>45509</v>
      </c>
      <c r="C56" s="10" t="str">
        <f aca="false">PROPER(TEXT(WEEKDAY(B56),"dddd"))</f>
        <v>Segunda-Feira</v>
      </c>
      <c r="D56" s="11" t="n">
        <v>0.24375</v>
      </c>
      <c r="E56" s="3" t="n">
        <v>55</v>
      </c>
      <c r="F56" s="3" t="n">
        <v>55</v>
      </c>
      <c r="G56" s="3" t="n">
        <v>2</v>
      </c>
      <c r="H56" s="3" t="n">
        <v>1</v>
      </c>
      <c r="I56" s="3" t="n">
        <v>1</v>
      </c>
      <c r="J56" s="3" t="n">
        <v>1</v>
      </c>
      <c r="K56" s="6" t="n">
        <v>25.9</v>
      </c>
      <c r="L56" s="7"/>
      <c r="M56" s="7"/>
      <c r="N56" s="7"/>
      <c r="O56" s="7"/>
      <c r="P56" s="7"/>
      <c r="Q56" s="8"/>
      <c r="Z56" s="9"/>
    </row>
    <row r="57" customFormat="false" ht="15.75" hidden="false" customHeight="false" outlineLevel="0" collapsed="false">
      <c r="A57" s="3" t="n">
        <v>56</v>
      </c>
      <c r="B57" s="4" t="n">
        <v>45509</v>
      </c>
      <c r="C57" s="10" t="str">
        <f aca="false">PROPER(TEXT(WEEKDAY(B57),"dddd"))</f>
        <v>Segunda-Feira</v>
      </c>
      <c r="D57" s="11" t="n">
        <v>0.266666666666667</v>
      </c>
      <c r="E57" s="3" t="n">
        <v>56</v>
      </c>
      <c r="F57" s="3" t="n">
        <v>56</v>
      </c>
      <c r="G57" s="3" t="n">
        <v>2</v>
      </c>
      <c r="H57" s="3" t="n">
        <v>1</v>
      </c>
      <c r="I57" s="3" t="n">
        <v>1</v>
      </c>
      <c r="J57" s="3" t="n">
        <v>1</v>
      </c>
      <c r="K57" s="6" t="n">
        <v>17.3</v>
      </c>
      <c r="L57" s="7"/>
      <c r="M57" s="7"/>
      <c r="N57" s="7"/>
      <c r="O57" s="7"/>
      <c r="P57" s="7"/>
      <c r="Q57" s="8"/>
      <c r="Z57" s="9"/>
    </row>
    <row r="58" customFormat="false" ht="15.75" hidden="false" customHeight="false" outlineLevel="0" collapsed="false">
      <c r="A58" s="3" t="n">
        <v>57</v>
      </c>
      <c r="B58" s="4" t="n">
        <v>45509</v>
      </c>
      <c r="C58" s="10" t="str">
        <f aca="false">PROPER(TEXT(WEEKDAY(B58),"dddd"))</f>
        <v>Segunda-Feira</v>
      </c>
      <c r="D58" s="11" t="n">
        <v>0.28125</v>
      </c>
      <c r="E58" s="3" t="n">
        <v>57</v>
      </c>
      <c r="F58" s="3" t="n">
        <v>57</v>
      </c>
      <c r="G58" s="3" t="n">
        <v>1</v>
      </c>
      <c r="H58" s="3" t="n">
        <v>1</v>
      </c>
      <c r="I58" s="3" t="n">
        <v>1</v>
      </c>
      <c r="J58" s="3" t="n">
        <v>1</v>
      </c>
      <c r="K58" s="6" t="n">
        <v>9</v>
      </c>
      <c r="L58" s="7"/>
      <c r="M58" s="7"/>
      <c r="N58" s="7"/>
      <c r="O58" s="7"/>
      <c r="P58" s="7"/>
      <c r="Q58" s="8"/>
      <c r="Z58" s="9"/>
    </row>
    <row r="59" customFormat="false" ht="15.75" hidden="false" customHeight="false" outlineLevel="0" collapsed="false">
      <c r="A59" s="3" t="n">
        <v>58</v>
      </c>
      <c r="B59" s="4" t="n">
        <v>45509</v>
      </c>
      <c r="C59" s="10" t="str">
        <f aca="false">PROPER(TEXT(WEEKDAY(B59),"dddd"))</f>
        <v>Segunda-Feira</v>
      </c>
      <c r="D59" s="11" t="n">
        <v>0.285416666666667</v>
      </c>
      <c r="E59" s="3" t="n">
        <v>58</v>
      </c>
      <c r="F59" s="3" t="n">
        <v>58</v>
      </c>
      <c r="G59" s="3" t="n">
        <v>2</v>
      </c>
      <c r="H59" s="3" t="n">
        <v>1</v>
      </c>
      <c r="I59" s="3" t="n">
        <v>1</v>
      </c>
      <c r="J59" s="3" t="n">
        <v>1</v>
      </c>
      <c r="K59" s="6" t="n">
        <v>15.3</v>
      </c>
      <c r="L59" s="7"/>
      <c r="M59" s="7"/>
      <c r="N59" s="7"/>
      <c r="O59" s="7"/>
      <c r="P59" s="7"/>
      <c r="Q59" s="8"/>
      <c r="Z59" s="9"/>
    </row>
    <row r="60" customFormat="false" ht="15.75" hidden="false" customHeight="false" outlineLevel="0" collapsed="false">
      <c r="A60" s="3" t="n">
        <v>59</v>
      </c>
      <c r="B60" s="4" t="n">
        <v>45509</v>
      </c>
      <c r="C60" s="10" t="str">
        <f aca="false">PROPER(TEXT(WEEKDAY(B60),"dddd"))</f>
        <v>Segunda-Feira</v>
      </c>
      <c r="D60" s="11" t="n">
        <v>0.305555555555556</v>
      </c>
      <c r="E60" s="3" t="n">
        <v>59</v>
      </c>
      <c r="F60" s="3" t="n">
        <v>59</v>
      </c>
      <c r="G60" s="3" t="n">
        <v>1</v>
      </c>
      <c r="H60" s="3" t="n">
        <v>1</v>
      </c>
      <c r="I60" s="3" t="n">
        <v>1</v>
      </c>
      <c r="J60" s="3" t="n">
        <v>1</v>
      </c>
      <c r="K60" s="6" t="n">
        <v>25.7</v>
      </c>
      <c r="L60" s="7"/>
      <c r="M60" s="7"/>
      <c r="N60" s="7"/>
      <c r="O60" s="7"/>
      <c r="P60" s="7"/>
      <c r="Q60" s="8"/>
      <c r="Z60" s="9"/>
    </row>
    <row r="61" customFormat="false" ht="15.75" hidden="false" customHeight="false" outlineLevel="0" collapsed="false">
      <c r="A61" s="3" t="n">
        <v>60</v>
      </c>
      <c r="B61" s="4" t="n">
        <v>45509</v>
      </c>
      <c r="C61" s="10" t="str">
        <f aca="false">PROPER(TEXT(WEEKDAY(B61),"dddd"))</f>
        <v>Segunda-Feira</v>
      </c>
      <c r="D61" s="11" t="n">
        <v>0.45625</v>
      </c>
      <c r="E61" s="3" t="n">
        <v>60</v>
      </c>
      <c r="F61" s="3" t="n">
        <v>60</v>
      </c>
      <c r="G61" s="3" t="n">
        <v>2</v>
      </c>
      <c r="H61" s="3" t="n">
        <v>1</v>
      </c>
      <c r="I61" s="3" t="n">
        <v>1</v>
      </c>
      <c r="J61" s="3" t="n">
        <v>1</v>
      </c>
      <c r="K61" s="6" t="n">
        <v>38</v>
      </c>
      <c r="L61" s="7"/>
      <c r="M61" s="7"/>
      <c r="N61" s="7"/>
      <c r="O61" s="7"/>
      <c r="P61" s="7"/>
      <c r="Q61" s="8"/>
      <c r="Z61" s="9"/>
    </row>
    <row r="62" customFormat="false" ht="15.75" hidden="false" customHeight="false" outlineLevel="0" collapsed="false">
      <c r="A62" s="3" t="n">
        <v>61</v>
      </c>
      <c r="B62" s="4" t="n">
        <v>45509</v>
      </c>
      <c r="C62" s="10" t="str">
        <f aca="false">PROPER(TEXT(WEEKDAY(B62),"dddd"))</f>
        <v>Segunda-Feira</v>
      </c>
      <c r="D62" s="11" t="n">
        <v>0.495138888888889</v>
      </c>
      <c r="E62" s="3" t="n">
        <v>61</v>
      </c>
      <c r="F62" s="3" t="n">
        <v>61</v>
      </c>
      <c r="G62" s="3" t="n">
        <v>1</v>
      </c>
      <c r="H62" s="3" t="n">
        <v>1</v>
      </c>
      <c r="I62" s="3" t="n">
        <v>1</v>
      </c>
      <c r="J62" s="3" t="n">
        <v>1</v>
      </c>
      <c r="K62" s="6" t="n">
        <v>8.7</v>
      </c>
      <c r="L62" s="7"/>
      <c r="M62" s="7"/>
      <c r="N62" s="7"/>
      <c r="O62" s="7"/>
      <c r="P62" s="7"/>
      <c r="Q62" s="8"/>
      <c r="Z62" s="9"/>
    </row>
    <row r="63" customFormat="false" ht="15.75" hidden="false" customHeight="false" outlineLevel="0" collapsed="false">
      <c r="A63" s="3" t="n">
        <v>62</v>
      </c>
      <c r="B63" s="4" t="n">
        <v>45509</v>
      </c>
      <c r="C63" s="10" t="str">
        <f aca="false">PROPER(TEXT(WEEKDAY(B63),"dddd"))</f>
        <v>Segunda-Feira</v>
      </c>
      <c r="D63" s="11" t="n">
        <v>0.513888888888889</v>
      </c>
      <c r="E63" s="3" t="n">
        <v>62</v>
      </c>
      <c r="F63" s="3" t="n">
        <v>62</v>
      </c>
      <c r="G63" s="3" t="n">
        <v>1</v>
      </c>
      <c r="H63" s="3" t="n">
        <v>1</v>
      </c>
      <c r="I63" s="3" t="n">
        <v>1</v>
      </c>
      <c r="J63" s="3" t="n">
        <v>1</v>
      </c>
      <c r="K63" s="6" t="n">
        <v>14.7</v>
      </c>
      <c r="L63" s="7"/>
      <c r="M63" s="7"/>
      <c r="N63" s="7"/>
      <c r="O63" s="7"/>
      <c r="P63" s="7"/>
      <c r="Q63" s="8"/>
      <c r="Z63" s="9"/>
    </row>
    <row r="64" customFormat="false" ht="15.75" hidden="false" customHeight="false" outlineLevel="0" collapsed="false">
      <c r="A64" s="3" t="n">
        <v>63</v>
      </c>
      <c r="B64" s="4" t="n">
        <v>45509</v>
      </c>
      <c r="C64" s="10" t="str">
        <f aca="false">PROPER(TEXT(WEEKDAY(B64),"dddd"))</f>
        <v>Segunda-Feira</v>
      </c>
      <c r="D64" s="11" t="n">
        <v>0.529166666666667</v>
      </c>
      <c r="E64" s="3" t="n">
        <v>63</v>
      </c>
      <c r="F64" s="3" t="n">
        <v>63</v>
      </c>
      <c r="G64" s="3" t="n">
        <v>1</v>
      </c>
      <c r="H64" s="3" t="n">
        <v>1</v>
      </c>
      <c r="I64" s="3" t="n">
        <v>1</v>
      </c>
      <c r="J64" s="3" t="n">
        <v>1</v>
      </c>
      <c r="K64" s="6" t="n">
        <v>11.1</v>
      </c>
      <c r="L64" s="7"/>
      <c r="M64" s="7"/>
      <c r="N64" s="7"/>
      <c r="O64" s="7"/>
      <c r="P64" s="7"/>
      <c r="Q64" s="8"/>
      <c r="Z64" s="9"/>
    </row>
    <row r="65" customFormat="false" ht="15.75" hidden="false" customHeight="false" outlineLevel="0" collapsed="false">
      <c r="A65" s="3" t="n">
        <v>64</v>
      </c>
      <c r="B65" s="4" t="n">
        <v>45510</v>
      </c>
      <c r="C65" s="10" t="str">
        <f aca="false">PROPER(TEXT(WEEKDAY(B65),"dddd"))</f>
        <v>Terça-Feira</v>
      </c>
      <c r="D65" s="11" t="n">
        <v>0.206944444444444</v>
      </c>
      <c r="E65" s="3" t="n">
        <v>64</v>
      </c>
      <c r="F65" s="3" t="n">
        <v>64</v>
      </c>
      <c r="G65" s="3" t="n">
        <v>2</v>
      </c>
      <c r="H65" s="3" t="n">
        <v>1</v>
      </c>
      <c r="I65" s="3" t="n">
        <v>1</v>
      </c>
      <c r="J65" s="3" t="n">
        <v>1</v>
      </c>
      <c r="K65" s="6" t="n">
        <v>10.2</v>
      </c>
      <c r="L65" s="7"/>
      <c r="M65" s="7"/>
      <c r="N65" s="7"/>
      <c r="O65" s="7"/>
      <c r="P65" s="7"/>
      <c r="Q65" s="8"/>
      <c r="Z65" s="9"/>
    </row>
    <row r="66" customFormat="false" ht="15.75" hidden="false" customHeight="false" outlineLevel="0" collapsed="false">
      <c r="A66" s="3" t="n">
        <v>65</v>
      </c>
      <c r="B66" s="4" t="n">
        <v>45510</v>
      </c>
      <c r="C66" s="10" t="str">
        <f aca="false">PROPER(TEXT(WEEKDAY(B66),"dddd"))</f>
        <v>Terça-Feira</v>
      </c>
      <c r="D66" s="11" t="n">
        <v>0.25</v>
      </c>
      <c r="E66" s="3" t="n">
        <v>65</v>
      </c>
      <c r="F66" s="3" t="n">
        <v>65</v>
      </c>
      <c r="G66" s="3" t="n">
        <v>1</v>
      </c>
      <c r="H66" s="3" t="n">
        <v>1</v>
      </c>
      <c r="I66" s="3" t="n">
        <v>1</v>
      </c>
      <c r="J66" s="3" t="n">
        <v>1</v>
      </c>
      <c r="K66" s="6" t="n">
        <v>25.7</v>
      </c>
      <c r="L66" s="7"/>
      <c r="M66" s="7"/>
      <c r="N66" s="7"/>
      <c r="O66" s="7"/>
      <c r="P66" s="7"/>
      <c r="Q66" s="8"/>
      <c r="Z66" s="9"/>
    </row>
    <row r="67" customFormat="false" ht="15.75" hidden="false" customHeight="false" outlineLevel="0" collapsed="false">
      <c r="A67" s="3" t="n">
        <v>66</v>
      </c>
      <c r="B67" s="4" t="n">
        <v>45510</v>
      </c>
      <c r="C67" s="10" t="str">
        <f aca="false">PROPER(TEXT(WEEKDAY(B67),"dddd"))</f>
        <v>Terça-Feira</v>
      </c>
      <c r="D67" s="11" t="n">
        <v>0.267361111111111</v>
      </c>
      <c r="E67" s="3" t="n">
        <v>66</v>
      </c>
      <c r="F67" s="3" t="n">
        <v>66</v>
      </c>
      <c r="G67" s="3" t="n">
        <v>1</v>
      </c>
      <c r="H67" s="3" t="n">
        <v>1</v>
      </c>
      <c r="I67" s="3" t="n">
        <v>1</v>
      </c>
      <c r="J67" s="3" t="n">
        <v>1</v>
      </c>
      <c r="K67" s="6" t="n">
        <v>35.7</v>
      </c>
      <c r="L67" s="7"/>
      <c r="M67" s="7"/>
      <c r="N67" s="7"/>
      <c r="O67" s="7"/>
      <c r="P67" s="7"/>
      <c r="Q67" s="8"/>
      <c r="Z67" s="9"/>
    </row>
    <row r="68" customFormat="false" ht="15.75" hidden="false" customHeight="false" outlineLevel="0" collapsed="false">
      <c r="A68" s="3" t="n">
        <v>67</v>
      </c>
      <c r="B68" s="4" t="n">
        <v>45510</v>
      </c>
      <c r="C68" s="10" t="str">
        <f aca="false">PROPER(TEXT(WEEKDAY(B68),"dddd"))</f>
        <v>Terça-Feira</v>
      </c>
      <c r="D68" s="11" t="n">
        <v>0.302083333333333</v>
      </c>
      <c r="E68" s="3" t="n">
        <v>67</v>
      </c>
      <c r="F68" s="3" t="n">
        <v>67</v>
      </c>
      <c r="G68" s="3" t="n">
        <v>2</v>
      </c>
      <c r="H68" s="3" t="n">
        <v>1</v>
      </c>
      <c r="I68" s="3" t="n">
        <v>1</v>
      </c>
      <c r="J68" s="3" t="n">
        <v>1</v>
      </c>
      <c r="K68" s="6" t="n">
        <v>12.1</v>
      </c>
      <c r="L68" s="7"/>
      <c r="M68" s="7"/>
      <c r="N68" s="7"/>
      <c r="O68" s="7"/>
      <c r="P68" s="7"/>
      <c r="Q68" s="8"/>
      <c r="Z68" s="9"/>
    </row>
    <row r="69" customFormat="false" ht="15.75" hidden="false" customHeight="false" outlineLevel="0" collapsed="false">
      <c r="A69" s="3" t="n">
        <v>68</v>
      </c>
      <c r="B69" s="4" t="n">
        <v>45510</v>
      </c>
      <c r="C69" s="10" t="str">
        <f aca="false">PROPER(TEXT(WEEKDAY(B69),"dddd"))</f>
        <v>Terça-Feira</v>
      </c>
      <c r="D69" s="11" t="n">
        <v>0.318055555555556</v>
      </c>
      <c r="E69" s="3" t="n">
        <v>68</v>
      </c>
      <c r="F69" s="3" t="n">
        <v>68</v>
      </c>
      <c r="G69" s="3" t="n">
        <v>2</v>
      </c>
      <c r="H69" s="3" t="n">
        <v>1</v>
      </c>
      <c r="I69" s="3" t="n">
        <v>1</v>
      </c>
      <c r="J69" s="3" t="n">
        <v>1</v>
      </c>
      <c r="K69" s="6" t="n">
        <v>11.9</v>
      </c>
      <c r="L69" s="7"/>
      <c r="M69" s="7"/>
      <c r="N69" s="7"/>
      <c r="O69" s="7"/>
      <c r="P69" s="7"/>
      <c r="Q69" s="8"/>
      <c r="Z69" s="9"/>
    </row>
    <row r="70" customFormat="false" ht="15.75" hidden="false" customHeight="false" outlineLevel="0" collapsed="false">
      <c r="A70" s="3" t="n">
        <v>69</v>
      </c>
      <c r="B70" s="4" t="n">
        <v>45510</v>
      </c>
      <c r="C70" s="10" t="str">
        <f aca="false">PROPER(TEXT(WEEKDAY(B70),"dddd"))</f>
        <v>Terça-Feira</v>
      </c>
      <c r="D70" s="11" t="n">
        <v>0.325</v>
      </c>
      <c r="E70" s="3" t="n">
        <v>69</v>
      </c>
      <c r="F70" s="3" t="n">
        <v>69</v>
      </c>
      <c r="G70" s="3" t="n">
        <v>2</v>
      </c>
      <c r="H70" s="3" t="n">
        <v>1</v>
      </c>
      <c r="I70" s="3" t="n">
        <v>1</v>
      </c>
      <c r="J70" s="3" t="n">
        <v>1</v>
      </c>
      <c r="K70" s="6" t="n">
        <v>19.5</v>
      </c>
      <c r="L70" s="7"/>
      <c r="M70" s="7"/>
      <c r="N70" s="7"/>
      <c r="O70" s="7"/>
      <c r="P70" s="7"/>
      <c r="Q70" s="8"/>
      <c r="Z70" s="9"/>
    </row>
    <row r="71" customFormat="false" ht="15.75" hidden="false" customHeight="false" outlineLevel="0" collapsed="false">
      <c r="A71" s="3" t="n">
        <v>70</v>
      </c>
      <c r="B71" s="4" t="n">
        <v>45510</v>
      </c>
      <c r="C71" s="10" t="str">
        <f aca="false">PROPER(TEXT(WEEKDAY(B71),"dddd"))</f>
        <v>Terça-Feira</v>
      </c>
      <c r="D71" s="11" t="n">
        <v>0.341666666666667</v>
      </c>
      <c r="E71" s="3" t="n">
        <v>70</v>
      </c>
      <c r="F71" s="3" t="n">
        <v>70</v>
      </c>
      <c r="G71" s="3" t="n">
        <v>1</v>
      </c>
      <c r="H71" s="3" t="n">
        <v>1</v>
      </c>
      <c r="I71" s="3" t="n">
        <v>1</v>
      </c>
      <c r="J71" s="3" t="n">
        <v>1</v>
      </c>
      <c r="K71" s="6" t="n">
        <v>6.6</v>
      </c>
      <c r="L71" s="7"/>
      <c r="M71" s="7"/>
      <c r="N71" s="7"/>
      <c r="O71" s="7"/>
      <c r="P71" s="7"/>
      <c r="Q71" s="8"/>
      <c r="Z71" s="9"/>
    </row>
    <row r="72" customFormat="false" ht="15.75" hidden="false" customHeight="false" outlineLevel="0" collapsed="false">
      <c r="A72" s="3" t="n">
        <v>71</v>
      </c>
      <c r="B72" s="4" t="n">
        <v>45510</v>
      </c>
      <c r="C72" s="10" t="str">
        <f aca="false">PROPER(TEXT(WEEKDAY(B72),"dddd"))</f>
        <v>Terça-Feira</v>
      </c>
      <c r="D72" s="11" t="n">
        <v>0.384027777777778</v>
      </c>
      <c r="E72" s="3" t="n">
        <v>71</v>
      </c>
      <c r="F72" s="3" t="n">
        <v>71</v>
      </c>
      <c r="G72" s="3" t="n">
        <v>2</v>
      </c>
      <c r="H72" s="3" t="n">
        <v>1</v>
      </c>
      <c r="I72" s="3" t="n">
        <v>1</v>
      </c>
      <c r="J72" s="3" t="n">
        <v>1</v>
      </c>
      <c r="K72" s="6" t="n">
        <v>33</v>
      </c>
      <c r="L72" s="7"/>
      <c r="M72" s="7"/>
      <c r="N72" s="7"/>
      <c r="O72" s="7"/>
      <c r="P72" s="7"/>
      <c r="Q72" s="8"/>
      <c r="Z72" s="9"/>
    </row>
    <row r="73" customFormat="false" ht="15.75" hidden="false" customHeight="false" outlineLevel="0" collapsed="false">
      <c r="A73" s="3" t="n">
        <v>72</v>
      </c>
      <c r="B73" s="4" t="n">
        <v>45510</v>
      </c>
      <c r="C73" s="10" t="str">
        <f aca="false">PROPER(TEXT(WEEKDAY(B73),"dddd"))</f>
        <v>Terça-Feira</v>
      </c>
      <c r="D73" s="11" t="n">
        <v>0.402083333333333</v>
      </c>
      <c r="E73" s="3" t="n">
        <v>72</v>
      </c>
      <c r="F73" s="3" t="n">
        <v>72</v>
      </c>
      <c r="G73" s="3" t="n">
        <v>1</v>
      </c>
      <c r="H73" s="3" t="n">
        <v>1</v>
      </c>
      <c r="I73" s="3" t="n">
        <v>1</v>
      </c>
      <c r="J73" s="3" t="n">
        <v>1</v>
      </c>
      <c r="K73" s="6" t="n">
        <v>11.2</v>
      </c>
      <c r="L73" s="7"/>
      <c r="M73" s="7"/>
      <c r="N73" s="7"/>
      <c r="O73" s="7"/>
      <c r="P73" s="7"/>
      <c r="Q73" s="8"/>
      <c r="Z73" s="9"/>
    </row>
    <row r="74" customFormat="false" ht="15.75" hidden="false" customHeight="false" outlineLevel="0" collapsed="false">
      <c r="A74" s="3" t="n">
        <v>73</v>
      </c>
      <c r="B74" s="4" t="n">
        <v>45510</v>
      </c>
      <c r="C74" s="10" t="str">
        <f aca="false">PROPER(TEXT(WEEKDAY(B74),"dddd"))</f>
        <v>Terça-Feira</v>
      </c>
      <c r="D74" s="11" t="n">
        <v>0.426388888888889</v>
      </c>
      <c r="E74" s="3" t="n">
        <v>73</v>
      </c>
      <c r="F74" s="3" t="n">
        <v>73</v>
      </c>
      <c r="G74" s="3" t="n">
        <v>3</v>
      </c>
      <c r="H74" s="3" t="n">
        <v>1</v>
      </c>
      <c r="I74" s="3" t="n">
        <v>1</v>
      </c>
      <c r="J74" s="3" t="n">
        <v>1</v>
      </c>
      <c r="K74" s="6" t="n">
        <v>0</v>
      </c>
      <c r="L74" s="7"/>
      <c r="M74" s="7"/>
      <c r="N74" s="7"/>
      <c r="O74" s="7"/>
      <c r="P74" s="7"/>
      <c r="Q74" s="8"/>
      <c r="Z74" s="9"/>
    </row>
    <row r="75" customFormat="false" ht="15.75" hidden="false" customHeight="false" outlineLevel="0" collapsed="false">
      <c r="A75" s="3" t="n">
        <v>74</v>
      </c>
      <c r="B75" s="4" t="n">
        <v>45510</v>
      </c>
      <c r="C75" s="10" t="str">
        <f aca="false">PROPER(TEXT(WEEKDAY(B75),"dddd"))</f>
        <v>Terça-Feira</v>
      </c>
      <c r="D75" s="11" t="n">
        <v>0.436111111111111</v>
      </c>
      <c r="E75" s="3" t="n">
        <v>74</v>
      </c>
      <c r="F75" s="3" t="n">
        <v>74</v>
      </c>
      <c r="G75" s="3" t="n">
        <v>1</v>
      </c>
      <c r="H75" s="3" t="n">
        <v>1</v>
      </c>
      <c r="I75" s="3" t="n">
        <v>1</v>
      </c>
      <c r="J75" s="3" t="n">
        <v>1</v>
      </c>
      <c r="K75" s="6" t="n">
        <v>11.1</v>
      </c>
      <c r="L75" s="7"/>
      <c r="M75" s="7"/>
      <c r="N75" s="7"/>
      <c r="O75" s="7"/>
      <c r="P75" s="7"/>
      <c r="Q75" s="8"/>
      <c r="Z75" s="9"/>
    </row>
    <row r="76" customFormat="false" ht="15.75" hidden="false" customHeight="false" outlineLevel="0" collapsed="false">
      <c r="A76" s="3" t="n">
        <v>75</v>
      </c>
      <c r="B76" s="4" t="n">
        <v>45510</v>
      </c>
      <c r="C76" s="10" t="str">
        <f aca="false">PROPER(TEXT(WEEKDAY(B76),"dddd"))</f>
        <v>Terça-Feira</v>
      </c>
      <c r="D76" s="11" t="n">
        <v>0.454861111111111</v>
      </c>
      <c r="E76" s="3" t="n">
        <v>75</v>
      </c>
      <c r="F76" s="3" t="n">
        <v>75</v>
      </c>
      <c r="G76" s="3" t="n">
        <v>1</v>
      </c>
      <c r="H76" s="3" t="n">
        <v>1</v>
      </c>
      <c r="I76" s="3" t="n">
        <v>1</v>
      </c>
      <c r="J76" s="3" t="n">
        <v>1</v>
      </c>
      <c r="K76" s="6" t="n">
        <v>24.1</v>
      </c>
      <c r="L76" s="7"/>
      <c r="M76" s="7"/>
      <c r="N76" s="7"/>
      <c r="O76" s="7"/>
      <c r="P76" s="7"/>
      <c r="Q76" s="8"/>
      <c r="Z76" s="9"/>
    </row>
    <row r="77" customFormat="false" ht="15.75" hidden="false" customHeight="false" outlineLevel="0" collapsed="false">
      <c r="A77" s="3" t="n">
        <v>76</v>
      </c>
      <c r="B77" s="4" t="n">
        <v>45510</v>
      </c>
      <c r="C77" s="10" t="str">
        <f aca="false">PROPER(TEXT(WEEKDAY(B77),"dddd"))</f>
        <v>Terça-Feira</v>
      </c>
      <c r="D77" s="11" t="n">
        <v>0.477777777777778</v>
      </c>
      <c r="E77" s="3" t="n">
        <v>76</v>
      </c>
      <c r="F77" s="3" t="n">
        <v>76</v>
      </c>
      <c r="G77" s="3" t="n">
        <v>2</v>
      </c>
      <c r="H77" s="3" t="n">
        <v>1</v>
      </c>
      <c r="I77" s="3" t="n">
        <v>1</v>
      </c>
      <c r="J77" s="3" t="n">
        <v>1</v>
      </c>
      <c r="K77" s="6" t="n">
        <v>11.4</v>
      </c>
      <c r="L77" s="7"/>
      <c r="M77" s="7"/>
      <c r="N77" s="7"/>
      <c r="O77" s="7"/>
      <c r="P77" s="7"/>
      <c r="Q77" s="8"/>
      <c r="Z77" s="9"/>
    </row>
    <row r="78" customFormat="false" ht="15.75" hidden="false" customHeight="false" outlineLevel="0" collapsed="false">
      <c r="A78" s="3" t="n">
        <v>77</v>
      </c>
      <c r="B78" s="4" t="n">
        <v>45510</v>
      </c>
      <c r="C78" s="10" t="str">
        <f aca="false">PROPER(TEXT(WEEKDAY(B78),"dddd"))</f>
        <v>Terça-Feira</v>
      </c>
      <c r="D78" s="11" t="n">
        <v>0.491666666666667</v>
      </c>
      <c r="E78" s="3" t="n">
        <v>77</v>
      </c>
      <c r="F78" s="3" t="n">
        <v>77</v>
      </c>
      <c r="G78" s="3" t="n">
        <v>1</v>
      </c>
      <c r="H78" s="3" t="n">
        <v>1</v>
      </c>
      <c r="I78" s="3" t="n">
        <v>1</v>
      </c>
      <c r="J78" s="3" t="n">
        <v>1</v>
      </c>
      <c r="K78" s="6" t="n">
        <v>17.9</v>
      </c>
      <c r="L78" s="7"/>
      <c r="M78" s="7"/>
      <c r="N78" s="7"/>
      <c r="O78" s="7"/>
      <c r="P78" s="7"/>
      <c r="Q78" s="8"/>
      <c r="Z78" s="9"/>
    </row>
    <row r="79" customFormat="false" ht="15.75" hidden="false" customHeight="false" outlineLevel="0" collapsed="false">
      <c r="A79" s="3" t="n">
        <v>78</v>
      </c>
      <c r="B79" s="4" t="n">
        <v>45511</v>
      </c>
      <c r="C79" s="10" t="str">
        <f aca="false">PROPER(TEXT(WEEKDAY(B79),"dddd"))</f>
        <v>Quarta-Feira</v>
      </c>
      <c r="D79" s="11" t="n">
        <v>0.19375</v>
      </c>
      <c r="E79" s="3" t="n">
        <v>78</v>
      </c>
      <c r="F79" s="3" t="n">
        <v>78</v>
      </c>
      <c r="G79" s="3" t="n">
        <v>1</v>
      </c>
      <c r="H79" s="3" t="n">
        <v>1</v>
      </c>
      <c r="I79" s="3" t="n">
        <v>1</v>
      </c>
      <c r="J79" s="3" t="n">
        <v>1</v>
      </c>
      <c r="K79" s="6" t="n">
        <v>4.7</v>
      </c>
      <c r="L79" s="7"/>
      <c r="M79" s="7"/>
      <c r="N79" s="7"/>
      <c r="O79" s="7"/>
      <c r="P79" s="7"/>
      <c r="Q79" s="8"/>
      <c r="Z79" s="9"/>
    </row>
    <row r="80" customFormat="false" ht="15.75" hidden="false" customHeight="false" outlineLevel="0" collapsed="false">
      <c r="A80" s="3" t="n">
        <v>79</v>
      </c>
      <c r="B80" s="4" t="n">
        <v>45511</v>
      </c>
      <c r="C80" s="10" t="str">
        <f aca="false">PROPER(TEXT(WEEKDAY(B80),"dddd"))</f>
        <v>Quarta-Feira</v>
      </c>
      <c r="D80" s="11" t="n">
        <v>0.2125</v>
      </c>
      <c r="E80" s="3" t="n">
        <v>79</v>
      </c>
      <c r="F80" s="3" t="n">
        <v>79</v>
      </c>
      <c r="G80" s="3" t="n">
        <v>1</v>
      </c>
      <c r="H80" s="3" t="n">
        <v>1</v>
      </c>
      <c r="I80" s="3" t="n">
        <v>1</v>
      </c>
      <c r="J80" s="3" t="n">
        <v>1</v>
      </c>
      <c r="K80" s="6" t="n">
        <v>17.9</v>
      </c>
      <c r="L80" s="7"/>
      <c r="M80" s="7"/>
      <c r="N80" s="7"/>
      <c r="O80" s="7"/>
      <c r="P80" s="7"/>
      <c r="Q80" s="8"/>
      <c r="Z80" s="9"/>
    </row>
    <row r="81" customFormat="false" ht="15.75" hidden="false" customHeight="false" outlineLevel="0" collapsed="false">
      <c r="A81" s="3" t="n">
        <v>80</v>
      </c>
      <c r="B81" s="4" t="n">
        <v>45511</v>
      </c>
      <c r="C81" s="10" t="str">
        <f aca="false">PROPER(TEXT(WEEKDAY(B81),"dddd"))</f>
        <v>Quarta-Feira</v>
      </c>
      <c r="D81" s="11" t="n">
        <v>0.2375</v>
      </c>
      <c r="E81" s="3" t="n">
        <v>80</v>
      </c>
      <c r="F81" s="3" t="n">
        <v>80</v>
      </c>
      <c r="G81" s="3" t="n">
        <v>2</v>
      </c>
      <c r="H81" s="3" t="n">
        <v>1</v>
      </c>
      <c r="I81" s="3" t="n">
        <v>1</v>
      </c>
      <c r="J81" s="3" t="n">
        <v>1</v>
      </c>
      <c r="K81" s="6" t="n">
        <v>33.8</v>
      </c>
      <c r="L81" s="7"/>
      <c r="M81" s="7"/>
      <c r="N81" s="7"/>
      <c r="O81" s="7"/>
      <c r="P81" s="7"/>
      <c r="Q81" s="8"/>
      <c r="Z81" s="9"/>
    </row>
    <row r="82" customFormat="false" ht="15.75" hidden="false" customHeight="false" outlineLevel="0" collapsed="false">
      <c r="A82" s="3" t="n">
        <v>81</v>
      </c>
      <c r="B82" s="4" t="n">
        <v>45511</v>
      </c>
      <c r="C82" s="10" t="str">
        <f aca="false">PROPER(TEXT(WEEKDAY(B82),"dddd"))</f>
        <v>Quarta-Feira</v>
      </c>
      <c r="D82" s="11" t="n">
        <v>0.267361111111111</v>
      </c>
      <c r="E82" s="3" t="n">
        <v>81</v>
      </c>
      <c r="F82" s="3" t="n">
        <v>81</v>
      </c>
      <c r="G82" s="3" t="n">
        <v>2</v>
      </c>
      <c r="H82" s="3" t="n">
        <v>1</v>
      </c>
      <c r="I82" s="3" t="n">
        <v>1</v>
      </c>
      <c r="J82" s="3" t="n">
        <v>1</v>
      </c>
      <c r="K82" s="6" t="n">
        <v>3.23</v>
      </c>
      <c r="L82" s="7"/>
      <c r="M82" s="7"/>
      <c r="N82" s="7"/>
      <c r="O82" s="7"/>
      <c r="P82" s="7"/>
      <c r="Q82" s="8"/>
      <c r="Z82" s="9"/>
    </row>
    <row r="83" customFormat="false" ht="15.75" hidden="false" customHeight="false" outlineLevel="0" collapsed="false">
      <c r="A83" s="3" t="n">
        <v>82</v>
      </c>
      <c r="B83" s="4" t="n">
        <v>45511</v>
      </c>
      <c r="C83" s="10" t="str">
        <f aca="false">PROPER(TEXT(WEEKDAY(B83),"dddd"))</f>
        <v>Quarta-Feira</v>
      </c>
      <c r="D83" s="11" t="n">
        <v>0.345833333333333</v>
      </c>
      <c r="E83" s="3" t="n">
        <v>82</v>
      </c>
      <c r="F83" s="3" t="n">
        <v>82</v>
      </c>
      <c r="G83" s="3" t="n">
        <v>2</v>
      </c>
      <c r="H83" s="3" t="n">
        <v>1</v>
      </c>
      <c r="I83" s="3" t="n">
        <v>1</v>
      </c>
      <c r="J83" s="3" t="n">
        <v>1</v>
      </c>
      <c r="K83" s="6" t="n">
        <v>15.8</v>
      </c>
      <c r="L83" s="7"/>
      <c r="M83" s="7"/>
      <c r="N83" s="7"/>
      <c r="O83" s="7"/>
      <c r="P83" s="7"/>
      <c r="Q83" s="8"/>
      <c r="Z83" s="9"/>
    </row>
    <row r="84" customFormat="false" ht="15.75" hidden="false" customHeight="false" outlineLevel="0" collapsed="false">
      <c r="A84" s="3" t="n">
        <v>83</v>
      </c>
      <c r="B84" s="4" t="n">
        <v>45514</v>
      </c>
      <c r="C84" s="10" t="str">
        <f aca="false">PROPER(TEXT(WEEKDAY(B84),"dddd"))</f>
        <v>Sábado</v>
      </c>
      <c r="D84" s="11" t="n">
        <v>0.347222222222222</v>
      </c>
      <c r="E84" s="3" t="n">
        <v>83</v>
      </c>
      <c r="F84" s="3" t="n">
        <v>83</v>
      </c>
      <c r="G84" s="3" t="n">
        <v>2</v>
      </c>
      <c r="H84" s="3" t="n">
        <v>1</v>
      </c>
      <c r="I84" s="3" t="n">
        <v>1</v>
      </c>
      <c r="J84" s="3" t="n">
        <v>1</v>
      </c>
      <c r="K84" s="6" t="n">
        <v>21.2</v>
      </c>
      <c r="L84" s="7"/>
      <c r="M84" s="7"/>
      <c r="N84" s="7"/>
      <c r="O84" s="7"/>
      <c r="P84" s="7"/>
      <c r="Q84" s="8"/>
      <c r="Z84" s="9"/>
    </row>
    <row r="85" customFormat="false" ht="15.75" hidden="false" customHeight="false" outlineLevel="0" collapsed="false">
      <c r="A85" s="3" t="n">
        <v>84</v>
      </c>
      <c r="B85" s="4" t="n">
        <v>45514</v>
      </c>
      <c r="C85" s="10" t="str">
        <f aca="false">PROPER(TEXT(WEEKDAY(B85),"dddd"))</f>
        <v>Sábado</v>
      </c>
      <c r="D85" s="11" t="n">
        <v>0.368055555555556</v>
      </c>
      <c r="E85" s="3" t="n">
        <v>84</v>
      </c>
      <c r="F85" s="3" t="n">
        <v>84</v>
      </c>
      <c r="G85" s="3" t="n">
        <v>4</v>
      </c>
      <c r="H85" s="3" t="n">
        <v>1</v>
      </c>
      <c r="I85" s="3" t="n">
        <v>1</v>
      </c>
      <c r="J85" s="3" t="n">
        <v>1</v>
      </c>
      <c r="K85" s="6" t="n">
        <v>2</v>
      </c>
      <c r="L85" s="7"/>
      <c r="M85" s="7"/>
      <c r="N85" s="7"/>
      <c r="O85" s="7"/>
      <c r="P85" s="7"/>
      <c r="Q85" s="8"/>
      <c r="Z85" s="9"/>
    </row>
    <row r="86" customFormat="false" ht="15.75" hidden="false" customHeight="false" outlineLevel="0" collapsed="false">
      <c r="A86" s="3" t="n">
        <v>85</v>
      </c>
      <c r="B86" s="4" t="n">
        <v>45514</v>
      </c>
      <c r="C86" s="10" t="str">
        <f aca="false">PROPER(TEXT(WEEKDAY(B86),"dddd"))</f>
        <v>Sábado</v>
      </c>
      <c r="D86" s="11" t="n">
        <v>0.378472222222222</v>
      </c>
      <c r="E86" s="3" t="n">
        <v>85</v>
      </c>
      <c r="F86" s="3" t="n">
        <v>85</v>
      </c>
      <c r="G86" s="3" t="n">
        <v>1</v>
      </c>
      <c r="H86" s="3" t="n">
        <v>1</v>
      </c>
      <c r="I86" s="3" t="n">
        <v>1</v>
      </c>
      <c r="J86" s="3" t="n">
        <v>1</v>
      </c>
      <c r="K86" s="6" t="n">
        <v>13.9</v>
      </c>
      <c r="L86" s="7"/>
      <c r="M86" s="7"/>
      <c r="N86" s="7"/>
      <c r="O86" s="7"/>
      <c r="P86" s="7"/>
      <c r="Q86" s="8"/>
      <c r="Z86" s="9"/>
    </row>
    <row r="87" customFormat="false" ht="15.75" hidden="false" customHeight="false" outlineLevel="0" collapsed="false">
      <c r="A87" s="3" t="n">
        <v>86</v>
      </c>
      <c r="B87" s="4" t="n">
        <v>45514</v>
      </c>
      <c r="C87" s="10" t="str">
        <f aca="false">PROPER(TEXT(WEEKDAY(B87),"dddd"))</f>
        <v>Sábado</v>
      </c>
      <c r="D87" s="15" t="n">
        <v>0.402083333333333</v>
      </c>
      <c r="E87" s="3" t="n">
        <v>86</v>
      </c>
      <c r="F87" s="3" t="n">
        <v>86</v>
      </c>
      <c r="G87" s="3" t="n">
        <v>2</v>
      </c>
      <c r="H87" s="3" t="n">
        <v>1</v>
      </c>
      <c r="I87" s="3" t="n">
        <v>1</v>
      </c>
      <c r="J87" s="3" t="n">
        <v>1</v>
      </c>
      <c r="K87" s="6" t="n">
        <v>28.55</v>
      </c>
      <c r="L87" s="7"/>
      <c r="M87" s="7"/>
      <c r="N87" s="7"/>
      <c r="O87" s="7"/>
      <c r="P87" s="7"/>
      <c r="Q87" s="8"/>
      <c r="Z87" s="9"/>
    </row>
    <row r="88" customFormat="false" ht="15.75" hidden="false" customHeight="false" outlineLevel="0" collapsed="false">
      <c r="A88" s="3" t="n">
        <v>87</v>
      </c>
      <c r="B88" s="4" t="n">
        <v>45514</v>
      </c>
      <c r="C88" s="10" t="str">
        <f aca="false">PROPER(TEXT(WEEKDAY(B88),"dddd"))</f>
        <v>Sábado</v>
      </c>
      <c r="D88" s="11" t="n">
        <v>0.426388888888889</v>
      </c>
      <c r="E88" s="3" t="n">
        <v>87</v>
      </c>
      <c r="F88" s="3" t="n">
        <v>87</v>
      </c>
      <c r="G88" s="3" t="n">
        <v>1</v>
      </c>
      <c r="H88" s="3" t="n">
        <v>1</v>
      </c>
      <c r="I88" s="3" t="n">
        <v>1</v>
      </c>
      <c r="J88" s="3" t="n">
        <v>1</v>
      </c>
      <c r="K88" s="6" t="n">
        <v>30.25</v>
      </c>
      <c r="L88" s="7"/>
      <c r="M88" s="7"/>
      <c r="N88" s="7"/>
      <c r="O88" s="7"/>
      <c r="P88" s="7"/>
      <c r="Q88" s="8"/>
      <c r="Z88" s="9"/>
    </row>
    <row r="89" customFormat="false" ht="15.75" hidden="false" customHeight="false" outlineLevel="0" collapsed="false">
      <c r="A89" s="3" t="n">
        <v>88</v>
      </c>
      <c r="B89" s="4" t="n">
        <v>45514</v>
      </c>
      <c r="C89" s="10" t="str">
        <f aca="false">PROPER(TEXT(WEEKDAY(B89),"dddd"))</f>
        <v>Sábado</v>
      </c>
      <c r="D89" s="11" t="n">
        <v>0.447222222222222</v>
      </c>
      <c r="E89" s="3" t="n">
        <v>88</v>
      </c>
      <c r="F89" s="3" t="n">
        <v>88</v>
      </c>
      <c r="G89" s="3" t="n">
        <v>2</v>
      </c>
      <c r="H89" s="3" t="n">
        <v>1</v>
      </c>
      <c r="I89" s="3" t="n">
        <v>1</v>
      </c>
      <c r="J89" s="3" t="n">
        <v>1</v>
      </c>
      <c r="K89" s="6" t="n">
        <v>7.4</v>
      </c>
      <c r="L89" s="7"/>
      <c r="M89" s="7"/>
      <c r="N89" s="7"/>
      <c r="O89" s="7"/>
      <c r="P89" s="7"/>
      <c r="Q89" s="8"/>
      <c r="Z89" s="9"/>
    </row>
    <row r="90" customFormat="false" ht="15.75" hidden="false" customHeight="false" outlineLevel="0" collapsed="false">
      <c r="A90" s="3" t="n">
        <v>89</v>
      </c>
      <c r="B90" s="4" t="n">
        <v>45514</v>
      </c>
      <c r="C90" s="10" t="str">
        <f aca="false">PROPER(TEXT(WEEKDAY(B90),"dddd"))</f>
        <v>Sábado</v>
      </c>
      <c r="D90" s="11" t="n">
        <v>0.447916666666667</v>
      </c>
      <c r="E90" s="3" t="n">
        <v>89</v>
      </c>
      <c r="F90" s="3" t="n">
        <v>89</v>
      </c>
      <c r="G90" s="3" t="n">
        <v>1</v>
      </c>
      <c r="H90" s="3" t="n">
        <v>1</v>
      </c>
      <c r="I90" s="3" t="n">
        <v>1</v>
      </c>
      <c r="J90" s="3" t="n">
        <v>1</v>
      </c>
      <c r="K90" s="6" t="n">
        <v>8</v>
      </c>
      <c r="L90" s="7"/>
      <c r="M90" s="7"/>
      <c r="N90" s="7"/>
      <c r="O90" s="7"/>
      <c r="P90" s="7"/>
      <c r="Q90" s="8"/>
      <c r="Z90" s="9"/>
    </row>
    <row r="91" customFormat="false" ht="15.75" hidden="false" customHeight="false" outlineLevel="0" collapsed="false">
      <c r="A91" s="3" t="n">
        <v>90</v>
      </c>
      <c r="B91" s="4" t="n">
        <v>45514</v>
      </c>
      <c r="C91" s="10" t="str">
        <f aca="false">PROPER(TEXT(WEEKDAY(B91),"dddd"))</f>
        <v>Sábado</v>
      </c>
      <c r="D91" s="11" t="n">
        <v>0.465972222222222</v>
      </c>
      <c r="E91" s="3" t="n">
        <v>90</v>
      </c>
      <c r="F91" s="3" t="n">
        <v>90</v>
      </c>
      <c r="G91" s="3" t="n">
        <v>2</v>
      </c>
      <c r="H91" s="3" t="n">
        <v>1</v>
      </c>
      <c r="I91" s="3" t="n">
        <v>1</v>
      </c>
      <c r="J91" s="3" t="n">
        <v>1</v>
      </c>
      <c r="K91" s="6" t="n">
        <v>5.7</v>
      </c>
      <c r="L91" s="7"/>
      <c r="M91" s="7"/>
      <c r="N91" s="7"/>
      <c r="O91" s="7"/>
      <c r="P91" s="7"/>
      <c r="Q91" s="8"/>
      <c r="Z91" s="9"/>
    </row>
    <row r="92" customFormat="false" ht="15.75" hidden="false" customHeight="false" outlineLevel="0" collapsed="false">
      <c r="A92" s="3" t="n">
        <v>91</v>
      </c>
      <c r="B92" s="4" t="n">
        <v>45515</v>
      </c>
      <c r="C92" s="10" t="str">
        <f aca="false">PROPER(TEXT(WEEKDAY(B92),"dddd"))</f>
        <v>Domingo</v>
      </c>
      <c r="D92" s="11" t="n">
        <v>0.4125</v>
      </c>
      <c r="E92" s="3" t="n">
        <v>91</v>
      </c>
      <c r="F92" s="3" t="n">
        <v>91</v>
      </c>
      <c r="G92" s="3" t="n">
        <v>1</v>
      </c>
      <c r="H92" s="3" t="n">
        <v>1</v>
      </c>
      <c r="I92" s="3" t="n">
        <v>1</v>
      </c>
      <c r="J92" s="3" t="n">
        <v>1</v>
      </c>
      <c r="K92" s="6" t="n">
        <v>3</v>
      </c>
      <c r="L92" s="7"/>
      <c r="M92" s="7"/>
      <c r="N92" s="7"/>
      <c r="O92" s="7"/>
      <c r="P92" s="7"/>
      <c r="Q92" s="8"/>
      <c r="Z92" s="9"/>
    </row>
    <row r="93" customFormat="false" ht="15.75" hidden="false" customHeight="false" outlineLevel="0" collapsed="false">
      <c r="A93" s="3" t="n">
        <v>92</v>
      </c>
      <c r="B93" s="4" t="n">
        <v>45515</v>
      </c>
      <c r="C93" s="10" t="str">
        <f aca="false">PROPER(TEXT(WEEKDAY(B93),"dddd"))</f>
        <v>Domingo</v>
      </c>
      <c r="D93" s="11" t="n">
        <v>0.422916666666667</v>
      </c>
      <c r="E93" s="3" t="n">
        <v>92</v>
      </c>
      <c r="F93" s="3" t="n">
        <v>92</v>
      </c>
      <c r="G93" s="3" t="n">
        <v>2</v>
      </c>
      <c r="H93" s="3" t="n">
        <v>1</v>
      </c>
      <c r="I93" s="3" t="n">
        <v>1</v>
      </c>
      <c r="J93" s="3" t="n">
        <v>1</v>
      </c>
      <c r="K93" s="6" t="n">
        <v>7.5</v>
      </c>
      <c r="L93" s="7"/>
      <c r="M93" s="7"/>
      <c r="N93" s="7"/>
      <c r="O93" s="7"/>
      <c r="P93" s="7"/>
      <c r="Q93" s="8"/>
      <c r="Z93" s="9"/>
    </row>
    <row r="94" customFormat="false" ht="15.75" hidden="false" customHeight="false" outlineLevel="0" collapsed="false">
      <c r="A94" s="3" t="n">
        <v>93</v>
      </c>
      <c r="B94" s="4" t="n">
        <v>45515</v>
      </c>
      <c r="C94" s="10" t="str">
        <f aca="false">PROPER(TEXT(WEEKDAY(B94),"dddd"))</f>
        <v>Domingo</v>
      </c>
      <c r="D94" s="11" t="n">
        <v>0.43125</v>
      </c>
      <c r="E94" s="3" t="n">
        <v>93</v>
      </c>
      <c r="F94" s="3" t="n">
        <v>93</v>
      </c>
      <c r="G94" s="3" t="n">
        <v>2</v>
      </c>
      <c r="H94" s="3" t="n">
        <v>1</v>
      </c>
      <c r="I94" s="3" t="n">
        <v>1</v>
      </c>
      <c r="J94" s="3" t="n">
        <v>1</v>
      </c>
      <c r="K94" s="6" t="n">
        <v>2.27</v>
      </c>
      <c r="L94" s="7"/>
      <c r="M94" s="7"/>
      <c r="N94" s="7"/>
      <c r="O94" s="7"/>
      <c r="P94" s="7"/>
      <c r="Q94" s="8"/>
      <c r="Z94" s="9"/>
    </row>
    <row r="95" customFormat="false" ht="15.75" hidden="false" customHeight="false" outlineLevel="0" collapsed="false">
      <c r="A95" s="3" t="n">
        <v>94</v>
      </c>
      <c r="B95" s="4" t="n">
        <v>45515</v>
      </c>
      <c r="C95" s="10" t="str">
        <f aca="false">PROPER(TEXT(WEEKDAY(B95),"dddd"))</f>
        <v>Domingo</v>
      </c>
      <c r="D95" s="11" t="n">
        <v>0.436805555555556</v>
      </c>
      <c r="E95" s="3" t="n">
        <v>94</v>
      </c>
      <c r="F95" s="3" t="n">
        <v>94</v>
      </c>
      <c r="G95" s="3" t="n">
        <v>2</v>
      </c>
      <c r="H95" s="3" t="n">
        <v>1</v>
      </c>
      <c r="I95" s="3" t="n">
        <v>1</v>
      </c>
      <c r="J95" s="3" t="n">
        <v>1</v>
      </c>
      <c r="K95" s="6" t="n">
        <v>4.25</v>
      </c>
      <c r="L95" s="7"/>
      <c r="M95" s="7"/>
      <c r="N95" s="7"/>
      <c r="O95" s="7"/>
      <c r="P95" s="7"/>
      <c r="Q95" s="8"/>
      <c r="Z95" s="9"/>
    </row>
    <row r="96" customFormat="false" ht="15.75" hidden="false" customHeight="false" outlineLevel="0" collapsed="false">
      <c r="A96" s="3" t="n">
        <v>95</v>
      </c>
      <c r="B96" s="4" t="n">
        <v>45515</v>
      </c>
      <c r="C96" s="10" t="str">
        <f aca="false">PROPER(TEXT(WEEKDAY(B96),"dddd"))</f>
        <v>Domingo</v>
      </c>
      <c r="D96" s="11" t="n">
        <v>0.440972222222222</v>
      </c>
      <c r="E96" s="3" t="n">
        <v>95</v>
      </c>
      <c r="F96" s="3" t="n">
        <v>95</v>
      </c>
      <c r="G96" s="3" t="n">
        <v>2</v>
      </c>
      <c r="H96" s="3" t="n">
        <v>1</v>
      </c>
      <c r="I96" s="3" t="n">
        <v>1</v>
      </c>
      <c r="J96" s="3" t="n">
        <v>1</v>
      </c>
      <c r="K96" s="6" t="n">
        <v>27.2</v>
      </c>
      <c r="L96" s="7"/>
      <c r="M96" s="7"/>
      <c r="N96" s="7"/>
      <c r="O96" s="7"/>
      <c r="P96" s="7"/>
      <c r="Q96" s="8"/>
      <c r="Z96" s="9"/>
    </row>
    <row r="97" customFormat="false" ht="15.75" hidden="false" customHeight="false" outlineLevel="0" collapsed="false">
      <c r="A97" s="3" t="n">
        <v>96</v>
      </c>
      <c r="B97" s="4" t="n">
        <v>45515</v>
      </c>
      <c r="C97" s="10" t="str">
        <f aca="false">PROPER(TEXT(WEEKDAY(B97),"dddd"))</f>
        <v>Domingo</v>
      </c>
      <c r="D97" s="11" t="n">
        <v>0.465972222222222</v>
      </c>
      <c r="E97" s="3" t="n">
        <v>96</v>
      </c>
      <c r="F97" s="3" t="n">
        <v>96</v>
      </c>
      <c r="G97" s="3" t="n">
        <v>2</v>
      </c>
      <c r="H97" s="3" t="n">
        <v>1</v>
      </c>
      <c r="I97" s="3" t="n">
        <v>1</v>
      </c>
      <c r="J97" s="3" t="n">
        <v>1</v>
      </c>
      <c r="K97" s="6" t="n">
        <v>30.6</v>
      </c>
      <c r="L97" s="7"/>
      <c r="M97" s="7"/>
      <c r="N97" s="7"/>
      <c r="O97" s="7"/>
      <c r="P97" s="7"/>
      <c r="Q97" s="8"/>
      <c r="Z97" s="9"/>
    </row>
    <row r="98" customFormat="false" ht="15.75" hidden="false" customHeight="false" outlineLevel="0" collapsed="false">
      <c r="A98" s="3" t="n">
        <v>97</v>
      </c>
      <c r="B98" s="4" t="n">
        <v>45515</v>
      </c>
      <c r="C98" s="10" t="str">
        <f aca="false">PROPER(TEXT(WEEKDAY(B98),"dddd"))</f>
        <v>Domingo</v>
      </c>
      <c r="D98" s="11" t="n">
        <v>0.497222222222222</v>
      </c>
      <c r="E98" s="3" t="n">
        <v>97</v>
      </c>
      <c r="F98" s="3" t="n">
        <v>97</v>
      </c>
      <c r="G98" s="3" t="n">
        <v>2</v>
      </c>
      <c r="H98" s="3" t="n">
        <v>1</v>
      </c>
      <c r="I98" s="3" t="n">
        <v>1</v>
      </c>
      <c r="J98" s="3" t="n">
        <v>1</v>
      </c>
      <c r="K98" s="6" t="n">
        <v>24.7</v>
      </c>
      <c r="L98" s="7"/>
      <c r="M98" s="7"/>
      <c r="N98" s="7"/>
      <c r="O98" s="7"/>
      <c r="P98" s="7"/>
      <c r="Q98" s="8"/>
      <c r="Z98" s="9"/>
    </row>
    <row r="99" customFormat="false" ht="15.75" hidden="false" customHeight="false" outlineLevel="0" collapsed="false">
      <c r="A99" s="3" t="n">
        <v>98</v>
      </c>
      <c r="B99" s="4" t="n">
        <v>45515</v>
      </c>
      <c r="C99" s="10" t="str">
        <f aca="false">PROPER(TEXT(WEEKDAY(B99),"dddd"))</f>
        <v>Domingo</v>
      </c>
      <c r="D99" s="11" t="n">
        <v>0.509027777777778</v>
      </c>
      <c r="E99" s="3" t="n">
        <v>98</v>
      </c>
      <c r="F99" s="3" t="n">
        <v>98</v>
      </c>
      <c r="G99" s="3" t="n">
        <v>2</v>
      </c>
      <c r="H99" s="3" t="n">
        <v>1</v>
      </c>
      <c r="I99" s="3" t="n">
        <v>1</v>
      </c>
      <c r="J99" s="3" t="n">
        <v>1</v>
      </c>
      <c r="K99" s="6" t="n">
        <v>10.4</v>
      </c>
      <c r="L99" s="7"/>
      <c r="M99" s="7"/>
      <c r="N99" s="7"/>
      <c r="O99" s="7"/>
      <c r="P99" s="7"/>
      <c r="Q99" s="8"/>
      <c r="Z99" s="9"/>
    </row>
    <row r="100" customFormat="false" ht="15.75" hidden="false" customHeight="false" outlineLevel="0" collapsed="false">
      <c r="A100" s="3" t="n">
        <v>99</v>
      </c>
      <c r="B100" s="4" t="n">
        <v>45515</v>
      </c>
      <c r="C100" s="10" t="str">
        <f aca="false">PROPER(TEXT(WEEKDAY(B100),"dddd"))</f>
        <v>Domingo</v>
      </c>
      <c r="D100" s="11" t="n">
        <v>0.549305555555556</v>
      </c>
      <c r="E100" s="3" t="n">
        <v>99</v>
      </c>
      <c r="F100" s="3" t="n">
        <v>99</v>
      </c>
      <c r="G100" s="3" t="n">
        <v>1</v>
      </c>
      <c r="H100" s="3" t="n">
        <v>1</v>
      </c>
      <c r="I100" s="3" t="n">
        <v>1</v>
      </c>
      <c r="J100" s="3" t="n">
        <v>1</v>
      </c>
      <c r="K100" s="6" t="n">
        <v>34.4</v>
      </c>
      <c r="L100" s="7"/>
      <c r="M100" s="7"/>
      <c r="N100" s="7"/>
      <c r="O100" s="7"/>
      <c r="P100" s="7"/>
      <c r="Q100" s="8"/>
      <c r="Z100" s="9"/>
    </row>
    <row r="101" customFormat="false" ht="15.75" hidden="false" customHeight="false" outlineLevel="0" collapsed="false">
      <c r="A101" s="3" t="n">
        <v>100</v>
      </c>
      <c r="B101" s="4" t="n">
        <v>45515</v>
      </c>
      <c r="C101" s="10" t="str">
        <f aca="false">PROPER(TEXT(WEEKDAY(B101),"dddd"))</f>
        <v>Domingo</v>
      </c>
      <c r="D101" s="11" t="n">
        <v>0.576388888888889</v>
      </c>
      <c r="E101" s="3" t="n">
        <v>100</v>
      </c>
      <c r="F101" s="3" t="n">
        <v>100</v>
      </c>
      <c r="G101" s="3" t="n">
        <v>1</v>
      </c>
      <c r="H101" s="3" t="n">
        <v>1</v>
      </c>
      <c r="I101" s="3" t="n">
        <v>1</v>
      </c>
      <c r="J101" s="3" t="n">
        <v>1</v>
      </c>
      <c r="K101" s="6" t="n">
        <v>18.9</v>
      </c>
      <c r="L101" s="7"/>
      <c r="M101" s="7"/>
      <c r="N101" s="7"/>
      <c r="O101" s="7"/>
      <c r="P101" s="7"/>
      <c r="Q101" s="8"/>
      <c r="Z101" s="9"/>
    </row>
    <row r="102" customFormat="false" ht="15.75" hidden="false" customHeight="false" outlineLevel="0" collapsed="false">
      <c r="A102" s="3" t="n">
        <v>101</v>
      </c>
      <c r="B102" s="4" t="n">
        <v>45515</v>
      </c>
      <c r="C102" s="10" t="str">
        <f aca="false">PROPER(TEXT(WEEKDAY(B102),"dddd"))</f>
        <v>Domingo</v>
      </c>
      <c r="D102" s="11" t="n">
        <v>0.607638888888889</v>
      </c>
      <c r="E102" s="3" t="n">
        <v>101</v>
      </c>
      <c r="F102" s="3" t="n">
        <v>101</v>
      </c>
      <c r="G102" s="3" t="n">
        <v>2</v>
      </c>
      <c r="H102" s="3" t="n">
        <v>1</v>
      </c>
      <c r="I102" s="3" t="n">
        <v>1</v>
      </c>
      <c r="J102" s="3" t="n">
        <v>1</v>
      </c>
      <c r="K102" s="6" t="n">
        <v>5.8</v>
      </c>
      <c r="L102" s="7"/>
      <c r="M102" s="7"/>
      <c r="N102" s="7"/>
      <c r="O102" s="7"/>
      <c r="P102" s="7"/>
      <c r="Q102" s="8"/>
      <c r="Z102" s="9"/>
    </row>
    <row r="103" customFormat="false" ht="15.75" hidden="false" customHeight="false" outlineLevel="0" collapsed="false">
      <c r="A103" s="3" t="n">
        <v>102</v>
      </c>
      <c r="B103" s="4" t="n">
        <v>45515</v>
      </c>
      <c r="C103" s="10" t="str">
        <f aca="false">PROPER(TEXT(WEEKDAY(B103),"dddd"))</f>
        <v>Domingo</v>
      </c>
      <c r="D103" s="15" t="n">
        <v>0.611111111111111</v>
      </c>
      <c r="E103" s="3" t="n">
        <v>102</v>
      </c>
      <c r="F103" s="3" t="n">
        <v>102</v>
      </c>
      <c r="G103" s="3" t="n">
        <v>1</v>
      </c>
      <c r="H103" s="3" t="n">
        <v>1</v>
      </c>
      <c r="I103" s="3" t="n">
        <v>1</v>
      </c>
      <c r="J103" s="3" t="n">
        <v>1</v>
      </c>
      <c r="K103" s="6" t="n">
        <v>6.9</v>
      </c>
      <c r="L103" s="7"/>
      <c r="M103" s="7"/>
      <c r="N103" s="7"/>
      <c r="O103" s="7"/>
      <c r="P103" s="7"/>
      <c r="Q103" s="8"/>
      <c r="Z103" s="9"/>
    </row>
    <row r="104" customFormat="false" ht="15.75" hidden="false" customHeight="false" outlineLevel="0" collapsed="false">
      <c r="A104" s="3" t="n">
        <v>103</v>
      </c>
      <c r="B104" s="4" t="n">
        <v>45515</v>
      </c>
      <c r="C104" s="10" t="str">
        <f aca="false">PROPER(TEXT(WEEKDAY(B104),"dddd"))</f>
        <v>Domingo</v>
      </c>
      <c r="D104" s="11" t="n">
        <v>0.622222222222222</v>
      </c>
      <c r="E104" s="3" t="n">
        <v>103</v>
      </c>
      <c r="F104" s="3" t="n">
        <v>103</v>
      </c>
      <c r="G104" s="3" t="n">
        <v>2</v>
      </c>
      <c r="H104" s="3" t="n">
        <v>1</v>
      </c>
      <c r="I104" s="3" t="n">
        <v>1</v>
      </c>
      <c r="J104" s="3" t="n">
        <v>1</v>
      </c>
      <c r="K104" s="6" t="n">
        <v>5.6</v>
      </c>
      <c r="L104" s="7"/>
      <c r="M104" s="7"/>
      <c r="N104" s="7"/>
      <c r="O104" s="7"/>
      <c r="P104" s="7"/>
      <c r="Q104" s="8"/>
      <c r="Z104" s="9"/>
    </row>
    <row r="105" customFormat="false" ht="15.75" hidden="false" customHeight="false" outlineLevel="0" collapsed="false">
      <c r="A105" s="3" t="n">
        <v>104</v>
      </c>
      <c r="B105" s="4" t="n">
        <v>45515</v>
      </c>
      <c r="C105" s="10" t="str">
        <f aca="false">PROPER(TEXT(WEEKDAY(B105),"dddd"))</f>
        <v>Domingo</v>
      </c>
      <c r="D105" s="11" t="n">
        <v>0.628472222222222</v>
      </c>
      <c r="E105" s="3" t="n">
        <v>104</v>
      </c>
      <c r="F105" s="3" t="n">
        <v>104</v>
      </c>
      <c r="G105" s="3" t="n">
        <v>2</v>
      </c>
      <c r="H105" s="3" t="n">
        <v>1</v>
      </c>
      <c r="I105" s="3" t="n">
        <v>1</v>
      </c>
      <c r="J105" s="3" t="n">
        <v>1</v>
      </c>
      <c r="K105" s="6" t="n">
        <v>17.5</v>
      </c>
      <c r="L105" s="7"/>
      <c r="M105" s="7"/>
      <c r="N105" s="7"/>
      <c r="O105" s="7"/>
      <c r="P105" s="7"/>
      <c r="Q105" s="8"/>
      <c r="Z105" s="9"/>
    </row>
    <row r="106" customFormat="false" ht="15.75" hidden="false" customHeight="false" outlineLevel="0" collapsed="false">
      <c r="A106" s="3" t="n">
        <v>105</v>
      </c>
      <c r="B106" s="4" t="n">
        <v>45515</v>
      </c>
      <c r="C106" s="10" t="str">
        <f aca="false">PROPER(TEXT(WEEKDAY(B106),"dddd"))</f>
        <v>Domingo</v>
      </c>
      <c r="D106" s="11" t="n">
        <v>0.65625</v>
      </c>
      <c r="E106" s="3" t="n">
        <v>105</v>
      </c>
      <c r="F106" s="3" t="n">
        <v>105</v>
      </c>
      <c r="G106" s="3" t="n">
        <v>1</v>
      </c>
      <c r="H106" s="3" t="n">
        <v>1</v>
      </c>
      <c r="I106" s="3" t="n">
        <v>1</v>
      </c>
      <c r="J106" s="3" t="n">
        <v>1</v>
      </c>
      <c r="K106" s="6" t="n">
        <v>11.1</v>
      </c>
      <c r="L106" s="7"/>
      <c r="M106" s="7"/>
      <c r="N106" s="7"/>
      <c r="O106" s="7"/>
      <c r="P106" s="7"/>
      <c r="Q106" s="8"/>
      <c r="Z106" s="9"/>
    </row>
    <row r="107" customFormat="false" ht="15.75" hidden="false" customHeight="false" outlineLevel="0" collapsed="false">
      <c r="A107" s="3" t="n">
        <v>106</v>
      </c>
      <c r="B107" s="4" t="n">
        <v>45516</v>
      </c>
      <c r="C107" s="10" t="str">
        <f aca="false">PROPER(TEXT(WEEKDAY(B107),"dddd"))</f>
        <v>Segunda-Feira</v>
      </c>
      <c r="D107" s="11" t="n">
        <v>0.193055555555556</v>
      </c>
      <c r="E107" s="3" t="n">
        <v>106</v>
      </c>
      <c r="F107" s="3" t="n">
        <v>106</v>
      </c>
      <c r="G107" s="3" t="n">
        <v>1</v>
      </c>
      <c r="H107" s="3" t="n">
        <v>1</v>
      </c>
      <c r="I107" s="3" t="n">
        <v>1</v>
      </c>
      <c r="J107" s="3" t="n">
        <v>1</v>
      </c>
      <c r="K107" s="6" t="n">
        <v>4.95</v>
      </c>
      <c r="L107" s="7"/>
      <c r="M107" s="7"/>
      <c r="N107" s="7"/>
      <c r="O107" s="7"/>
      <c r="P107" s="7"/>
      <c r="Q107" s="8"/>
      <c r="Z107" s="9"/>
    </row>
    <row r="108" customFormat="false" ht="15.75" hidden="false" customHeight="false" outlineLevel="0" collapsed="false">
      <c r="A108" s="3" t="n">
        <v>107</v>
      </c>
      <c r="B108" s="4" t="n">
        <v>45516</v>
      </c>
      <c r="C108" s="10" t="str">
        <f aca="false">PROPER(TEXT(WEEKDAY(B108),"dddd"))</f>
        <v>Segunda-Feira</v>
      </c>
      <c r="D108" s="11" t="n">
        <v>0.200694444444444</v>
      </c>
      <c r="E108" s="3" t="n">
        <v>107</v>
      </c>
      <c r="F108" s="3" t="n">
        <v>107</v>
      </c>
      <c r="G108" s="3" t="n">
        <v>1</v>
      </c>
      <c r="H108" s="3" t="n">
        <v>1</v>
      </c>
      <c r="I108" s="3" t="n">
        <v>1</v>
      </c>
      <c r="J108" s="3" t="n">
        <v>1</v>
      </c>
      <c r="K108" s="6" t="n">
        <v>11.9</v>
      </c>
      <c r="L108" s="7"/>
      <c r="M108" s="7"/>
      <c r="N108" s="7"/>
      <c r="O108" s="7"/>
      <c r="P108" s="7"/>
      <c r="Q108" s="8"/>
      <c r="Z108" s="9"/>
    </row>
    <row r="109" customFormat="false" ht="15.75" hidden="false" customHeight="false" outlineLevel="0" collapsed="false">
      <c r="A109" s="3" t="n">
        <v>108</v>
      </c>
      <c r="B109" s="4" t="n">
        <v>45516</v>
      </c>
      <c r="C109" s="10" t="str">
        <f aca="false">PROPER(TEXT(WEEKDAY(B109),"dddd"))</f>
        <v>Segunda-Feira</v>
      </c>
      <c r="D109" s="11" t="n">
        <v>0.229861111111111</v>
      </c>
      <c r="E109" s="3" t="n">
        <v>108</v>
      </c>
      <c r="F109" s="3" t="n">
        <v>108</v>
      </c>
      <c r="G109" s="3" t="n">
        <v>2</v>
      </c>
      <c r="H109" s="3" t="n">
        <v>1</v>
      </c>
      <c r="I109" s="3" t="n">
        <v>1</v>
      </c>
      <c r="J109" s="3" t="n">
        <v>1</v>
      </c>
      <c r="K109" s="6" t="n">
        <v>26.4</v>
      </c>
      <c r="L109" s="7"/>
      <c r="M109" s="7"/>
      <c r="N109" s="7"/>
      <c r="O109" s="7"/>
      <c r="P109" s="7"/>
      <c r="Q109" s="8"/>
      <c r="Z109" s="9"/>
    </row>
    <row r="110" customFormat="false" ht="15.75" hidden="false" customHeight="false" outlineLevel="0" collapsed="false">
      <c r="A110" s="3" t="n">
        <v>109</v>
      </c>
      <c r="B110" s="4" t="n">
        <v>45516</v>
      </c>
      <c r="C110" s="10" t="str">
        <f aca="false">PROPER(TEXT(WEEKDAY(B110),"dddd"))</f>
        <v>Segunda-Feira</v>
      </c>
      <c r="D110" s="11" t="n">
        <v>0.256944444444444</v>
      </c>
      <c r="E110" s="3" t="n">
        <v>109</v>
      </c>
      <c r="F110" s="3" t="n">
        <v>109</v>
      </c>
      <c r="G110" s="3" t="n">
        <v>2</v>
      </c>
      <c r="H110" s="3" t="n">
        <v>1</v>
      </c>
      <c r="I110" s="3" t="n">
        <v>1</v>
      </c>
      <c r="J110" s="3" t="n">
        <v>1</v>
      </c>
      <c r="K110" s="6" t="n">
        <v>19.2</v>
      </c>
      <c r="L110" s="7"/>
      <c r="M110" s="7"/>
      <c r="N110" s="7"/>
      <c r="O110" s="7"/>
      <c r="P110" s="7"/>
      <c r="Q110" s="8"/>
      <c r="Z110" s="9"/>
    </row>
    <row r="111" customFormat="false" ht="15.75" hidden="false" customHeight="false" outlineLevel="0" collapsed="false">
      <c r="A111" s="3" t="n">
        <v>110</v>
      </c>
      <c r="B111" s="4" t="n">
        <v>45516</v>
      </c>
      <c r="C111" s="10" t="str">
        <f aca="false">PROPER(TEXT(WEEKDAY(B111),"dddd"))</f>
        <v>Segunda-Feira</v>
      </c>
      <c r="D111" s="11" t="n">
        <v>0.275694444444444</v>
      </c>
      <c r="E111" s="3" t="n">
        <v>110</v>
      </c>
      <c r="F111" s="3" t="n">
        <v>110</v>
      </c>
      <c r="G111" s="3" t="n">
        <v>1</v>
      </c>
      <c r="H111" s="3" t="n">
        <v>1</v>
      </c>
      <c r="I111" s="3" t="n">
        <v>1</v>
      </c>
      <c r="J111" s="3" t="n">
        <v>1</v>
      </c>
      <c r="K111" s="6" t="n">
        <v>22.9</v>
      </c>
      <c r="L111" s="7"/>
      <c r="M111" s="7"/>
      <c r="N111" s="7"/>
      <c r="O111" s="7"/>
      <c r="P111" s="7"/>
      <c r="Q111" s="8"/>
      <c r="Z111" s="9"/>
    </row>
    <row r="112" customFormat="false" ht="15.75" hidden="false" customHeight="false" outlineLevel="0" collapsed="false">
      <c r="A112" s="3" t="n">
        <v>111</v>
      </c>
      <c r="B112" s="4" t="n">
        <v>45516</v>
      </c>
      <c r="C112" s="10" t="str">
        <f aca="false">PROPER(TEXT(WEEKDAY(B112),"dddd"))</f>
        <v>Segunda-Feira</v>
      </c>
      <c r="D112" s="11" t="n">
        <v>0.295833333333333</v>
      </c>
      <c r="E112" s="3" t="n">
        <v>111</v>
      </c>
      <c r="F112" s="3" t="n">
        <v>111</v>
      </c>
      <c r="G112" s="3" t="n">
        <v>2</v>
      </c>
      <c r="H112" s="3" t="n">
        <v>1</v>
      </c>
      <c r="I112" s="3" t="n">
        <v>1</v>
      </c>
      <c r="J112" s="3" t="n">
        <v>1</v>
      </c>
      <c r="K112" s="6" t="n">
        <v>56.6</v>
      </c>
      <c r="L112" s="7"/>
      <c r="M112" s="7"/>
      <c r="N112" s="7"/>
      <c r="O112" s="7"/>
      <c r="P112" s="7"/>
      <c r="Q112" s="8"/>
      <c r="Z112" s="9"/>
    </row>
    <row r="113" customFormat="false" ht="15.75" hidden="false" customHeight="false" outlineLevel="0" collapsed="false">
      <c r="A113" s="3" t="n">
        <v>112</v>
      </c>
      <c r="B113" s="4" t="n">
        <v>45516</v>
      </c>
      <c r="C113" s="10" t="str">
        <f aca="false">PROPER(TEXT(WEEKDAY(B113),"dddd"))</f>
        <v>Segunda-Feira</v>
      </c>
      <c r="D113" s="15" t="n">
        <v>0.352777777777778</v>
      </c>
      <c r="E113" s="3" t="n">
        <v>112</v>
      </c>
      <c r="F113" s="3" t="n">
        <v>112</v>
      </c>
      <c r="G113" s="3" t="n">
        <v>2</v>
      </c>
      <c r="H113" s="3" t="n">
        <v>1</v>
      </c>
      <c r="I113" s="3" t="n">
        <v>1</v>
      </c>
      <c r="J113" s="3" t="n">
        <v>1</v>
      </c>
      <c r="K113" s="6" t="n">
        <v>24.2</v>
      </c>
      <c r="L113" s="7"/>
      <c r="M113" s="7"/>
      <c r="N113" s="7"/>
      <c r="O113" s="7"/>
      <c r="P113" s="7"/>
      <c r="Q113" s="8"/>
      <c r="Z113" s="9"/>
    </row>
    <row r="114" customFormat="false" ht="15.75" hidden="false" customHeight="false" outlineLevel="0" collapsed="false">
      <c r="A114" s="3" t="n">
        <v>113</v>
      </c>
      <c r="B114" s="4" t="n">
        <v>45516</v>
      </c>
      <c r="C114" s="10" t="str">
        <f aca="false">PROPER(TEXT(WEEKDAY(B114),"dddd"))</f>
        <v>Segunda-Feira</v>
      </c>
      <c r="D114" s="11" t="n">
        <v>0.372916666666667</v>
      </c>
      <c r="E114" s="3" t="n">
        <v>113</v>
      </c>
      <c r="F114" s="3" t="n">
        <v>113</v>
      </c>
      <c r="G114" s="3" t="n">
        <v>1</v>
      </c>
      <c r="H114" s="3" t="n">
        <v>1</v>
      </c>
      <c r="I114" s="3" t="n">
        <v>1</v>
      </c>
      <c r="J114" s="3" t="n">
        <v>1</v>
      </c>
      <c r="K114" s="6" t="n">
        <v>17.7</v>
      </c>
      <c r="L114" s="7"/>
      <c r="M114" s="7"/>
      <c r="N114" s="7"/>
      <c r="O114" s="7"/>
      <c r="P114" s="7"/>
      <c r="Q114" s="8"/>
      <c r="Z114" s="9"/>
    </row>
    <row r="115" customFormat="false" ht="15.75" hidden="false" customHeight="false" outlineLevel="0" collapsed="false">
      <c r="A115" s="3" t="n">
        <v>114</v>
      </c>
      <c r="B115" s="4" t="n">
        <v>45516</v>
      </c>
      <c r="C115" s="10" t="str">
        <f aca="false">PROPER(TEXT(WEEKDAY(B115),"dddd"))</f>
        <v>Segunda-Feira</v>
      </c>
      <c r="D115" s="11" t="n">
        <v>0.409027777777778</v>
      </c>
      <c r="E115" s="3" t="n">
        <v>114</v>
      </c>
      <c r="F115" s="3" t="n">
        <v>114</v>
      </c>
      <c r="G115" s="3" t="n">
        <v>2</v>
      </c>
      <c r="H115" s="3" t="n">
        <v>1</v>
      </c>
      <c r="I115" s="3" t="n">
        <v>1</v>
      </c>
      <c r="J115" s="3" t="n">
        <v>1</v>
      </c>
      <c r="K115" s="6" t="n">
        <v>13.85</v>
      </c>
      <c r="L115" s="7"/>
      <c r="M115" s="7"/>
      <c r="N115" s="7"/>
      <c r="O115" s="7"/>
      <c r="P115" s="7"/>
      <c r="Q115" s="8"/>
      <c r="Z115" s="9"/>
    </row>
    <row r="116" customFormat="false" ht="15.75" hidden="false" customHeight="false" outlineLevel="0" collapsed="false">
      <c r="A116" s="3" t="n">
        <v>115</v>
      </c>
      <c r="B116" s="4" t="n">
        <v>45517</v>
      </c>
      <c r="C116" s="10" t="str">
        <f aca="false">PROPER(TEXT(WEEKDAY(B116),"dddd"))</f>
        <v>Terça-Feira</v>
      </c>
      <c r="D116" s="11" t="n">
        <v>0.211805555555556</v>
      </c>
      <c r="E116" s="3" t="n">
        <v>115</v>
      </c>
      <c r="F116" s="3" t="n">
        <v>115</v>
      </c>
      <c r="G116" s="3" t="n">
        <v>1</v>
      </c>
      <c r="H116" s="3" t="n">
        <v>1</v>
      </c>
      <c r="I116" s="3" t="n">
        <v>1</v>
      </c>
      <c r="J116" s="3" t="n">
        <v>1</v>
      </c>
      <c r="K116" s="6" t="n">
        <v>5.8</v>
      </c>
      <c r="L116" s="7"/>
      <c r="M116" s="7"/>
      <c r="N116" s="7"/>
      <c r="O116" s="7"/>
      <c r="P116" s="7"/>
      <c r="Q116" s="8"/>
      <c r="Z116" s="9"/>
    </row>
    <row r="117" customFormat="false" ht="15.75" hidden="false" customHeight="false" outlineLevel="0" collapsed="false">
      <c r="A117" s="3" t="n">
        <v>116</v>
      </c>
      <c r="B117" s="4" t="n">
        <v>45517</v>
      </c>
      <c r="C117" s="10" t="str">
        <f aca="false">PROPER(TEXT(WEEKDAY(B117),"dddd"))</f>
        <v>Terça-Feira</v>
      </c>
      <c r="D117" s="11" t="n">
        <v>0.225694444444444</v>
      </c>
      <c r="E117" s="3" t="n">
        <v>116</v>
      </c>
      <c r="F117" s="3" t="n">
        <v>116</v>
      </c>
      <c r="G117" s="3" t="n">
        <v>2</v>
      </c>
      <c r="H117" s="3" t="n">
        <v>1</v>
      </c>
      <c r="I117" s="3" t="n">
        <v>1</v>
      </c>
      <c r="J117" s="3" t="n">
        <v>1</v>
      </c>
      <c r="K117" s="6" t="n">
        <v>16.95</v>
      </c>
      <c r="L117" s="7"/>
      <c r="M117" s="7"/>
      <c r="N117" s="7"/>
      <c r="O117" s="7"/>
      <c r="P117" s="7"/>
      <c r="Q117" s="8"/>
      <c r="Z117" s="9"/>
    </row>
    <row r="118" customFormat="false" ht="15.75" hidden="false" customHeight="false" outlineLevel="0" collapsed="false">
      <c r="A118" s="3" t="n">
        <v>117</v>
      </c>
      <c r="B118" s="4" t="n">
        <v>45517</v>
      </c>
      <c r="C118" s="10" t="str">
        <f aca="false">PROPER(TEXT(WEEKDAY(B118),"dddd"))</f>
        <v>Terça-Feira</v>
      </c>
      <c r="D118" s="11" t="n">
        <v>0.239583333333333</v>
      </c>
      <c r="E118" s="3" t="n">
        <v>117</v>
      </c>
      <c r="F118" s="3" t="n">
        <v>117</v>
      </c>
      <c r="G118" s="3" t="n">
        <v>2</v>
      </c>
      <c r="H118" s="3" t="n">
        <v>1</v>
      </c>
      <c r="I118" s="3" t="n">
        <v>1</v>
      </c>
      <c r="J118" s="3" t="n">
        <v>1</v>
      </c>
      <c r="K118" s="6" t="n">
        <v>12.4</v>
      </c>
      <c r="L118" s="7"/>
      <c r="M118" s="7"/>
      <c r="N118" s="7"/>
      <c r="O118" s="7"/>
      <c r="P118" s="7"/>
      <c r="Q118" s="8"/>
      <c r="Z118" s="9"/>
    </row>
    <row r="119" customFormat="false" ht="15.75" hidden="false" customHeight="false" outlineLevel="0" collapsed="false">
      <c r="A119" s="3" t="n">
        <v>118</v>
      </c>
      <c r="B119" s="4" t="n">
        <v>45517</v>
      </c>
      <c r="C119" s="10" t="str">
        <f aca="false">PROPER(TEXT(WEEKDAY(B119),"dddd"))</f>
        <v>Terça-Feira</v>
      </c>
      <c r="D119" s="11" t="n">
        <v>0.254166666666667</v>
      </c>
      <c r="E119" s="3" t="n">
        <v>118</v>
      </c>
      <c r="F119" s="3" t="n">
        <v>118</v>
      </c>
      <c r="G119" s="3" t="n">
        <v>2</v>
      </c>
      <c r="H119" s="3" t="n">
        <v>1</v>
      </c>
      <c r="I119" s="3" t="n">
        <v>1</v>
      </c>
      <c r="J119" s="3" t="n">
        <v>1</v>
      </c>
      <c r="K119" s="6" t="n">
        <v>13.2</v>
      </c>
      <c r="L119" s="7"/>
      <c r="M119" s="7"/>
      <c r="N119" s="7"/>
      <c r="O119" s="7"/>
      <c r="P119" s="7"/>
      <c r="Q119" s="8"/>
      <c r="Z119" s="9"/>
    </row>
    <row r="120" customFormat="false" ht="15.75" hidden="false" customHeight="false" outlineLevel="0" collapsed="false">
      <c r="A120" s="3" t="n">
        <v>119</v>
      </c>
      <c r="B120" s="4" t="n">
        <v>45517</v>
      </c>
      <c r="C120" s="10" t="str">
        <f aca="false">PROPER(TEXT(WEEKDAY(B120),"dddd"))</f>
        <v>Terça-Feira</v>
      </c>
      <c r="D120" s="11" t="n">
        <v>0.267361111111111</v>
      </c>
      <c r="E120" s="3" t="n">
        <v>119</v>
      </c>
      <c r="F120" s="3" t="n">
        <v>119</v>
      </c>
      <c r="G120" s="3" t="n">
        <v>2</v>
      </c>
      <c r="H120" s="3" t="n">
        <v>1</v>
      </c>
      <c r="I120" s="3" t="n">
        <v>1</v>
      </c>
      <c r="J120" s="3" t="n">
        <v>1</v>
      </c>
      <c r="K120" s="6" t="n">
        <v>31.4</v>
      </c>
      <c r="L120" s="7"/>
      <c r="M120" s="7"/>
      <c r="N120" s="7"/>
      <c r="O120" s="7"/>
      <c r="P120" s="7"/>
      <c r="Q120" s="8"/>
      <c r="Z120" s="9"/>
    </row>
    <row r="121" customFormat="false" ht="15.75" hidden="false" customHeight="false" outlineLevel="0" collapsed="false">
      <c r="A121" s="3" t="n">
        <v>120</v>
      </c>
      <c r="B121" s="4" t="n">
        <v>45517</v>
      </c>
      <c r="C121" s="10" t="str">
        <f aca="false">PROPER(TEXT(WEEKDAY(B121),"dddd"))</f>
        <v>Terça-Feira</v>
      </c>
      <c r="D121" s="11" t="n">
        <v>0.289583333333333</v>
      </c>
      <c r="E121" s="3" t="n">
        <v>120</v>
      </c>
      <c r="F121" s="3" t="n">
        <v>120</v>
      </c>
      <c r="G121" s="3" t="n">
        <v>1</v>
      </c>
      <c r="H121" s="3" t="n">
        <v>1</v>
      </c>
      <c r="I121" s="3" t="n">
        <v>1</v>
      </c>
      <c r="J121" s="3" t="n">
        <v>1</v>
      </c>
      <c r="K121" s="6" t="n">
        <v>8</v>
      </c>
      <c r="L121" s="7"/>
      <c r="M121" s="7"/>
      <c r="N121" s="7"/>
      <c r="O121" s="7"/>
      <c r="P121" s="7"/>
      <c r="Q121" s="8"/>
      <c r="Z121" s="9"/>
    </row>
    <row r="122" customFormat="false" ht="15.75" hidden="false" customHeight="false" outlineLevel="0" collapsed="false">
      <c r="A122" s="3" t="n">
        <v>121</v>
      </c>
      <c r="B122" s="4" t="n">
        <v>45517</v>
      </c>
      <c r="C122" s="10" t="str">
        <f aca="false">PROPER(TEXT(WEEKDAY(B122),"dddd"))</f>
        <v>Terça-Feira</v>
      </c>
      <c r="D122" s="11" t="n">
        <v>0.296527777777778</v>
      </c>
      <c r="E122" s="3" t="n">
        <v>121</v>
      </c>
      <c r="F122" s="3" t="n">
        <v>121</v>
      </c>
      <c r="G122" s="3" t="n">
        <v>1</v>
      </c>
      <c r="H122" s="3" t="n">
        <v>1</v>
      </c>
      <c r="I122" s="3" t="n">
        <v>1</v>
      </c>
      <c r="J122" s="3" t="n">
        <v>1</v>
      </c>
      <c r="K122" s="6" t="n">
        <v>31.2</v>
      </c>
      <c r="L122" s="7"/>
      <c r="M122" s="7"/>
      <c r="N122" s="7"/>
      <c r="O122" s="7"/>
      <c r="P122" s="7"/>
      <c r="Q122" s="8"/>
      <c r="Z122" s="9"/>
    </row>
    <row r="123" customFormat="false" ht="15.75" hidden="false" customHeight="false" outlineLevel="0" collapsed="false">
      <c r="A123" s="3" t="n">
        <v>122</v>
      </c>
      <c r="B123" s="4" t="n">
        <v>45517</v>
      </c>
      <c r="C123" s="10" t="str">
        <f aca="false">PROPER(TEXT(WEEKDAY(B123),"dddd"))</f>
        <v>Terça-Feira</v>
      </c>
      <c r="D123" s="11" t="n">
        <v>0.334027777777778</v>
      </c>
      <c r="E123" s="3" t="n">
        <v>122</v>
      </c>
      <c r="F123" s="3" t="n">
        <v>122</v>
      </c>
      <c r="G123" s="3" t="n">
        <v>1</v>
      </c>
      <c r="H123" s="3" t="n">
        <v>1</v>
      </c>
      <c r="I123" s="3" t="n">
        <v>1</v>
      </c>
      <c r="J123" s="3" t="n">
        <v>1</v>
      </c>
      <c r="K123" s="6" t="n">
        <v>12.9</v>
      </c>
      <c r="L123" s="7"/>
      <c r="M123" s="7"/>
      <c r="N123" s="7"/>
      <c r="O123" s="7"/>
      <c r="P123" s="7"/>
      <c r="Q123" s="8"/>
      <c r="Z123" s="9"/>
    </row>
    <row r="124" customFormat="false" ht="15.75" hidden="false" customHeight="false" outlineLevel="0" collapsed="false">
      <c r="A124" s="3" t="n">
        <v>123</v>
      </c>
      <c r="B124" s="4" t="n">
        <v>45517</v>
      </c>
      <c r="C124" s="10" t="str">
        <f aca="false">PROPER(TEXT(WEEKDAY(B124),"dddd"))</f>
        <v>Terça-Feira</v>
      </c>
      <c r="D124" s="11" t="n">
        <v>0.342361111111111</v>
      </c>
      <c r="E124" s="3" t="n">
        <v>123</v>
      </c>
      <c r="F124" s="3" t="n">
        <v>123</v>
      </c>
      <c r="G124" s="3" t="n">
        <v>1</v>
      </c>
      <c r="H124" s="3" t="n">
        <v>1</v>
      </c>
      <c r="I124" s="3" t="n">
        <v>1</v>
      </c>
      <c r="J124" s="3" t="n">
        <v>1</v>
      </c>
      <c r="K124" s="6" t="n">
        <v>18.6</v>
      </c>
      <c r="L124" s="7"/>
      <c r="M124" s="7"/>
      <c r="N124" s="7"/>
      <c r="O124" s="7"/>
      <c r="P124" s="7"/>
      <c r="Q124" s="8"/>
      <c r="Z124" s="9"/>
    </row>
    <row r="125" customFormat="false" ht="15.75" hidden="false" customHeight="false" outlineLevel="0" collapsed="false">
      <c r="A125" s="3" t="n">
        <v>124</v>
      </c>
      <c r="B125" s="4" t="n">
        <v>45517</v>
      </c>
      <c r="C125" s="10" t="str">
        <f aca="false">PROPER(TEXT(WEEKDAY(B125),"dddd"))</f>
        <v>Terça-Feira</v>
      </c>
      <c r="D125" s="11" t="n">
        <v>0.363888888888889</v>
      </c>
      <c r="E125" s="3" t="n">
        <v>124</v>
      </c>
      <c r="F125" s="3" t="n">
        <v>124</v>
      </c>
      <c r="G125" s="3" t="n">
        <v>1</v>
      </c>
      <c r="H125" s="3" t="n">
        <v>1</v>
      </c>
      <c r="I125" s="3" t="n">
        <v>1</v>
      </c>
      <c r="J125" s="3" t="n">
        <v>1</v>
      </c>
      <c r="K125" s="6" t="n">
        <v>19.1</v>
      </c>
      <c r="L125" s="7"/>
      <c r="M125" s="7"/>
      <c r="N125" s="7"/>
      <c r="O125" s="7"/>
      <c r="P125" s="7"/>
      <c r="Q125" s="8"/>
      <c r="Z125" s="9"/>
    </row>
    <row r="126" customFormat="false" ht="15.75" hidden="false" customHeight="false" outlineLevel="0" collapsed="false">
      <c r="A126" s="3" t="n">
        <v>125</v>
      </c>
      <c r="B126" s="4" t="n">
        <v>45517</v>
      </c>
      <c r="C126" s="10" t="str">
        <f aca="false">PROPER(TEXT(WEEKDAY(B126),"dddd"))</f>
        <v>Terça-Feira</v>
      </c>
      <c r="D126" s="11" t="n">
        <v>0.400694444444444</v>
      </c>
      <c r="E126" s="3" t="n">
        <v>125</v>
      </c>
      <c r="F126" s="3" t="n">
        <v>125</v>
      </c>
      <c r="G126" s="3" t="n">
        <v>2</v>
      </c>
      <c r="H126" s="3" t="n">
        <v>1</v>
      </c>
      <c r="I126" s="3" t="n">
        <v>1</v>
      </c>
      <c r="J126" s="3" t="n">
        <v>1</v>
      </c>
      <c r="K126" s="6" t="n">
        <v>7.1</v>
      </c>
      <c r="L126" s="7"/>
      <c r="M126" s="7"/>
      <c r="N126" s="7"/>
      <c r="O126" s="7"/>
      <c r="P126" s="7"/>
      <c r="Q126" s="8"/>
      <c r="Z126" s="9"/>
    </row>
    <row r="127" customFormat="false" ht="15.75" hidden="false" customHeight="false" outlineLevel="0" collapsed="false">
      <c r="A127" s="3" t="n">
        <v>126</v>
      </c>
      <c r="B127" s="4" t="n">
        <v>45517</v>
      </c>
      <c r="C127" s="10" t="str">
        <f aca="false">PROPER(TEXT(WEEKDAY(B127),"dddd"))</f>
        <v>Terça-Feira</v>
      </c>
      <c r="D127" s="11" t="n">
        <v>0.416666666666667</v>
      </c>
      <c r="E127" s="3" t="n">
        <v>126</v>
      </c>
      <c r="F127" s="3" t="n">
        <v>126</v>
      </c>
      <c r="G127" s="3" t="n">
        <v>1</v>
      </c>
      <c r="H127" s="3" t="n">
        <v>1</v>
      </c>
      <c r="I127" s="3" t="n">
        <v>1</v>
      </c>
      <c r="J127" s="3" t="n">
        <v>1</v>
      </c>
      <c r="K127" s="6" t="n">
        <v>10.8</v>
      </c>
      <c r="L127" s="7"/>
      <c r="M127" s="7"/>
      <c r="N127" s="7"/>
      <c r="O127" s="7"/>
      <c r="P127" s="7"/>
      <c r="Q127" s="8"/>
      <c r="Z127" s="9"/>
    </row>
    <row r="128" customFormat="false" ht="15.75" hidden="false" customHeight="false" outlineLevel="0" collapsed="false">
      <c r="A128" s="3" t="n">
        <v>127</v>
      </c>
      <c r="B128" s="4" t="n">
        <v>45517</v>
      </c>
      <c r="C128" s="10" t="str">
        <f aca="false">PROPER(TEXT(WEEKDAY(B128),"dddd"))</f>
        <v>Terça-Feira</v>
      </c>
      <c r="D128" s="11" t="n">
        <v>0.450694444444444</v>
      </c>
      <c r="E128" s="3" t="n">
        <v>127</v>
      </c>
      <c r="F128" s="3" t="n">
        <v>127</v>
      </c>
      <c r="G128" s="3" t="n">
        <v>3</v>
      </c>
      <c r="H128" s="3" t="n">
        <v>1</v>
      </c>
      <c r="I128" s="3" t="n">
        <v>1</v>
      </c>
      <c r="J128" s="3" t="n">
        <v>1</v>
      </c>
      <c r="K128" s="6" t="n">
        <v>0</v>
      </c>
      <c r="L128" s="7"/>
      <c r="M128" s="7"/>
      <c r="N128" s="7"/>
      <c r="O128" s="7"/>
      <c r="P128" s="7"/>
      <c r="Q128" s="8"/>
      <c r="Z128" s="9"/>
    </row>
    <row r="129" customFormat="false" ht="15.75" hidden="false" customHeight="false" outlineLevel="0" collapsed="false">
      <c r="A129" s="3" t="n">
        <v>128</v>
      </c>
      <c r="B129" s="4" t="n">
        <v>45518</v>
      </c>
      <c r="C129" s="10" t="str">
        <f aca="false">PROPER(TEXT(WEEKDAY(B129),"dddd"))</f>
        <v>Quarta-Feira</v>
      </c>
      <c r="D129" s="11" t="n">
        <v>0.19375</v>
      </c>
      <c r="E129" s="3" t="n">
        <v>128</v>
      </c>
      <c r="F129" s="3" t="n">
        <v>128</v>
      </c>
      <c r="G129" s="3" t="n">
        <v>2</v>
      </c>
      <c r="H129" s="3" t="n">
        <v>1</v>
      </c>
      <c r="I129" s="3" t="n">
        <v>1</v>
      </c>
      <c r="J129" s="3" t="n">
        <v>1</v>
      </c>
      <c r="K129" s="6" t="n">
        <v>4.4</v>
      </c>
      <c r="L129" s="7"/>
      <c r="M129" s="7"/>
      <c r="N129" s="7"/>
      <c r="O129" s="7"/>
      <c r="P129" s="7"/>
      <c r="Q129" s="8"/>
      <c r="Z129" s="9"/>
    </row>
    <row r="130" customFormat="false" ht="15.75" hidden="false" customHeight="false" outlineLevel="0" collapsed="false">
      <c r="A130" s="3" t="n">
        <v>129</v>
      </c>
      <c r="B130" s="4" t="n">
        <v>45518</v>
      </c>
      <c r="C130" s="10" t="str">
        <f aca="false">PROPER(TEXT(WEEKDAY(B130),"dddd"))</f>
        <v>Quarta-Feira</v>
      </c>
      <c r="D130" s="11" t="n">
        <v>0.200694444444444</v>
      </c>
      <c r="E130" s="3" t="n">
        <v>129</v>
      </c>
      <c r="F130" s="3" t="n">
        <v>129</v>
      </c>
      <c r="G130" s="3" t="n">
        <v>2</v>
      </c>
      <c r="H130" s="3" t="n">
        <v>1</v>
      </c>
      <c r="I130" s="3" t="n">
        <v>1</v>
      </c>
      <c r="J130" s="3" t="n">
        <v>1</v>
      </c>
      <c r="K130" s="6" t="n">
        <v>11.35</v>
      </c>
      <c r="L130" s="7"/>
      <c r="M130" s="7"/>
      <c r="N130" s="7"/>
      <c r="O130" s="7"/>
      <c r="P130" s="7"/>
      <c r="Q130" s="8"/>
      <c r="Z130" s="9"/>
    </row>
    <row r="131" customFormat="false" ht="15.75" hidden="false" customHeight="false" outlineLevel="0" collapsed="false">
      <c r="A131" s="3" t="n">
        <v>130</v>
      </c>
      <c r="B131" s="4" t="n">
        <v>45518</v>
      </c>
      <c r="C131" s="10" t="str">
        <f aca="false">PROPER(TEXT(WEEKDAY(B131),"dddd"))</f>
        <v>Quarta-Feira</v>
      </c>
      <c r="D131" s="11" t="n">
        <v>0.214583333333333</v>
      </c>
      <c r="E131" s="3" t="n">
        <v>130</v>
      </c>
      <c r="F131" s="3" t="n">
        <v>130</v>
      </c>
      <c r="G131" s="3" t="n">
        <v>2</v>
      </c>
      <c r="H131" s="3" t="n">
        <v>1</v>
      </c>
      <c r="I131" s="3" t="n">
        <v>1</v>
      </c>
      <c r="J131" s="3" t="n">
        <v>1</v>
      </c>
      <c r="K131" s="6" t="n">
        <v>15.1</v>
      </c>
      <c r="L131" s="7"/>
      <c r="M131" s="7"/>
      <c r="N131" s="7"/>
      <c r="O131" s="7"/>
      <c r="P131" s="7"/>
      <c r="Q131" s="8"/>
      <c r="Z131" s="9"/>
    </row>
    <row r="132" customFormat="false" ht="15.75" hidden="false" customHeight="false" outlineLevel="0" collapsed="false">
      <c r="A132" s="3" t="n">
        <v>131</v>
      </c>
      <c r="B132" s="4" t="n">
        <v>45518</v>
      </c>
      <c r="C132" s="10" t="str">
        <f aca="false">PROPER(TEXT(WEEKDAY(B132),"dddd"))</f>
        <v>Quarta-Feira</v>
      </c>
      <c r="D132" s="11" t="n">
        <v>0.252083333333333</v>
      </c>
      <c r="E132" s="3" t="n">
        <v>131</v>
      </c>
      <c r="F132" s="3" t="n">
        <v>131</v>
      </c>
      <c r="G132" s="3" t="n">
        <v>2</v>
      </c>
      <c r="H132" s="3" t="n">
        <v>1</v>
      </c>
      <c r="I132" s="3" t="n">
        <v>1</v>
      </c>
      <c r="J132" s="3" t="n">
        <v>1</v>
      </c>
      <c r="K132" s="6" t="n">
        <v>4.95</v>
      </c>
      <c r="L132" s="7"/>
      <c r="M132" s="7"/>
      <c r="N132" s="7"/>
      <c r="O132" s="7"/>
      <c r="P132" s="7"/>
      <c r="Q132" s="8"/>
      <c r="Z132" s="9"/>
    </row>
    <row r="133" customFormat="false" ht="15.75" hidden="false" customHeight="false" outlineLevel="0" collapsed="false">
      <c r="A133" s="3" t="n">
        <v>132</v>
      </c>
      <c r="B133" s="4" t="n">
        <v>45518</v>
      </c>
      <c r="C133" s="10" t="str">
        <f aca="false">PROPER(TEXT(WEEKDAY(B133),"dddd"))</f>
        <v>Quarta-Feira</v>
      </c>
      <c r="D133" s="11" t="n">
        <v>0.258333333333333</v>
      </c>
      <c r="E133" s="3" t="n">
        <v>132</v>
      </c>
      <c r="F133" s="3" t="n">
        <v>132</v>
      </c>
      <c r="G133" s="3" t="n">
        <v>2</v>
      </c>
      <c r="H133" s="3" t="n">
        <v>1</v>
      </c>
      <c r="I133" s="3" t="n">
        <v>1</v>
      </c>
      <c r="J133" s="3" t="n">
        <v>1</v>
      </c>
      <c r="K133" s="6" t="n">
        <v>4.95</v>
      </c>
      <c r="L133" s="7"/>
      <c r="M133" s="7"/>
      <c r="N133" s="7"/>
      <c r="O133" s="7"/>
      <c r="P133" s="7"/>
      <c r="Q133" s="8"/>
      <c r="Z133" s="9"/>
    </row>
    <row r="134" customFormat="false" ht="15.75" hidden="false" customHeight="false" outlineLevel="0" collapsed="false">
      <c r="A134" s="3" t="n">
        <v>133</v>
      </c>
      <c r="B134" s="4" t="n">
        <v>45518</v>
      </c>
      <c r="C134" s="10" t="str">
        <f aca="false">PROPER(TEXT(WEEKDAY(B134),"dddd"))</f>
        <v>Quarta-Feira</v>
      </c>
      <c r="D134" s="11" t="n">
        <v>0.272222222222222</v>
      </c>
      <c r="E134" s="3" t="n">
        <v>133</v>
      </c>
      <c r="F134" s="3" t="n">
        <v>133</v>
      </c>
      <c r="G134" s="3" t="n">
        <v>1</v>
      </c>
      <c r="H134" s="3" t="n">
        <v>1</v>
      </c>
      <c r="I134" s="3" t="n">
        <v>1</v>
      </c>
      <c r="J134" s="3" t="n">
        <v>1</v>
      </c>
      <c r="K134" s="6" t="n">
        <v>9.65</v>
      </c>
      <c r="L134" s="7"/>
      <c r="M134" s="7"/>
      <c r="N134" s="7"/>
      <c r="O134" s="7"/>
      <c r="P134" s="7"/>
      <c r="Q134" s="8"/>
      <c r="Z134" s="9"/>
    </row>
    <row r="135" customFormat="false" ht="15.75" hidden="false" customHeight="false" outlineLevel="0" collapsed="false">
      <c r="A135" s="3" t="n">
        <v>134</v>
      </c>
      <c r="B135" s="4" t="n">
        <v>45518</v>
      </c>
      <c r="C135" s="10" t="str">
        <f aca="false">PROPER(TEXT(WEEKDAY(B135),"dddd"))</f>
        <v>Quarta-Feira</v>
      </c>
      <c r="D135" s="11" t="n">
        <v>0.306944444444444</v>
      </c>
      <c r="E135" s="3" t="n">
        <v>134</v>
      </c>
      <c r="F135" s="3" t="n">
        <v>134</v>
      </c>
      <c r="G135" s="3" t="n">
        <v>2</v>
      </c>
      <c r="H135" s="3" t="n">
        <v>1</v>
      </c>
      <c r="I135" s="3" t="n">
        <v>1</v>
      </c>
      <c r="J135" s="3" t="n">
        <v>1</v>
      </c>
      <c r="K135" s="6" t="n">
        <v>9.9</v>
      </c>
      <c r="L135" s="7"/>
      <c r="M135" s="7"/>
      <c r="N135" s="7"/>
      <c r="O135" s="7"/>
      <c r="P135" s="7"/>
      <c r="Q135" s="8"/>
      <c r="Z135" s="9"/>
    </row>
    <row r="136" customFormat="false" ht="15.75" hidden="false" customHeight="false" outlineLevel="0" collapsed="false">
      <c r="A136" s="3" t="n">
        <v>135</v>
      </c>
      <c r="B136" s="4" t="n">
        <v>45518</v>
      </c>
      <c r="C136" s="10" t="str">
        <f aca="false">PROPER(TEXT(WEEKDAY(B136),"dddd"))</f>
        <v>Quarta-Feira</v>
      </c>
      <c r="D136" s="11" t="n">
        <v>0.334027777777778</v>
      </c>
      <c r="E136" s="3" t="n">
        <v>135</v>
      </c>
      <c r="F136" s="3" t="n">
        <v>135</v>
      </c>
      <c r="G136" s="3" t="n">
        <v>1</v>
      </c>
      <c r="H136" s="3" t="n">
        <v>1</v>
      </c>
      <c r="I136" s="3" t="n">
        <v>1</v>
      </c>
      <c r="J136" s="3" t="n">
        <v>1</v>
      </c>
      <c r="K136" s="6" t="n">
        <v>14.75</v>
      </c>
      <c r="L136" s="7"/>
      <c r="M136" s="7"/>
      <c r="N136" s="7"/>
      <c r="O136" s="7"/>
      <c r="P136" s="7"/>
      <c r="Q136" s="8"/>
      <c r="Z136" s="9"/>
    </row>
    <row r="137" customFormat="false" ht="15.75" hidden="false" customHeight="false" outlineLevel="0" collapsed="false">
      <c r="A137" s="3" t="n">
        <v>136</v>
      </c>
      <c r="B137" s="4" t="n">
        <v>45518</v>
      </c>
      <c r="C137" s="10" t="str">
        <f aca="false">PROPER(TEXT(WEEKDAY(B137),"dddd"))</f>
        <v>Quarta-Feira</v>
      </c>
      <c r="D137" s="11" t="n">
        <v>0.352083333333333</v>
      </c>
      <c r="E137" s="3" t="n">
        <v>136</v>
      </c>
      <c r="F137" s="3" t="n">
        <v>136</v>
      </c>
      <c r="G137" s="3" t="n">
        <v>2</v>
      </c>
      <c r="H137" s="3" t="n">
        <v>1</v>
      </c>
      <c r="I137" s="3" t="n">
        <v>1</v>
      </c>
      <c r="J137" s="3" t="n">
        <v>1</v>
      </c>
      <c r="K137" s="6" t="n">
        <v>19.1</v>
      </c>
      <c r="L137" s="7"/>
      <c r="M137" s="7"/>
      <c r="N137" s="7"/>
      <c r="O137" s="7"/>
      <c r="P137" s="7"/>
      <c r="Q137" s="8"/>
      <c r="Z137" s="9"/>
    </row>
    <row r="138" customFormat="false" ht="15.75" hidden="false" customHeight="false" outlineLevel="0" collapsed="false">
      <c r="A138" s="3" t="n">
        <v>137</v>
      </c>
      <c r="B138" s="4" t="n">
        <v>45518</v>
      </c>
      <c r="C138" s="10" t="str">
        <f aca="false">PROPER(TEXT(WEEKDAY(B138),"dddd"))</f>
        <v>Quarta-Feira</v>
      </c>
      <c r="D138" s="11" t="n">
        <v>0.372222222222222</v>
      </c>
      <c r="E138" s="3" t="n">
        <v>137</v>
      </c>
      <c r="F138" s="3" t="n">
        <v>137</v>
      </c>
      <c r="G138" s="3" t="n">
        <v>2</v>
      </c>
      <c r="H138" s="3" t="n">
        <v>1</v>
      </c>
      <c r="I138" s="3" t="n">
        <v>1</v>
      </c>
      <c r="J138" s="3" t="n">
        <v>1</v>
      </c>
      <c r="K138" s="6" t="n">
        <v>25.4</v>
      </c>
      <c r="L138" s="7"/>
      <c r="M138" s="7"/>
      <c r="N138" s="7"/>
      <c r="O138" s="7"/>
      <c r="P138" s="7"/>
      <c r="Q138" s="8"/>
      <c r="Z138" s="9"/>
    </row>
    <row r="139" customFormat="false" ht="15.75" hidden="false" customHeight="false" outlineLevel="0" collapsed="false">
      <c r="A139" s="3" t="n">
        <v>138</v>
      </c>
      <c r="B139" s="4" t="n">
        <v>45518</v>
      </c>
      <c r="C139" s="10" t="str">
        <f aca="false">PROPER(TEXT(WEEKDAY(B139),"dddd"))</f>
        <v>Quarta-Feira</v>
      </c>
      <c r="D139" s="11" t="n">
        <v>0.3875</v>
      </c>
      <c r="E139" s="3" t="n">
        <v>138</v>
      </c>
      <c r="F139" s="3" t="n">
        <v>138</v>
      </c>
      <c r="G139" s="3" t="n">
        <v>2</v>
      </c>
      <c r="H139" s="3" t="n">
        <v>1</v>
      </c>
      <c r="I139" s="3" t="n">
        <v>1</v>
      </c>
      <c r="J139" s="3" t="n">
        <v>1</v>
      </c>
      <c r="K139" s="6" t="n">
        <v>24.9</v>
      </c>
      <c r="L139" s="7"/>
      <c r="M139" s="7"/>
      <c r="N139" s="7"/>
      <c r="O139" s="7"/>
      <c r="P139" s="7"/>
      <c r="Q139" s="8"/>
      <c r="Z139" s="9"/>
    </row>
    <row r="140" customFormat="false" ht="15.75" hidden="false" customHeight="false" outlineLevel="0" collapsed="false">
      <c r="A140" s="3" t="n">
        <v>139</v>
      </c>
      <c r="B140" s="4" t="n">
        <v>45518</v>
      </c>
      <c r="C140" s="10" t="str">
        <f aca="false">PROPER(TEXT(WEEKDAY(B140),"dddd"))</f>
        <v>Quarta-Feira</v>
      </c>
      <c r="D140" s="11" t="n">
        <v>0.460416666666667</v>
      </c>
      <c r="E140" s="3" t="n">
        <v>139</v>
      </c>
      <c r="F140" s="3" t="n">
        <v>139</v>
      </c>
      <c r="G140" s="3" t="n">
        <v>2</v>
      </c>
      <c r="H140" s="3" t="n">
        <v>1</v>
      </c>
      <c r="I140" s="3" t="n">
        <v>1</v>
      </c>
      <c r="J140" s="3" t="n">
        <v>1</v>
      </c>
      <c r="K140" s="6" t="n">
        <v>12</v>
      </c>
      <c r="L140" s="7"/>
      <c r="M140" s="7"/>
      <c r="N140" s="7"/>
      <c r="O140" s="7"/>
      <c r="P140" s="7"/>
      <c r="Q140" s="8"/>
      <c r="Z140" s="9"/>
    </row>
    <row r="141" customFormat="false" ht="15.75" hidden="false" customHeight="false" outlineLevel="0" collapsed="false">
      <c r="A141" s="3" t="n">
        <v>140</v>
      </c>
      <c r="B141" s="4" t="n">
        <v>45518</v>
      </c>
      <c r="C141" s="10" t="str">
        <f aca="false">PROPER(TEXT(WEEKDAY(B141),"dddd"))</f>
        <v>Quarta-Feira</v>
      </c>
      <c r="D141" s="11" t="n">
        <v>0.504861111111111</v>
      </c>
      <c r="E141" s="3" t="n">
        <v>140</v>
      </c>
      <c r="F141" s="3" t="n">
        <v>140</v>
      </c>
      <c r="G141" s="3" t="n">
        <v>2</v>
      </c>
      <c r="H141" s="3" t="n">
        <v>1</v>
      </c>
      <c r="I141" s="3" t="n">
        <v>1</v>
      </c>
      <c r="J141" s="3" t="n">
        <v>1</v>
      </c>
      <c r="K141" s="6" t="n">
        <v>31</v>
      </c>
      <c r="L141" s="7"/>
      <c r="M141" s="7"/>
      <c r="N141" s="7"/>
      <c r="O141" s="7"/>
      <c r="P141" s="7"/>
      <c r="Q141" s="8"/>
      <c r="Z141" s="9"/>
    </row>
    <row r="142" customFormat="false" ht="15.75" hidden="false" customHeight="false" outlineLevel="0" collapsed="false">
      <c r="A142" s="3" t="n">
        <v>141</v>
      </c>
      <c r="B142" s="4" t="n">
        <v>45518</v>
      </c>
      <c r="C142" s="10" t="str">
        <f aca="false">PROPER(TEXT(WEEKDAY(B142),"dddd"))</f>
        <v>Quarta-Feira</v>
      </c>
      <c r="D142" s="11" t="n">
        <v>0.525</v>
      </c>
      <c r="E142" s="3" t="n">
        <v>141</v>
      </c>
      <c r="F142" s="3" t="n">
        <v>141</v>
      </c>
      <c r="G142" s="3" t="n">
        <v>2</v>
      </c>
      <c r="H142" s="3" t="n">
        <v>1</v>
      </c>
      <c r="I142" s="3" t="n">
        <v>1</v>
      </c>
      <c r="J142" s="3" t="n">
        <v>1</v>
      </c>
      <c r="K142" s="6" t="n">
        <v>9.6</v>
      </c>
      <c r="L142" s="7"/>
      <c r="M142" s="7"/>
      <c r="N142" s="7"/>
      <c r="O142" s="7"/>
      <c r="P142" s="7"/>
      <c r="Q142" s="8"/>
      <c r="Z142" s="9"/>
    </row>
    <row r="143" customFormat="false" ht="15.75" hidden="false" customHeight="false" outlineLevel="0" collapsed="false">
      <c r="A143" s="3" t="n">
        <v>142</v>
      </c>
      <c r="B143" s="4" t="n">
        <v>45520</v>
      </c>
      <c r="C143" s="10" t="str">
        <f aca="false">PROPER(TEXT(WEEKDAY(B143),"dddd"))</f>
        <v>Sexta-Feira</v>
      </c>
      <c r="D143" s="11" t="n">
        <v>0.244444444444444</v>
      </c>
      <c r="E143" s="3" t="n">
        <v>142</v>
      </c>
      <c r="F143" s="3" t="n">
        <v>142</v>
      </c>
      <c r="G143" s="3" t="n">
        <v>2</v>
      </c>
      <c r="H143" s="3" t="n">
        <v>1</v>
      </c>
      <c r="I143" s="3" t="n">
        <v>1</v>
      </c>
      <c r="J143" s="3" t="n">
        <v>1</v>
      </c>
      <c r="K143" s="6" t="n">
        <v>6.7</v>
      </c>
      <c r="L143" s="7"/>
      <c r="M143" s="7"/>
      <c r="N143" s="7"/>
      <c r="O143" s="7"/>
      <c r="P143" s="7"/>
      <c r="Q143" s="8"/>
      <c r="Z143" s="9"/>
    </row>
    <row r="144" customFormat="false" ht="15.75" hidden="false" customHeight="false" outlineLevel="0" collapsed="false">
      <c r="A144" s="3" t="n">
        <v>143</v>
      </c>
      <c r="B144" s="4" t="n">
        <v>45520</v>
      </c>
      <c r="C144" s="10" t="str">
        <f aca="false">PROPER(TEXT(WEEKDAY(B144),"dddd"))</f>
        <v>Sexta-Feira</v>
      </c>
      <c r="D144" s="11" t="n">
        <v>0.255555555555556</v>
      </c>
      <c r="E144" s="3" t="n">
        <v>143</v>
      </c>
      <c r="F144" s="3" t="n">
        <v>143</v>
      </c>
      <c r="G144" s="3" t="n">
        <v>2</v>
      </c>
      <c r="H144" s="3" t="n">
        <v>1</v>
      </c>
      <c r="I144" s="3" t="n">
        <v>1</v>
      </c>
      <c r="J144" s="3" t="n">
        <v>1</v>
      </c>
      <c r="K144" s="6" t="n">
        <v>10.3</v>
      </c>
      <c r="L144" s="7"/>
      <c r="M144" s="7"/>
      <c r="N144" s="7"/>
      <c r="O144" s="7"/>
      <c r="P144" s="7"/>
      <c r="Q144" s="8"/>
      <c r="Z144" s="9"/>
    </row>
    <row r="145" customFormat="false" ht="15.75" hidden="false" customHeight="false" outlineLevel="0" collapsed="false">
      <c r="A145" s="3" t="n">
        <v>144</v>
      </c>
      <c r="B145" s="4" t="n">
        <v>45520</v>
      </c>
      <c r="C145" s="10" t="str">
        <f aca="false">PROPER(TEXT(WEEKDAY(B145),"dddd"))</f>
        <v>Sexta-Feira</v>
      </c>
      <c r="D145" s="11" t="n">
        <v>0.284722222222222</v>
      </c>
      <c r="E145" s="3" t="n">
        <v>144</v>
      </c>
      <c r="F145" s="3" t="n">
        <v>144</v>
      </c>
      <c r="G145" s="3" t="n">
        <v>2</v>
      </c>
      <c r="H145" s="3" t="n">
        <v>1</v>
      </c>
      <c r="I145" s="3" t="n">
        <v>1</v>
      </c>
      <c r="J145" s="3" t="n">
        <v>1</v>
      </c>
      <c r="K145" s="6" t="n">
        <v>24.9</v>
      </c>
      <c r="L145" s="7"/>
      <c r="M145" s="7"/>
      <c r="N145" s="7"/>
      <c r="O145" s="7"/>
      <c r="P145" s="7"/>
      <c r="Q145" s="8"/>
      <c r="Z145" s="9"/>
    </row>
    <row r="146" customFormat="false" ht="15.75" hidden="false" customHeight="false" outlineLevel="0" collapsed="false">
      <c r="A146" s="3" t="n">
        <v>145</v>
      </c>
      <c r="B146" s="4" t="n">
        <v>45520</v>
      </c>
      <c r="C146" s="10" t="str">
        <f aca="false">PROPER(TEXT(WEEKDAY(B146),"dddd"))</f>
        <v>Sexta-Feira</v>
      </c>
      <c r="D146" s="11" t="n">
        <v>0.295138888888889</v>
      </c>
      <c r="E146" s="3" t="n">
        <v>145</v>
      </c>
      <c r="F146" s="3" t="n">
        <v>145</v>
      </c>
      <c r="G146" s="3" t="n">
        <v>2</v>
      </c>
      <c r="H146" s="3" t="n">
        <v>1</v>
      </c>
      <c r="I146" s="3" t="n">
        <v>1</v>
      </c>
      <c r="J146" s="3" t="n">
        <v>1</v>
      </c>
      <c r="K146" s="6" t="n">
        <v>14.9</v>
      </c>
      <c r="L146" s="7"/>
      <c r="M146" s="7"/>
      <c r="N146" s="7"/>
      <c r="O146" s="7"/>
      <c r="P146" s="7"/>
      <c r="Q146" s="8"/>
      <c r="Z146" s="9"/>
    </row>
    <row r="147" customFormat="false" ht="15.75" hidden="false" customHeight="false" outlineLevel="0" collapsed="false">
      <c r="A147" s="3" t="n">
        <v>146</v>
      </c>
      <c r="B147" s="4" t="n">
        <v>45520</v>
      </c>
      <c r="C147" s="10" t="str">
        <f aca="false">PROPER(TEXT(WEEKDAY(B147),"dddd"))</f>
        <v>Sexta-Feira</v>
      </c>
      <c r="D147" s="11" t="n">
        <v>0.314583333333333</v>
      </c>
      <c r="E147" s="3" t="n">
        <v>146</v>
      </c>
      <c r="F147" s="3" t="n">
        <v>146</v>
      </c>
      <c r="G147" s="3" t="n">
        <v>2</v>
      </c>
      <c r="H147" s="3" t="n">
        <v>1</v>
      </c>
      <c r="I147" s="3" t="n">
        <v>1</v>
      </c>
      <c r="J147" s="3" t="n">
        <v>1</v>
      </c>
      <c r="K147" s="6" t="n">
        <v>10.6</v>
      </c>
      <c r="L147" s="7"/>
      <c r="M147" s="7"/>
      <c r="N147" s="7"/>
      <c r="O147" s="7"/>
      <c r="P147" s="7"/>
      <c r="Q147" s="8"/>
      <c r="Z147" s="9"/>
    </row>
    <row r="148" customFormat="false" ht="15.75" hidden="false" customHeight="false" outlineLevel="0" collapsed="false">
      <c r="A148" s="3" t="n">
        <v>147</v>
      </c>
      <c r="B148" s="4" t="n">
        <v>45520</v>
      </c>
      <c r="C148" s="10" t="str">
        <f aca="false">PROPER(TEXT(WEEKDAY(B148),"dddd"))</f>
        <v>Sexta-Feira</v>
      </c>
      <c r="D148" s="11" t="n">
        <v>0.353472222222222</v>
      </c>
      <c r="E148" s="3" t="n">
        <v>147</v>
      </c>
      <c r="F148" s="3" t="n">
        <v>147</v>
      </c>
      <c r="G148" s="3" t="n">
        <v>2</v>
      </c>
      <c r="H148" s="3" t="n">
        <v>1</v>
      </c>
      <c r="I148" s="3" t="n">
        <v>1</v>
      </c>
      <c r="J148" s="3" t="n">
        <v>1</v>
      </c>
      <c r="K148" s="6" t="n">
        <v>15.35</v>
      </c>
      <c r="L148" s="7"/>
      <c r="M148" s="7"/>
      <c r="N148" s="7"/>
      <c r="O148" s="7"/>
      <c r="P148" s="7"/>
      <c r="Q148" s="8"/>
      <c r="Z148" s="9"/>
    </row>
    <row r="149" customFormat="false" ht="15.75" hidden="false" customHeight="false" outlineLevel="0" collapsed="false">
      <c r="A149" s="3" t="n">
        <v>148</v>
      </c>
      <c r="B149" s="4" t="n">
        <v>45520</v>
      </c>
      <c r="C149" s="10" t="str">
        <f aca="false">PROPER(TEXT(WEEKDAY(B149),"dddd"))</f>
        <v>Sexta-Feira</v>
      </c>
      <c r="D149" s="11" t="n">
        <v>0.393055555555556</v>
      </c>
      <c r="E149" s="3" t="n">
        <v>148</v>
      </c>
      <c r="F149" s="3" t="n">
        <v>148</v>
      </c>
      <c r="G149" s="3" t="n">
        <v>2</v>
      </c>
      <c r="H149" s="3" t="n">
        <v>1</v>
      </c>
      <c r="I149" s="3" t="n">
        <v>1</v>
      </c>
      <c r="J149" s="3" t="n">
        <v>1</v>
      </c>
      <c r="K149" s="6" t="n">
        <v>14.05</v>
      </c>
      <c r="L149" s="7"/>
      <c r="M149" s="7"/>
      <c r="N149" s="7"/>
      <c r="O149" s="7"/>
      <c r="P149" s="7"/>
      <c r="Q149" s="8"/>
      <c r="Z149" s="9"/>
    </row>
    <row r="150" customFormat="false" ht="15.75" hidden="false" customHeight="false" outlineLevel="0" collapsed="false">
      <c r="A150" s="3" t="n">
        <v>149</v>
      </c>
      <c r="B150" s="4" t="n">
        <v>45520</v>
      </c>
      <c r="C150" s="10" t="str">
        <f aca="false">PROPER(TEXT(WEEKDAY(B150),"dddd"))</f>
        <v>Sexta-Feira</v>
      </c>
      <c r="D150" s="11" t="n">
        <v>0.402083333333333</v>
      </c>
      <c r="E150" s="3" t="n">
        <v>149</v>
      </c>
      <c r="F150" s="3" t="n">
        <v>149</v>
      </c>
      <c r="G150" s="3" t="n">
        <v>1</v>
      </c>
      <c r="H150" s="3" t="n">
        <v>1</v>
      </c>
      <c r="I150" s="3" t="n">
        <v>1</v>
      </c>
      <c r="J150" s="3" t="n">
        <v>1</v>
      </c>
      <c r="K150" s="6" t="n">
        <v>40.9</v>
      </c>
      <c r="L150" s="7"/>
      <c r="M150" s="7"/>
      <c r="N150" s="7"/>
      <c r="O150" s="7"/>
      <c r="P150" s="7"/>
      <c r="Q150" s="8"/>
      <c r="Z150" s="9"/>
    </row>
    <row r="151" customFormat="false" ht="15.75" hidden="false" customHeight="false" outlineLevel="0" collapsed="false">
      <c r="A151" s="3" t="n">
        <v>150</v>
      </c>
      <c r="B151" s="4" t="n">
        <v>45520</v>
      </c>
      <c r="C151" s="10" t="str">
        <f aca="false">PROPER(TEXT(WEEKDAY(B151),"dddd"))</f>
        <v>Sexta-Feira</v>
      </c>
      <c r="D151" s="11" t="n">
        <v>0.434722222222222</v>
      </c>
      <c r="E151" s="3" t="n">
        <v>150</v>
      </c>
      <c r="F151" s="3" t="n">
        <v>150</v>
      </c>
      <c r="G151" s="3" t="n">
        <v>4</v>
      </c>
      <c r="H151" s="3" t="n">
        <v>1</v>
      </c>
      <c r="I151" s="3" t="n">
        <v>1</v>
      </c>
      <c r="J151" s="3" t="n">
        <v>1</v>
      </c>
      <c r="K151" s="6" t="n">
        <v>2</v>
      </c>
      <c r="L151" s="7"/>
      <c r="M151" s="7"/>
      <c r="N151" s="7"/>
      <c r="O151" s="7"/>
      <c r="P151" s="7"/>
      <c r="Q151" s="8"/>
      <c r="Z151" s="9"/>
    </row>
    <row r="152" customFormat="false" ht="15.75" hidden="false" customHeight="false" outlineLevel="0" collapsed="false">
      <c r="A152" s="3" t="n">
        <v>151</v>
      </c>
      <c r="B152" s="4" t="n">
        <v>45520</v>
      </c>
      <c r="C152" s="10" t="str">
        <f aca="false">PROPER(TEXT(WEEKDAY(B152),"dddd"))</f>
        <v>Sexta-Feira</v>
      </c>
      <c r="D152" s="11" t="n">
        <v>0.470833333333333</v>
      </c>
      <c r="E152" s="3" t="n">
        <v>151</v>
      </c>
      <c r="F152" s="3" t="n">
        <v>151</v>
      </c>
      <c r="G152" s="3" t="n">
        <v>2</v>
      </c>
      <c r="H152" s="3" t="n">
        <v>1</v>
      </c>
      <c r="I152" s="3" t="n">
        <v>1</v>
      </c>
      <c r="J152" s="3" t="n">
        <v>1</v>
      </c>
      <c r="K152" s="6" t="n">
        <v>4.8</v>
      </c>
      <c r="L152" s="7"/>
      <c r="M152" s="7"/>
      <c r="N152" s="7"/>
      <c r="O152" s="7"/>
      <c r="P152" s="7"/>
      <c r="Q152" s="8"/>
      <c r="Z152" s="9"/>
    </row>
    <row r="153" customFormat="false" ht="15.75" hidden="false" customHeight="false" outlineLevel="0" collapsed="false">
      <c r="A153" s="3" t="n">
        <v>152</v>
      </c>
      <c r="B153" s="4" t="n">
        <v>45520</v>
      </c>
      <c r="C153" s="10" t="str">
        <f aca="false">PROPER(TEXT(WEEKDAY(B153),"dddd"))</f>
        <v>Sexta-Feira</v>
      </c>
      <c r="D153" s="11" t="n">
        <v>0.485416666666667</v>
      </c>
      <c r="E153" s="3" t="n">
        <v>152</v>
      </c>
      <c r="F153" s="3" t="n">
        <v>152</v>
      </c>
      <c r="G153" s="3" t="n">
        <v>2</v>
      </c>
      <c r="H153" s="3" t="n">
        <v>1</v>
      </c>
      <c r="I153" s="3" t="n">
        <v>1</v>
      </c>
      <c r="J153" s="3" t="n">
        <v>1</v>
      </c>
      <c r="K153" s="6" t="n">
        <v>13.5</v>
      </c>
      <c r="L153" s="7"/>
      <c r="M153" s="7"/>
      <c r="N153" s="7"/>
      <c r="O153" s="7"/>
      <c r="P153" s="7"/>
      <c r="Q153" s="8"/>
      <c r="Z153" s="9"/>
    </row>
    <row r="154" customFormat="false" ht="15.75" hidden="false" customHeight="false" outlineLevel="0" collapsed="false">
      <c r="A154" s="3" t="n">
        <v>153</v>
      </c>
      <c r="B154" s="4" t="n">
        <v>45520</v>
      </c>
      <c r="C154" s="10" t="str">
        <f aca="false">PROPER(TEXT(WEEKDAY(B154),"dddd"))</f>
        <v>Sexta-Feira</v>
      </c>
      <c r="D154" s="11" t="n">
        <v>0.502083333333333</v>
      </c>
      <c r="E154" s="3" t="n">
        <v>153</v>
      </c>
      <c r="F154" s="3" t="n">
        <v>153</v>
      </c>
      <c r="G154" s="3" t="n">
        <v>2</v>
      </c>
      <c r="H154" s="3" t="n">
        <v>1</v>
      </c>
      <c r="I154" s="3" t="n">
        <v>1</v>
      </c>
      <c r="J154" s="3" t="n">
        <v>1</v>
      </c>
      <c r="K154" s="6" t="n">
        <v>23.7</v>
      </c>
      <c r="L154" s="7"/>
      <c r="M154" s="7"/>
      <c r="N154" s="7"/>
      <c r="O154" s="7"/>
      <c r="P154" s="7"/>
      <c r="Q154" s="8"/>
      <c r="Z154" s="9"/>
    </row>
    <row r="155" customFormat="false" ht="15.75" hidden="false" customHeight="false" outlineLevel="0" collapsed="false">
      <c r="A155" s="3" t="n">
        <v>154</v>
      </c>
      <c r="B155" s="4" t="n">
        <v>45522</v>
      </c>
      <c r="C155" s="10" t="str">
        <f aca="false">PROPER(TEXT(WEEKDAY(B155),"dddd"))</f>
        <v>Domingo</v>
      </c>
      <c r="D155" s="11" t="n">
        <v>0.420833333333333</v>
      </c>
      <c r="E155" s="3" t="n">
        <v>154</v>
      </c>
      <c r="F155" s="3" t="n">
        <v>154</v>
      </c>
      <c r="G155" s="3" t="n">
        <v>2</v>
      </c>
      <c r="H155" s="3" t="n">
        <v>1</v>
      </c>
      <c r="I155" s="3" t="n">
        <v>1</v>
      </c>
      <c r="J155" s="3" t="n">
        <v>1</v>
      </c>
      <c r="K155" s="6" t="n">
        <v>23.35</v>
      </c>
      <c r="L155" s="7"/>
      <c r="M155" s="7"/>
      <c r="N155" s="7"/>
      <c r="O155" s="7"/>
      <c r="P155" s="7"/>
      <c r="Q155" s="8"/>
      <c r="Z155" s="9"/>
    </row>
    <row r="156" customFormat="false" ht="15.75" hidden="false" customHeight="false" outlineLevel="0" collapsed="false">
      <c r="A156" s="3" t="n">
        <v>155</v>
      </c>
      <c r="B156" s="4" t="n">
        <v>45522</v>
      </c>
      <c r="C156" s="10" t="str">
        <f aca="false">PROPER(TEXT(WEEKDAY(B156),"dddd"))</f>
        <v>Domingo</v>
      </c>
      <c r="D156" s="11" t="n">
        <v>0.440972222222222</v>
      </c>
      <c r="E156" s="3" t="n">
        <v>155</v>
      </c>
      <c r="F156" s="3" t="n">
        <v>155</v>
      </c>
      <c r="G156" s="3" t="n">
        <v>1</v>
      </c>
      <c r="H156" s="3" t="n">
        <v>1</v>
      </c>
      <c r="I156" s="3" t="n">
        <v>1</v>
      </c>
      <c r="J156" s="3" t="n">
        <v>1</v>
      </c>
      <c r="K156" s="6" t="n">
        <v>32</v>
      </c>
      <c r="L156" s="7"/>
      <c r="M156" s="7"/>
      <c r="N156" s="7"/>
      <c r="O156" s="7"/>
      <c r="P156" s="7"/>
      <c r="Q156" s="8"/>
      <c r="Z156" s="9"/>
    </row>
    <row r="157" customFormat="false" ht="15.75" hidden="false" customHeight="false" outlineLevel="0" collapsed="false">
      <c r="A157" s="3" t="n">
        <v>156</v>
      </c>
      <c r="B157" s="4" t="n">
        <v>45522</v>
      </c>
      <c r="C157" s="10" t="str">
        <f aca="false">PROPER(TEXT(WEEKDAY(B157),"dddd"))</f>
        <v>Domingo</v>
      </c>
      <c r="D157" s="11" t="n">
        <v>0.475694444444444</v>
      </c>
      <c r="E157" s="3" t="n">
        <v>156</v>
      </c>
      <c r="F157" s="3" t="n">
        <v>156</v>
      </c>
      <c r="G157" s="3" t="n">
        <v>1</v>
      </c>
      <c r="H157" s="3" t="n">
        <v>1</v>
      </c>
      <c r="I157" s="3" t="n">
        <v>1</v>
      </c>
      <c r="J157" s="3" t="n">
        <v>1</v>
      </c>
      <c r="K157" s="6" t="n">
        <v>23.2</v>
      </c>
      <c r="L157" s="7"/>
      <c r="M157" s="7"/>
      <c r="N157" s="7"/>
      <c r="O157" s="7"/>
      <c r="P157" s="7"/>
      <c r="Q157" s="8"/>
      <c r="Z157" s="9"/>
    </row>
    <row r="158" customFormat="false" ht="15.75" hidden="false" customHeight="false" outlineLevel="0" collapsed="false">
      <c r="A158" s="3" t="n">
        <v>157</v>
      </c>
      <c r="B158" s="4" t="n">
        <v>45522</v>
      </c>
      <c r="C158" s="10" t="str">
        <f aca="false">PROPER(TEXT(WEEKDAY(B158),"dddd"))</f>
        <v>Domingo</v>
      </c>
      <c r="D158" s="11" t="n">
        <v>0.493055555555556</v>
      </c>
      <c r="E158" s="3" t="n">
        <v>157</v>
      </c>
      <c r="F158" s="3" t="n">
        <v>157</v>
      </c>
      <c r="G158" s="3" t="n">
        <v>2</v>
      </c>
      <c r="H158" s="3" t="n">
        <v>1</v>
      </c>
      <c r="I158" s="3" t="n">
        <v>1</v>
      </c>
      <c r="J158" s="3" t="n">
        <v>1</v>
      </c>
      <c r="K158" s="6" t="n">
        <v>22.25</v>
      </c>
      <c r="L158" s="7"/>
      <c r="M158" s="7"/>
      <c r="N158" s="7"/>
      <c r="O158" s="7"/>
      <c r="P158" s="7"/>
      <c r="Q158" s="8"/>
      <c r="Z158" s="9"/>
    </row>
    <row r="159" customFormat="false" ht="15.75" hidden="false" customHeight="false" outlineLevel="0" collapsed="false">
      <c r="A159" s="3" t="n">
        <v>158</v>
      </c>
      <c r="B159" s="4" t="n">
        <v>45522</v>
      </c>
      <c r="C159" s="10" t="str">
        <f aca="false">PROPER(TEXT(WEEKDAY(B159),"dddd"))</f>
        <v>Domingo</v>
      </c>
      <c r="D159" s="11" t="n">
        <v>0.513194444444444</v>
      </c>
      <c r="E159" s="3" t="n">
        <v>158</v>
      </c>
      <c r="F159" s="3" t="n">
        <v>158</v>
      </c>
      <c r="G159" s="3" t="n">
        <v>2</v>
      </c>
      <c r="H159" s="3" t="n">
        <v>1</v>
      </c>
      <c r="I159" s="3" t="n">
        <v>1</v>
      </c>
      <c r="J159" s="3" t="n">
        <v>1</v>
      </c>
      <c r="K159" s="6" t="n">
        <v>4.6</v>
      </c>
      <c r="L159" s="7"/>
      <c r="M159" s="7"/>
      <c r="N159" s="7"/>
      <c r="O159" s="7"/>
      <c r="P159" s="7"/>
      <c r="Q159" s="8"/>
      <c r="Z159" s="9"/>
    </row>
    <row r="160" customFormat="false" ht="15.75" hidden="false" customHeight="false" outlineLevel="0" collapsed="false">
      <c r="A160" s="3" t="n">
        <v>159</v>
      </c>
      <c r="B160" s="4" t="n">
        <v>45522</v>
      </c>
      <c r="C160" s="10" t="str">
        <f aca="false">PROPER(TEXT(WEEKDAY(B160),"dddd"))</f>
        <v>Domingo</v>
      </c>
      <c r="D160" s="11" t="n">
        <v>0.525694444444445</v>
      </c>
      <c r="E160" s="3" t="n">
        <v>159</v>
      </c>
      <c r="F160" s="3" t="n">
        <v>159</v>
      </c>
      <c r="G160" s="3" t="n">
        <v>2</v>
      </c>
      <c r="H160" s="3" t="n">
        <v>1</v>
      </c>
      <c r="I160" s="3" t="n">
        <v>1</v>
      </c>
      <c r="J160" s="3" t="n">
        <v>1</v>
      </c>
      <c r="K160" s="6" t="n">
        <v>11</v>
      </c>
      <c r="L160" s="7"/>
      <c r="M160" s="7"/>
      <c r="N160" s="7"/>
      <c r="O160" s="7"/>
      <c r="P160" s="7"/>
      <c r="Q160" s="8"/>
      <c r="Z160" s="9"/>
    </row>
    <row r="161" customFormat="false" ht="15.75" hidden="false" customHeight="false" outlineLevel="0" collapsed="false">
      <c r="A161" s="3" t="n">
        <v>160</v>
      </c>
      <c r="B161" s="4" t="n">
        <v>45522</v>
      </c>
      <c r="C161" s="10" t="str">
        <f aca="false">PROPER(TEXT(WEEKDAY(B161),"dddd"))</f>
        <v>Domingo</v>
      </c>
      <c r="D161" s="11" t="n">
        <v>0.531944444444444</v>
      </c>
      <c r="E161" s="3" t="n">
        <v>160</v>
      </c>
      <c r="F161" s="3" t="n">
        <v>160</v>
      </c>
      <c r="G161" s="3" t="n">
        <v>1</v>
      </c>
      <c r="H161" s="3" t="n">
        <v>1</v>
      </c>
      <c r="I161" s="3" t="n">
        <v>1</v>
      </c>
      <c r="J161" s="3" t="n">
        <v>1</v>
      </c>
      <c r="K161" s="6" t="n">
        <v>5.55</v>
      </c>
      <c r="L161" s="7"/>
      <c r="M161" s="7"/>
      <c r="N161" s="7"/>
      <c r="O161" s="7"/>
      <c r="P161" s="7"/>
      <c r="Q161" s="8"/>
      <c r="Z161" s="9"/>
    </row>
    <row r="162" customFormat="false" ht="15.75" hidden="false" customHeight="false" outlineLevel="0" collapsed="false">
      <c r="A162" s="3" t="n">
        <v>161</v>
      </c>
      <c r="B162" s="4" t="n">
        <v>45522</v>
      </c>
      <c r="C162" s="10" t="str">
        <f aca="false">PROPER(TEXT(WEEKDAY(B162),"dddd"))</f>
        <v>Domingo</v>
      </c>
      <c r="D162" s="11" t="n">
        <v>0.541666666666667</v>
      </c>
      <c r="E162" s="3" t="n">
        <v>161</v>
      </c>
      <c r="F162" s="3" t="n">
        <v>161</v>
      </c>
      <c r="G162" s="3" t="n">
        <v>1</v>
      </c>
      <c r="H162" s="3" t="n">
        <v>1</v>
      </c>
      <c r="I162" s="3" t="n">
        <v>1</v>
      </c>
      <c r="J162" s="3" t="n">
        <v>1</v>
      </c>
      <c r="K162" s="6" t="n">
        <v>3.9</v>
      </c>
      <c r="L162" s="7"/>
      <c r="M162" s="7"/>
      <c r="N162" s="7"/>
      <c r="O162" s="7"/>
      <c r="P162" s="7"/>
      <c r="Q162" s="8"/>
      <c r="Z162" s="9"/>
    </row>
    <row r="163" customFormat="false" ht="15.75" hidden="false" customHeight="false" outlineLevel="0" collapsed="false">
      <c r="A163" s="3" t="n">
        <v>162</v>
      </c>
      <c r="B163" s="4" t="n">
        <v>45522</v>
      </c>
      <c r="C163" s="10" t="str">
        <f aca="false">PROPER(TEXT(WEEKDAY(B163),"dddd"))</f>
        <v>Domingo</v>
      </c>
      <c r="D163" s="11" t="n">
        <v>0.554166666666667</v>
      </c>
      <c r="E163" s="3" t="n">
        <v>162</v>
      </c>
      <c r="F163" s="3" t="n">
        <v>162</v>
      </c>
      <c r="G163" s="3" t="n">
        <v>1</v>
      </c>
      <c r="H163" s="3" t="n">
        <v>1</v>
      </c>
      <c r="I163" s="3" t="n">
        <v>1</v>
      </c>
      <c r="J163" s="3" t="n">
        <v>1</v>
      </c>
      <c r="K163" s="6" t="n">
        <v>24.5</v>
      </c>
      <c r="L163" s="7"/>
      <c r="M163" s="7"/>
      <c r="N163" s="7"/>
      <c r="O163" s="7"/>
      <c r="P163" s="7"/>
      <c r="Q163" s="8"/>
      <c r="Z163" s="9"/>
    </row>
    <row r="164" customFormat="false" ht="15.75" hidden="false" customHeight="false" outlineLevel="0" collapsed="false">
      <c r="A164" s="3" t="n">
        <v>163</v>
      </c>
      <c r="B164" s="4" t="n">
        <v>45522</v>
      </c>
      <c r="C164" s="10" t="str">
        <f aca="false">PROPER(TEXT(WEEKDAY(B164),"dddd"))</f>
        <v>Domingo</v>
      </c>
      <c r="D164" s="11" t="n">
        <v>0.575694444444444</v>
      </c>
      <c r="E164" s="3" t="n">
        <v>163</v>
      </c>
      <c r="F164" s="3" t="n">
        <v>163</v>
      </c>
      <c r="G164" s="3" t="n">
        <v>1</v>
      </c>
      <c r="H164" s="3" t="n">
        <v>1</v>
      </c>
      <c r="I164" s="3" t="n">
        <v>1</v>
      </c>
      <c r="J164" s="3" t="n">
        <v>1</v>
      </c>
      <c r="K164" s="6" t="n">
        <v>19.5</v>
      </c>
      <c r="L164" s="7"/>
      <c r="M164" s="7"/>
      <c r="N164" s="7"/>
      <c r="O164" s="7"/>
      <c r="P164" s="7"/>
      <c r="Q164" s="8"/>
      <c r="Z164" s="9"/>
    </row>
    <row r="165" customFormat="false" ht="15.75" hidden="false" customHeight="false" outlineLevel="0" collapsed="false">
      <c r="A165" s="3" t="n">
        <v>164</v>
      </c>
      <c r="B165" s="4" t="n">
        <v>45522</v>
      </c>
      <c r="C165" s="10" t="str">
        <f aca="false">PROPER(TEXT(WEEKDAY(B165),"dddd"))</f>
        <v>Domingo</v>
      </c>
      <c r="D165" s="11" t="n">
        <v>0.588194444444445</v>
      </c>
      <c r="E165" s="3" t="n">
        <v>164</v>
      </c>
      <c r="F165" s="3" t="n">
        <v>164</v>
      </c>
      <c r="G165" s="3" t="n">
        <v>2</v>
      </c>
      <c r="H165" s="3" t="n">
        <v>1</v>
      </c>
      <c r="I165" s="3" t="n">
        <v>1</v>
      </c>
      <c r="J165" s="3" t="n">
        <v>1</v>
      </c>
      <c r="K165" s="6" t="n">
        <v>15.8</v>
      </c>
      <c r="L165" s="7"/>
      <c r="M165" s="7"/>
      <c r="N165" s="7"/>
      <c r="O165" s="7"/>
      <c r="P165" s="7"/>
      <c r="Q165" s="8"/>
      <c r="Z165" s="9"/>
    </row>
    <row r="166" customFormat="false" ht="15.75" hidden="false" customHeight="false" outlineLevel="0" collapsed="false">
      <c r="A166" s="3" t="n">
        <v>165</v>
      </c>
      <c r="B166" s="4" t="n">
        <v>45522</v>
      </c>
      <c r="C166" s="10" t="str">
        <f aca="false">PROPER(TEXT(WEEKDAY(B166),"dddd"))</f>
        <v>Domingo</v>
      </c>
      <c r="D166" s="11" t="n">
        <v>0.756944444444444</v>
      </c>
      <c r="E166" s="3" t="n">
        <v>165</v>
      </c>
      <c r="F166" s="3" t="n">
        <v>165</v>
      </c>
      <c r="G166" s="3" t="n">
        <v>2</v>
      </c>
      <c r="H166" s="3" t="n">
        <v>1</v>
      </c>
      <c r="I166" s="3" t="n">
        <v>1</v>
      </c>
      <c r="J166" s="3" t="n">
        <v>1</v>
      </c>
      <c r="K166" s="6" t="n">
        <v>13.1</v>
      </c>
      <c r="L166" s="7"/>
      <c r="M166" s="7"/>
      <c r="N166" s="7"/>
      <c r="O166" s="7"/>
      <c r="P166" s="7"/>
      <c r="Q166" s="8"/>
      <c r="Z166" s="9"/>
    </row>
    <row r="167" customFormat="false" ht="15.75" hidden="false" customHeight="false" outlineLevel="0" collapsed="false">
      <c r="A167" s="3" t="n">
        <v>166</v>
      </c>
      <c r="B167" s="4" t="n">
        <v>45522</v>
      </c>
      <c r="C167" s="10" t="str">
        <f aca="false">PROPER(TEXT(WEEKDAY(B167),"dddd"))</f>
        <v>Domingo</v>
      </c>
      <c r="D167" s="11" t="n">
        <v>0.773611111111111</v>
      </c>
      <c r="E167" s="3" t="n">
        <v>166</v>
      </c>
      <c r="F167" s="3" t="n">
        <v>166</v>
      </c>
      <c r="G167" s="3" t="n">
        <v>2</v>
      </c>
      <c r="H167" s="3" t="n">
        <v>1</v>
      </c>
      <c r="I167" s="3" t="n">
        <v>1</v>
      </c>
      <c r="J167" s="3" t="n">
        <v>1</v>
      </c>
      <c r="K167" s="6" t="n">
        <v>5.3</v>
      </c>
      <c r="L167" s="7"/>
      <c r="M167" s="7"/>
      <c r="N167" s="7"/>
      <c r="O167" s="7"/>
      <c r="P167" s="7"/>
      <c r="Q167" s="8"/>
      <c r="Z167" s="9"/>
    </row>
    <row r="168" customFormat="false" ht="15.75" hidden="false" customHeight="false" outlineLevel="0" collapsed="false">
      <c r="A168" s="3" t="n">
        <v>167</v>
      </c>
      <c r="B168" s="4" t="n">
        <v>45522</v>
      </c>
      <c r="C168" s="10" t="str">
        <f aca="false">PROPER(TEXT(WEEKDAY(B168),"dddd"))</f>
        <v>Domingo</v>
      </c>
      <c r="D168" s="11" t="n">
        <v>0.78125</v>
      </c>
      <c r="E168" s="3" t="n">
        <v>167</v>
      </c>
      <c r="F168" s="3" t="n">
        <v>167</v>
      </c>
      <c r="G168" s="3" t="n">
        <v>2</v>
      </c>
      <c r="H168" s="3" t="n">
        <v>1</v>
      </c>
      <c r="I168" s="3" t="n">
        <v>1</v>
      </c>
      <c r="J168" s="3" t="n">
        <v>1</v>
      </c>
      <c r="K168" s="6" t="n">
        <v>5.9</v>
      </c>
      <c r="L168" s="7"/>
      <c r="M168" s="7"/>
      <c r="N168" s="7"/>
      <c r="O168" s="7"/>
      <c r="P168" s="7"/>
      <c r="Q168" s="8"/>
      <c r="Z168" s="9"/>
    </row>
    <row r="169" customFormat="false" ht="15.75" hidden="false" customHeight="false" outlineLevel="0" collapsed="false">
      <c r="A169" s="3" t="n">
        <v>168</v>
      </c>
      <c r="B169" s="4" t="n">
        <v>45524</v>
      </c>
      <c r="C169" s="10" t="str">
        <f aca="false">PROPER(TEXT(WEEKDAY(B169),"dddd"))</f>
        <v>Terça-Feira</v>
      </c>
      <c r="D169" s="11" t="n">
        <v>0.2</v>
      </c>
      <c r="E169" s="3" t="n">
        <v>168</v>
      </c>
      <c r="F169" s="3" t="n">
        <v>168</v>
      </c>
      <c r="G169" s="3" t="n">
        <v>2</v>
      </c>
      <c r="H169" s="3" t="n">
        <v>1</v>
      </c>
      <c r="I169" s="3" t="n">
        <v>1</v>
      </c>
      <c r="J169" s="3" t="n">
        <v>1</v>
      </c>
      <c r="K169" s="6" t="n">
        <v>12.6</v>
      </c>
      <c r="L169" s="7"/>
      <c r="M169" s="7"/>
      <c r="N169" s="7"/>
      <c r="O169" s="7"/>
      <c r="P169" s="7"/>
      <c r="Q169" s="8"/>
      <c r="Z169" s="9"/>
    </row>
    <row r="170" customFormat="false" ht="15.75" hidden="false" customHeight="false" outlineLevel="0" collapsed="false">
      <c r="A170" s="3" t="n">
        <v>169</v>
      </c>
      <c r="B170" s="4" t="n">
        <v>45524</v>
      </c>
      <c r="C170" s="10" t="str">
        <f aca="false">PROPER(TEXT(WEEKDAY(B170),"dddd"))</f>
        <v>Terça-Feira</v>
      </c>
      <c r="D170" s="11" t="n">
        <v>0.2375</v>
      </c>
      <c r="E170" s="3" t="n">
        <v>169</v>
      </c>
      <c r="F170" s="3" t="n">
        <v>169</v>
      </c>
      <c r="G170" s="3" t="n">
        <v>2</v>
      </c>
      <c r="H170" s="3" t="n">
        <v>1</v>
      </c>
      <c r="I170" s="3" t="n">
        <v>1</v>
      </c>
      <c r="J170" s="3" t="n">
        <v>1</v>
      </c>
      <c r="K170" s="6" t="n">
        <v>10.85</v>
      </c>
      <c r="L170" s="7"/>
      <c r="M170" s="7"/>
      <c r="N170" s="7"/>
      <c r="O170" s="7"/>
      <c r="P170" s="7"/>
      <c r="Q170" s="8"/>
      <c r="Z170" s="9"/>
    </row>
    <row r="171" customFormat="false" ht="15.75" hidden="false" customHeight="false" outlineLevel="0" collapsed="false">
      <c r="A171" s="3" t="n">
        <v>170</v>
      </c>
      <c r="B171" s="4" t="n">
        <v>45524</v>
      </c>
      <c r="C171" s="10" t="str">
        <f aca="false">PROPER(TEXT(WEEKDAY(B171),"dddd"))</f>
        <v>Terça-Feira</v>
      </c>
      <c r="D171" s="11" t="n">
        <v>0.261111111111111</v>
      </c>
      <c r="E171" s="3" t="n">
        <v>170</v>
      </c>
      <c r="F171" s="3" t="n">
        <v>170</v>
      </c>
      <c r="G171" s="3" t="n">
        <v>2</v>
      </c>
      <c r="H171" s="3" t="n">
        <v>1</v>
      </c>
      <c r="I171" s="3" t="n">
        <v>1</v>
      </c>
      <c r="J171" s="3" t="n">
        <v>1</v>
      </c>
      <c r="K171" s="6" t="n">
        <v>37.4</v>
      </c>
      <c r="L171" s="7"/>
      <c r="M171" s="7"/>
      <c r="N171" s="7"/>
      <c r="O171" s="7"/>
      <c r="P171" s="7"/>
      <c r="Q171" s="8"/>
      <c r="Z171" s="9"/>
    </row>
    <row r="172" customFormat="false" ht="15.75" hidden="false" customHeight="false" outlineLevel="0" collapsed="false">
      <c r="A172" s="3" t="n">
        <v>171</v>
      </c>
      <c r="B172" s="4" t="n">
        <v>45524</v>
      </c>
      <c r="C172" s="10" t="str">
        <f aca="false">PROPER(TEXT(WEEKDAY(B172),"dddd"))</f>
        <v>Terça-Feira</v>
      </c>
      <c r="D172" s="11" t="n">
        <v>0.336111111111111</v>
      </c>
      <c r="E172" s="3" t="n">
        <v>171</v>
      </c>
      <c r="F172" s="3" t="n">
        <v>171</v>
      </c>
      <c r="G172" s="3" t="n">
        <v>2</v>
      </c>
      <c r="H172" s="3" t="n">
        <v>1</v>
      </c>
      <c r="I172" s="3" t="n">
        <v>1</v>
      </c>
      <c r="J172" s="3" t="n">
        <v>1</v>
      </c>
      <c r="K172" s="6" t="n">
        <v>7.2</v>
      </c>
      <c r="L172" s="7"/>
      <c r="M172" s="7"/>
      <c r="N172" s="7"/>
      <c r="O172" s="7"/>
      <c r="P172" s="7"/>
      <c r="Q172" s="8"/>
      <c r="Z172" s="9"/>
    </row>
    <row r="173" customFormat="false" ht="15.75" hidden="false" customHeight="false" outlineLevel="0" collapsed="false">
      <c r="A173" s="3" t="n">
        <v>172</v>
      </c>
      <c r="B173" s="4" t="n">
        <v>45524</v>
      </c>
      <c r="C173" s="10" t="str">
        <f aca="false">PROPER(TEXT(WEEKDAY(B173),"dddd"))</f>
        <v>Terça-Feira</v>
      </c>
      <c r="D173" s="11" t="n">
        <v>0.345833333333333</v>
      </c>
      <c r="E173" s="3" t="n">
        <v>172</v>
      </c>
      <c r="F173" s="3" t="n">
        <v>172</v>
      </c>
      <c r="G173" s="3" t="n">
        <v>2</v>
      </c>
      <c r="H173" s="3" t="n">
        <v>1</v>
      </c>
      <c r="I173" s="3" t="n">
        <v>1</v>
      </c>
      <c r="J173" s="3" t="n">
        <v>1</v>
      </c>
      <c r="K173" s="6" t="n">
        <v>40.5</v>
      </c>
      <c r="L173" s="7"/>
      <c r="M173" s="7"/>
      <c r="N173" s="7"/>
      <c r="O173" s="7"/>
      <c r="P173" s="7"/>
      <c r="Q173" s="8"/>
      <c r="Z173" s="9"/>
    </row>
    <row r="174" customFormat="false" ht="15.75" hidden="false" customHeight="false" outlineLevel="0" collapsed="false">
      <c r="A174" s="3" t="n">
        <v>173</v>
      </c>
      <c r="B174" s="4" t="n">
        <v>45524</v>
      </c>
      <c r="C174" s="10" t="str">
        <f aca="false">PROPER(TEXT(WEEKDAY(B174),"dddd"))</f>
        <v>Terça-Feira</v>
      </c>
      <c r="D174" s="11" t="n">
        <v>0.375694444444444</v>
      </c>
      <c r="E174" s="3" t="n">
        <v>173</v>
      </c>
      <c r="F174" s="3" t="n">
        <v>173</v>
      </c>
      <c r="G174" s="3" t="n">
        <v>1</v>
      </c>
      <c r="H174" s="3" t="n">
        <v>1</v>
      </c>
      <c r="I174" s="3" t="n">
        <v>1</v>
      </c>
      <c r="J174" s="3" t="n">
        <v>1</v>
      </c>
      <c r="K174" s="6" t="n">
        <v>13</v>
      </c>
      <c r="L174" s="7"/>
      <c r="M174" s="7"/>
      <c r="N174" s="7"/>
      <c r="O174" s="7"/>
      <c r="P174" s="7"/>
      <c r="Q174" s="8"/>
      <c r="Z174" s="9"/>
    </row>
    <row r="175" customFormat="false" ht="15.75" hidden="false" customHeight="false" outlineLevel="0" collapsed="false">
      <c r="A175" s="3" t="n">
        <v>174</v>
      </c>
      <c r="B175" s="4" t="n">
        <v>45524</v>
      </c>
      <c r="C175" s="10" t="str">
        <f aca="false">PROPER(TEXT(WEEKDAY(B175),"dddd"))</f>
        <v>Terça-Feira</v>
      </c>
      <c r="D175" s="11" t="n">
        <v>0.379166666666667</v>
      </c>
      <c r="E175" s="3" t="n">
        <v>174</v>
      </c>
      <c r="F175" s="3" t="n">
        <v>174</v>
      </c>
      <c r="G175" s="3" t="n">
        <v>3</v>
      </c>
      <c r="H175" s="3" t="n">
        <v>1</v>
      </c>
      <c r="I175" s="3" t="n">
        <v>1</v>
      </c>
      <c r="J175" s="3" t="n">
        <v>1</v>
      </c>
      <c r="K175" s="6" t="n">
        <v>0</v>
      </c>
      <c r="L175" s="7"/>
      <c r="M175" s="7"/>
      <c r="N175" s="7"/>
      <c r="O175" s="7"/>
      <c r="P175" s="7"/>
      <c r="Q175" s="8"/>
      <c r="Z175" s="9"/>
    </row>
    <row r="176" customFormat="false" ht="15.75" hidden="false" customHeight="false" outlineLevel="0" collapsed="false">
      <c r="A176" s="3" t="n">
        <v>175</v>
      </c>
      <c r="B176" s="4" t="n">
        <v>45524</v>
      </c>
      <c r="C176" s="10" t="str">
        <f aca="false">PROPER(TEXT(WEEKDAY(B176),"dddd"))</f>
        <v>Terça-Feira</v>
      </c>
      <c r="D176" s="11" t="n">
        <v>0.388888888888889</v>
      </c>
      <c r="E176" s="3" t="n">
        <v>175</v>
      </c>
      <c r="F176" s="3" t="n">
        <v>175</v>
      </c>
      <c r="G176" s="3" t="n">
        <v>1</v>
      </c>
      <c r="H176" s="3" t="n">
        <v>1</v>
      </c>
      <c r="I176" s="3" t="n">
        <v>1</v>
      </c>
      <c r="J176" s="3" t="n">
        <v>1</v>
      </c>
      <c r="K176" s="6" t="n">
        <v>3.7</v>
      </c>
      <c r="L176" s="7"/>
      <c r="M176" s="7"/>
      <c r="N176" s="7"/>
      <c r="O176" s="7"/>
      <c r="P176" s="7"/>
      <c r="Q176" s="8"/>
      <c r="Z176" s="9"/>
    </row>
    <row r="177" customFormat="false" ht="15.75" hidden="false" customHeight="false" outlineLevel="0" collapsed="false">
      <c r="A177" s="3" t="n">
        <v>176</v>
      </c>
      <c r="B177" s="4" t="n">
        <v>45524</v>
      </c>
      <c r="C177" s="10" t="str">
        <f aca="false">PROPER(TEXT(WEEKDAY(B177),"dddd"))</f>
        <v>Terça-Feira</v>
      </c>
      <c r="D177" s="11" t="n">
        <v>0.399305555555556</v>
      </c>
      <c r="E177" s="3" t="n">
        <v>176</v>
      </c>
      <c r="F177" s="3" t="n">
        <v>176</v>
      </c>
      <c r="G177" s="3" t="n">
        <v>2</v>
      </c>
      <c r="H177" s="3" t="n">
        <v>1</v>
      </c>
      <c r="I177" s="3" t="n">
        <v>1</v>
      </c>
      <c r="J177" s="3" t="n">
        <v>1</v>
      </c>
      <c r="K177" s="6" t="n">
        <v>12</v>
      </c>
      <c r="L177" s="7"/>
      <c r="M177" s="7"/>
      <c r="N177" s="7"/>
      <c r="O177" s="7"/>
      <c r="P177" s="7"/>
      <c r="Q177" s="8"/>
      <c r="Z177" s="9"/>
    </row>
    <row r="178" customFormat="false" ht="15.75" hidden="false" customHeight="false" outlineLevel="0" collapsed="false">
      <c r="A178" s="3" t="n">
        <v>177</v>
      </c>
      <c r="B178" s="4" t="n">
        <v>45524</v>
      </c>
      <c r="C178" s="10" t="str">
        <f aca="false">PROPER(TEXT(WEEKDAY(B178),"dddd"))</f>
        <v>Terça-Feira</v>
      </c>
      <c r="D178" s="11" t="n">
        <v>0.404861111111111</v>
      </c>
      <c r="E178" s="3" t="n">
        <v>177</v>
      </c>
      <c r="F178" s="3" t="n">
        <v>177</v>
      </c>
      <c r="G178" s="3" t="n">
        <v>2</v>
      </c>
      <c r="H178" s="3" t="n">
        <v>1</v>
      </c>
      <c r="I178" s="3" t="n">
        <v>1</v>
      </c>
      <c r="J178" s="3" t="n">
        <v>1</v>
      </c>
      <c r="K178" s="6" t="n">
        <v>17.1</v>
      </c>
      <c r="L178" s="7"/>
      <c r="M178" s="7"/>
      <c r="N178" s="7"/>
      <c r="O178" s="7"/>
      <c r="P178" s="7"/>
      <c r="Q178" s="8"/>
      <c r="Z178" s="9"/>
    </row>
    <row r="179" customFormat="false" ht="15.75" hidden="false" customHeight="false" outlineLevel="0" collapsed="false">
      <c r="A179" s="3" t="n">
        <v>178</v>
      </c>
      <c r="B179" s="4" t="n">
        <v>45524</v>
      </c>
      <c r="C179" s="10" t="str">
        <f aca="false">PROPER(TEXT(WEEKDAY(B179),"dddd"))</f>
        <v>Terça-Feira</v>
      </c>
      <c r="D179" s="11" t="n">
        <v>0.421527777777778</v>
      </c>
      <c r="E179" s="3" t="n">
        <v>178</v>
      </c>
      <c r="F179" s="3" t="n">
        <v>178</v>
      </c>
      <c r="G179" s="3" t="n">
        <v>2</v>
      </c>
      <c r="H179" s="3" t="n">
        <v>1</v>
      </c>
      <c r="I179" s="3" t="n">
        <v>1</v>
      </c>
      <c r="J179" s="3" t="n">
        <v>1</v>
      </c>
      <c r="K179" s="6" t="n">
        <v>7</v>
      </c>
      <c r="L179" s="7"/>
      <c r="M179" s="7"/>
      <c r="N179" s="7"/>
      <c r="O179" s="7"/>
      <c r="P179" s="7"/>
      <c r="Q179" s="8"/>
      <c r="Z179" s="9"/>
    </row>
    <row r="180" customFormat="false" ht="15.75" hidden="false" customHeight="false" outlineLevel="0" collapsed="false">
      <c r="A180" s="3" t="n">
        <v>179</v>
      </c>
      <c r="B180" s="4" t="n">
        <v>45524</v>
      </c>
      <c r="C180" s="10" t="str">
        <f aca="false">PROPER(TEXT(WEEKDAY(B180),"dddd"))</f>
        <v>Terça-Feira</v>
      </c>
      <c r="D180" s="11" t="n">
        <v>0.456944444444444</v>
      </c>
      <c r="E180" s="3" t="n">
        <v>179</v>
      </c>
      <c r="F180" s="3" t="n">
        <v>179</v>
      </c>
      <c r="G180" s="3" t="n">
        <v>1</v>
      </c>
      <c r="H180" s="3" t="n">
        <v>1</v>
      </c>
      <c r="I180" s="3" t="n">
        <v>1</v>
      </c>
      <c r="J180" s="3" t="n">
        <v>1</v>
      </c>
      <c r="K180" s="6" t="n">
        <v>9.5</v>
      </c>
      <c r="L180" s="7"/>
      <c r="M180" s="7"/>
      <c r="N180" s="7"/>
      <c r="O180" s="7"/>
      <c r="P180" s="7"/>
      <c r="Q180" s="8"/>
      <c r="Z180" s="9"/>
    </row>
    <row r="181" customFormat="false" ht="15.75" hidden="false" customHeight="false" outlineLevel="0" collapsed="false">
      <c r="A181" s="3" t="n">
        <v>180</v>
      </c>
      <c r="B181" s="4" t="n">
        <v>45524</v>
      </c>
      <c r="C181" s="10" t="str">
        <f aca="false">PROPER(TEXT(WEEKDAY(B181),"dddd"))</f>
        <v>Terça-Feira</v>
      </c>
      <c r="D181" s="11" t="n">
        <v>0.465972222222222</v>
      </c>
      <c r="E181" s="3" t="n">
        <v>180</v>
      </c>
      <c r="F181" s="3" t="n">
        <v>180</v>
      </c>
      <c r="G181" s="3" t="n">
        <v>2</v>
      </c>
      <c r="H181" s="3" t="n">
        <v>1</v>
      </c>
      <c r="I181" s="3" t="n">
        <v>1</v>
      </c>
      <c r="J181" s="3" t="n">
        <v>1</v>
      </c>
      <c r="K181" s="6" t="n">
        <v>7.3</v>
      </c>
      <c r="L181" s="7"/>
      <c r="M181" s="7"/>
      <c r="N181" s="7"/>
      <c r="O181" s="7"/>
      <c r="P181" s="7"/>
      <c r="Q181" s="8"/>
      <c r="Z181" s="9"/>
    </row>
    <row r="182" customFormat="false" ht="15.75" hidden="false" customHeight="false" outlineLevel="0" collapsed="false">
      <c r="A182" s="3" t="n">
        <v>181</v>
      </c>
      <c r="B182" s="4" t="n">
        <v>45524</v>
      </c>
      <c r="C182" s="10" t="str">
        <f aca="false">PROPER(TEXT(WEEKDAY(B182),"dddd"))</f>
        <v>Terça-Feira</v>
      </c>
      <c r="D182" s="11" t="n">
        <v>0.474305555555556</v>
      </c>
      <c r="E182" s="3" t="n">
        <v>181</v>
      </c>
      <c r="F182" s="3" t="n">
        <v>181</v>
      </c>
      <c r="G182" s="3" t="n">
        <v>1</v>
      </c>
      <c r="H182" s="3" t="n">
        <v>1</v>
      </c>
      <c r="I182" s="3" t="n">
        <v>1</v>
      </c>
      <c r="J182" s="3" t="n">
        <v>1</v>
      </c>
      <c r="K182" s="6" t="n">
        <v>18.4</v>
      </c>
      <c r="L182" s="7"/>
      <c r="M182" s="7"/>
      <c r="N182" s="7"/>
      <c r="O182" s="7"/>
      <c r="P182" s="7"/>
      <c r="Q182" s="8"/>
      <c r="Z182" s="9"/>
    </row>
    <row r="183" customFormat="false" ht="15.75" hidden="false" customHeight="false" outlineLevel="0" collapsed="false">
      <c r="A183" s="3" t="n">
        <v>182</v>
      </c>
      <c r="B183" s="4" t="n">
        <v>45524</v>
      </c>
      <c r="C183" s="10" t="str">
        <f aca="false">PROPER(TEXT(WEEKDAY(B183),"dddd"))</f>
        <v>Terça-Feira</v>
      </c>
      <c r="D183" s="11" t="n">
        <v>0.488194444444444</v>
      </c>
      <c r="E183" s="3" t="n">
        <v>182</v>
      </c>
      <c r="F183" s="3" t="n">
        <v>182</v>
      </c>
      <c r="G183" s="3" t="n">
        <v>2</v>
      </c>
      <c r="H183" s="3" t="n">
        <v>1</v>
      </c>
      <c r="I183" s="3" t="n">
        <v>1</v>
      </c>
      <c r="J183" s="3" t="n">
        <v>1</v>
      </c>
      <c r="K183" s="6" t="n">
        <v>7.8</v>
      </c>
      <c r="L183" s="7"/>
      <c r="M183" s="7"/>
      <c r="N183" s="7"/>
      <c r="O183" s="7"/>
      <c r="P183" s="7"/>
      <c r="Q183" s="8"/>
      <c r="Z183" s="9"/>
    </row>
    <row r="184" customFormat="false" ht="15.75" hidden="false" customHeight="false" outlineLevel="0" collapsed="false">
      <c r="A184" s="3" t="n">
        <v>183</v>
      </c>
      <c r="B184" s="4" t="n">
        <v>45529</v>
      </c>
      <c r="C184" s="10" t="str">
        <f aca="false">PROPER(TEXT(WEEKDAY(B184),"dddd"))</f>
        <v>Domingo</v>
      </c>
      <c r="D184" s="11" t="n">
        <v>0.45</v>
      </c>
      <c r="E184" s="3" t="n">
        <v>183</v>
      </c>
      <c r="F184" s="3" t="n">
        <v>183</v>
      </c>
      <c r="G184" s="3" t="n">
        <v>1</v>
      </c>
      <c r="H184" s="3" t="n">
        <v>1</v>
      </c>
      <c r="I184" s="3" t="n">
        <v>1</v>
      </c>
      <c r="J184" s="3" t="n">
        <v>1</v>
      </c>
      <c r="K184" s="6" t="n">
        <v>15.7</v>
      </c>
      <c r="L184" s="7"/>
      <c r="M184" s="7"/>
      <c r="N184" s="7"/>
      <c r="O184" s="7"/>
      <c r="P184" s="7"/>
      <c r="Q184" s="8"/>
      <c r="Z184" s="9"/>
    </row>
    <row r="185" customFormat="false" ht="15.75" hidden="false" customHeight="false" outlineLevel="0" collapsed="false">
      <c r="A185" s="3" t="n">
        <v>184</v>
      </c>
      <c r="B185" s="4" t="n">
        <v>45529</v>
      </c>
      <c r="C185" s="10" t="str">
        <f aca="false">PROPER(TEXT(WEEKDAY(B185),"dddd"))</f>
        <v>Domingo</v>
      </c>
      <c r="D185" s="11" t="n">
        <v>0.470833333333333</v>
      </c>
      <c r="E185" s="3" t="n">
        <v>184</v>
      </c>
      <c r="F185" s="3" t="n">
        <v>184</v>
      </c>
      <c r="G185" s="3" t="n">
        <v>1</v>
      </c>
      <c r="H185" s="3" t="n">
        <v>1</v>
      </c>
      <c r="I185" s="3" t="n">
        <v>1</v>
      </c>
      <c r="J185" s="3" t="n">
        <v>1</v>
      </c>
      <c r="K185" s="6" t="n">
        <v>15.05</v>
      </c>
      <c r="L185" s="7"/>
      <c r="M185" s="7"/>
      <c r="N185" s="7"/>
      <c r="O185" s="7"/>
      <c r="P185" s="7"/>
      <c r="Q185" s="8"/>
      <c r="Z185" s="9"/>
    </row>
    <row r="186" customFormat="false" ht="15.75" hidden="false" customHeight="false" outlineLevel="0" collapsed="false">
      <c r="A186" s="3" t="n">
        <v>185</v>
      </c>
      <c r="B186" s="4" t="n">
        <v>45529</v>
      </c>
      <c r="C186" s="10" t="str">
        <f aca="false">PROPER(TEXT(WEEKDAY(B186),"dddd"))</f>
        <v>Domingo</v>
      </c>
      <c r="D186" s="11" t="n">
        <v>0.504861111111111</v>
      </c>
      <c r="E186" s="3" t="n">
        <v>185</v>
      </c>
      <c r="F186" s="3" t="n">
        <v>185</v>
      </c>
      <c r="G186" s="3" t="n">
        <v>2</v>
      </c>
      <c r="H186" s="3" t="n">
        <v>1</v>
      </c>
      <c r="I186" s="3" t="n">
        <v>1</v>
      </c>
      <c r="J186" s="3" t="n">
        <v>1</v>
      </c>
      <c r="K186" s="6" t="n">
        <v>10.4</v>
      </c>
      <c r="L186" s="7"/>
      <c r="M186" s="7"/>
      <c r="N186" s="7"/>
      <c r="O186" s="7"/>
      <c r="P186" s="7"/>
      <c r="Q186" s="8"/>
      <c r="Z186" s="9"/>
    </row>
    <row r="187" customFormat="false" ht="15.75" hidden="false" customHeight="false" outlineLevel="0" collapsed="false">
      <c r="A187" s="3" t="n">
        <v>186</v>
      </c>
      <c r="B187" s="4" t="n">
        <v>45529</v>
      </c>
      <c r="C187" s="10" t="str">
        <f aca="false">PROPER(TEXT(WEEKDAY(B187),"dddd"))</f>
        <v>Domingo</v>
      </c>
      <c r="D187" s="11" t="n">
        <v>0.517361111111111</v>
      </c>
      <c r="E187" s="3" t="n">
        <v>186</v>
      </c>
      <c r="F187" s="3" t="n">
        <v>186</v>
      </c>
      <c r="G187" s="3" t="n">
        <v>1</v>
      </c>
      <c r="H187" s="3" t="n">
        <v>1</v>
      </c>
      <c r="I187" s="3" t="n">
        <v>1</v>
      </c>
      <c r="J187" s="3" t="n">
        <v>1</v>
      </c>
      <c r="K187" s="6" t="n">
        <v>2.8</v>
      </c>
      <c r="L187" s="7"/>
      <c r="M187" s="7"/>
      <c r="N187" s="7"/>
      <c r="O187" s="7"/>
      <c r="P187" s="7"/>
      <c r="Q187" s="8"/>
      <c r="Z187" s="9"/>
    </row>
    <row r="188" customFormat="false" ht="15.75" hidden="false" customHeight="false" outlineLevel="0" collapsed="false">
      <c r="A188" s="3" t="n">
        <v>187</v>
      </c>
      <c r="B188" s="4" t="n">
        <v>45529</v>
      </c>
      <c r="C188" s="10" t="str">
        <f aca="false">PROPER(TEXT(WEEKDAY(B188),"dddd"))</f>
        <v>Domingo</v>
      </c>
      <c r="D188" s="11" t="n">
        <v>0.529861111111111</v>
      </c>
      <c r="E188" s="3" t="n">
        <v>187</v>
      </c>
      <c r="F188" s="3" t="n">
        <v>187</v>
      </c>
      <c r="G188" s="3" t="n">
        <v>4</v>
      </c>
      <c r="H188" s="3" t="n">
        <v>1</v>
      </c>
      <c r="I188" s="3" t="n">
        <v>1</v>
      </c>
      <c r="J188" s="3" t="n">
        <v>1</v>
      </c>
      <c r="K188" s="6" t="n">
        <v>2</v>
      </c>
      <c r="L188" s="7"/>
      <c r="M188" s="7"/>
      <c r="N188" s="7"/>
      <c r="O188" s="7"/>
      <c r="P188" s="7"/>
      <c r="Q188" s="8"/>
      <c r="Z188" s="9"/>
    </row>
    <row r="189" customFormat="false" ht="15.75" hidden="false" customHeight="false" outlineLevel="0" collapsed="false">
      <c r="A189" s="3" t="n">
        <v>188</v>
      </c>
      <c r="B189" s="4" t="n">
        <v>45529</v>
      </c>
      <c r="C189" s="10" t="str">
        <f aca="false">PROPER(TEXT(WEEKDAY(B189),"dddd"))</f>
        <v>Domingo</v>
      </c>
      <c r="D189" s="11" t="n">
        <v>0.535416666666667</v>
      </c>
      <c r="E189" s="3" t="n">
        <v>188</v>
      </c>
      <c r="F189" s="3" t="n">
        <v>188</v>
      </c>
      <c r="G189" s="3" t="n">
        <v>2</v>
      </c>
      <c r="H189" s="3" t="n">
        <v>1</v>
      </c>
      <c r="I189" s="3" t="n">
        <v>1</v>
      </c>
      <c r="J189" s="3" t="n">
        <v>1</v>
      </c>
      <c r="K189" s="6" t="n">
        <v>19.7</v>
      </c>
      <c r="L189" s="7"/>
      <c r="M189" s="7"/>
      <c r="N189" s="7"/>
      <c r="O189" s="7"/>
      <c r="P189" s="7"/>
      <c r="Q189" s="8"/>
      <c r="Z189" s="9"/>
    </row>
    <row r="190" customFormat="false" ht="15.75" hidden="false" customHeight="false" outlineLevel="0" collapsed="false">
      <c r="A190" s="3" t="n">
        <v>189</v>
      </c>
      <c r="B190" s="4" t="n">
        <v>45542</v>
      </c>
      <c r="C190" s="10" t="str">
        <f aca="false">PROPER(TEXT(WEEKDAY(B190),"dddd"))</f>
        <v>Sábado</v>
      </c>
      <c r="D190" s="11" t="n">
        <v>0.363194444444444</v>
      </c>
      <c r="E190" s="3" t="n">
        <v>189</v>
      </c>
      <c r="F190" s="3" t="n">
        <v>189</v>
      </c>
      <c r="G190" s="3" t="n">
        <v>2</v>
      </c>
      <c r="H190" s="3" t="n">
        <v>1</v>
      </c>
      <c r="I190" s="3" t="n">
        <v>1</v>
      </c>
      <c r="J190" s="3" t="n">
        <v>1</v>
      </c>
      <c r="K190" s="6" t="n">
        <v>15.1</v>
      </c>
      <c r="L190" s="7"/>
      <c r="M190" s="7"/>
      <c r="N190" s="7"/>
      <c r="O190" s="7"/>
      <c r="P190" s="7"/>
      <c r="Q190" s="8"/>
      <c r="Z190" s="9"/>
    </row>
    <row r="191" customFormat="false" ht="15.75" hidden="false" customHeight="false" outlineLevel="0" collapsed="false">
      <c r="A191" s="3" t="n">
        <v>190</v>
      </c>
      <c r="B191" s="4" t="n">
        <v>45542</v>
      </c>
      <c r="C191" s="10" t="str">
        <f aca="false">PROPER(TEXT(WEEKDAY(B191),"dddd"))</f>
        <v>Sábado</v>
      </c>
      <c r="D191" s="11" t="n">
        <v>0.373611111111111</v>
      </c>
      <c r="E191" s="3" t="n">
        <v>190</v>
      </c>
      <c r="F191" s="3" t="n">
        <v>190</v>
      </c>
      <c r="G191" s="3" t="n">
        <v>1</v>
      </c>
      <c r="H191" s="3" t="n">
        <v>1</v>
      </c>
      <c r="I191" s="3" t="n">
        <v>1</v>
      </c>
      <c r="J191" s="3" t="n">
        <v>1</v>
      </c>
      <c r="K191" s="6" t="n">
        <v>47.1</v>
      </c>
      <c r="L191" s="7"/>
      <c r="M191" s="7"/>
      <c r="N191" s="7"/>
      <c r="O191" s="7"/>
      <c r="P191" s="7"/>
      <c r="Q191" s="8"/>
      <c r="Z191" s="9"/>
    </row>
    <row r="192" customFormat="false" ht="15.75" hidden="false" customHeight="false" outlineLevel="0" collapsed="false">
      <c r="A192" s="3" t="n">
        <v>191</v>
      </c>
      <c r="B192" s="4" t="n">
        <v>45542</v>
      </c>
      <c r="C192" s="10" t="str">
        <f aca="false">PROPER(TEXT(WEEKDAY(B192),"dddd"))</f>
        <v>Sábado</v>
      </c>
      <c r="D192" s="11" t="n">
        <v>0.434027777777778</v>
      </c>
      <c r="E192" s="3" t="n">
        <v>191</v>
      </c>
      <c r="F192" s="3" t="n">
        <v>191</v>
      </c>
      <c r="G192" s="3" t="n">
        <v>2</v>
      </c>
      <c r="H192" s="3" t="n">
        <v>1</v>
      </c>
      <c r="I192" s="3" t="n">
        <v>1</v>
      </c>
      <c r="J192" s="3" t="n">
        <v>1</v>
      </c>
      <c r="K192" s="6" t="n">
        <v>9.2</v>
      </c>
      <c r="L192" s="7"/>
      <c r="M192" s="7"/>
      <c r="N192" s="7"/>
      <c r="O192" s="7"/>
      <c r="P192" s="7"/>
      <c r="Q192" s="8"/>
      <c r="Z192" s="9"/>
    </row>
    <row r="193" customFormat="false" ht="15.75" hidden="false" customHeight="false" outlineLevel="0" collapsed="false">
      <c r="A193" s="3" t="n">
        <v>192</v>
      </c>
      <c r="B193" s="4" t="n">
        <v>45542</v>
      </c>
      <c r="C193" s="10" t="str">
        <f aca="false">PROPER(TEXT(WEEKDAY(B193),"dddd"))</f>
        <v>Sábado</v>
      </c>
      <c r="D193" s="11" t="n">
        <v>0.449305555555556</v>
      </c>
      <c r="E193" s="3" t="n">
        <v>192</v>
      </c>
      <c r="F193" s="3" t="n">
        <v>192</v>
      </c>
      <c r="G193" s="3" t="n">
        <v>1</v>
      </c>
      <c r="H193" s="3" t="n">
        <v>1</v>
      </c>
      <c r="I193" s="3" t="n">
        <v>1</v>
      </c>
      <c r="J193" s="3" t="n">
        <v>1</v>
      </c>
      <c r="K193" s="6" t="n">
        <v>17.7</v>
      </c>
      <c r="L193" s="7"/>
      <c r="M193" s="7"/>
      <c r="N193" s="7"/>
      <c r="O193" s="7"/>
      <c r="P193" s="7"/>
      <c r="Q193" s="8"/>
      <c r="Z193" s="9"/>
    </row>
    <row r="194" customFormat="false" ht="15.75" hidden="false" customHeight="false" outlineLevel="0" collapsed="false">
      <c r="A194" s="3" t="n">
        <v>193</v>
      </c>
      <c r="B194" s="4" t="n">
        <v>45542</v>
      </c>
      <c r="C194" s="10" t="str">
        <f aca="false">PROPER(TEXT(WEEKDAY(B194),"dddd"))</f>
        <v>Sábado</v>
      </c>
      <c r="D194" s="11" t="n">
        <v>0.474305555555556</v>
      </c>
      <c r="E194" s="3" t="n">
        <v>193</v>
      </c>
      <c r="F194" s="3" t="n">
        <v>193</v>
      </c>
      <c r="G194" s="3" t="n">
        <v>1</v>
      </c>
      <c r="H194" s="3" t="n">
        <v>1</v>
      </c>
      <c r="I194" s="3" t="n">
        <v>1</v>
      </c>
      <c r="J194" s="3" t="n">
        <v>1</v>
      </c>
      <c r="K194" s="6" t="n">
        <v>12</v>
      </c>
      <c r="L194" s="7"/>
      <c r="M194" s="7"/>
      <c r="N194" s="7"/>
      <c r="O194" s="7"/>
      <c r="P194" s="7"/>
      <c r="Q194" s="8"/>
      <c r="Z194" s="9"/>
    </row>
    <row r="195" customFormat="false" ht="15.75" hidden="false" customHeight="false" outlineLevel="0" collapsed="false">
      <c r="A195" s="3" t="n">
        <v>194</v>
      </c>
      <c r="B195" s="4" t="n">
        <v>45542</v>
      </c>
      <c r="C195" s="10" t="str">
        <f aca="false">PROPER(TEXT(WEEKDAY(B195),"dddd"))</f>
        <v>Sábado</v>
      </c>
      <c r="D195" s="11" t="n">
        <v>0.492361111111111</v>
      </c>
      <c r="E195" s="3" t="n">
        <v>194</v>
      </c>
      <c r="F195" s="3" t="n">
        <v>194</v>
      </c>
      <c r="G195" s="3" t="n">
        <v>1</v>
      </c>
      <c r="H195" s="3" t="n">
        <v>1</v>
      </c>
      <c r="I195" s="3" t="n">
        <v>1</v>
      </c>
      <c r="J195" s="3" t="n">
        <v>1</v>
      </c>
      <c r="K195" s="6" t="n">
        <v>24.8</v>
      </c>
      <c r="L195" s="7"/>
      <c r="M195" s="7"/>
      <c r="N195" s="7"/>
      <c r="O195" s="7"/>
      <c r="P195" s="7"/>
      <c r="Q195" s="8"/>
      <c r="Z195" s="9"/>
    </row>
    <row r="196" customFormat="false" ht="15.75" hidden="false" customHeight="false" outlineLevel="0" collapsed="false">
      <c r="A196" s="3" t="n">
        <v>195</v>
      </c>
      <c r="B196" s="4" t="n">
        <v>45543</v>
      </c>
      <c r="C196" s="10" t="str">
        <f aca="false">PROPER(TEXT(WEEKDAY(B196),"dddd"))</f>
        <v>Domingo</v>
      </c>
      <c r="D196" s="11" t="n">
        <v>0.363888888888889</v>
      </c>
      <c r="E196" s="3" t="n">
        <v>195</v>
      </c>
      <c r="F196" s="3" t="n">
        <v>195</v>
      </c>
      <c r="G196" s="3" t="n">
        <v>2</v>
      </c>
      <c r="H196" s="3" t="n">
        <v>1</v>
      </c>
      <c r="I196" s="3" t="n">
        <v>1</v>
      </c>
      <c r="J196" s="3" t="n">
        <v>1</v>
      </c>
      <c r="K196" s="6" t="n">
        <v>6.35</v>
      </c>
      <c r="L196" s="7"/>
      <c r="M196" s="7"/>
      <c r="N196" s="7"/>
      <c r="O196" s="7"/>
      <c r="P196" s="7"/>
      <c r="Q196" s="8"/>
      <c r="Z196" s="9"/>
    </row>
    <row r="197" customFormat="false" ht="15.75" hidden="false" customHeight="false" outlineLevel="0" collapsed="false">
      <c r="A197" s="3" t="n">
        <v>196</v>
      </c>
      <c r="B197" s="4" t="n">
        <v>45543</v>
      </c>
      <c r="C197" s="10" t="str">
        <f aca="false">PROPER(TEXT(WEEKDAY(B197),"dddd"))</f>
        <v>Domingo</v>
      </c>
      <c r="D197" s="11" t="n">
        <v>0.368055555555556</v>
      </c>
      <c r="E197" s="3" t="n">
        <v>196</v>
      </c>
      <c r="F197" s="3" t="n">
        <v>196</v>
      </c>
      <c r="G197" s="3" t="n">
        <v>1</v>
      </c>
      <c r="H197" s="3" t="n">
        <v>1</v>
      </c>
      <c r="I197" s="3" t="n">
        <v>1</v>
      </c>
      <c r="J197" s="3" t="n">
        <v>1</v>
      </c>
      <c r="K197" s="6" t="n">
        <v>3.05</v>
      </c>
      <c r="L197" s="7"/>
      <c r="M197" s="7"/>
      <c r="N197" s="7"/>
      <c r="O197" s="7"/>
      <c r="P197" s="7"/>
      <c r="Q197" s="8"/>
      <c r="Z197" s="9"/>
    </row>
    <row r="198" customFormat="false" ht="15.75" hidden="false" customHeight="false" outlineLevel="0" collapsed="false">
      <c r="A198" s="3" t="n">
        <v>197</v>
      </c>
      <c r="B198" s="4" t="n">
        <v>45543</v>
      </c>
      <c r="C198" s="10" t="str">
        <f aca="false">PROPER(TEXT(WEEKDAY(B198),"dddd"))</f>
        <v>Domingo</v>
      </c>
      <c r="D198" s="11" t="n">
        <v>0.378472222222222</v>
      </c>
      <c r="E198" s="3" t="n">
        <v>197</v>
      </c>
      <c r="F198" s="3" t="n">
        <v>197</v>
      </c>
      <c r="G198" s="3" t="n">
        <v>1</v>
      </c>
      <c r="H198" s="3" t="n">
        <v>1</v>
      </c>
      <c r="I198" s="3" t="n">
        <v>1</v>
      </c>
      <c r="J198" s="3" t="n">
        <v>1</v>
      </c>
      <c r="K198" s="6" t="n">
        <v>6.2</v>
      </c>
      <c r="L198" s="7"/>
      <c r="M198" s="7"/>
      <c r="N198" s="7"/>
      <c r="O198" s="7"/>
      <c r="P198" s="7"/>
      <c r="Q198" s="8"/>
      <c r="Z198" s="9"/>
    </row>
    <row r="199" customFormat="false" ht="15.75" hidden="false" customHeight="false" outlineLevel="0" collapsed="false">
      <c r="A199" s="3" t="n">
        <v>198</v>
      </c>
      <c r="B199" s="4" t="n">
        <v>45543</v>
      </c>
      <c r="C199" s="10" t="str">
        <f aca="false">PROPER(TEXT(WEEKDAY(B199),"dddd"))</f>
        <v>Domingo</v>
      </c>
      <c r="D199" s="11" t="n">
        <v>0.388194444444444</v>
      </c>
      <c r="E199" s="3" t="n">
        <v>198</v>
      </c>
      <c r="F199" s="3" t="n">
        <v>198</v>
      </c>
      <c r="G199" s="3" t="n">
        <v>1</v>
      </c>
      <c r="H199" s="3" t="n">
        <v>1</v>
      </c>
      <c r="I199" s="3" t="n">
        <v>1</v>
      </c>
      <c r="J199" s="3" t="n">
        <v>1</v>
      </c>
      <c r="K199" s="6" t="n">
        <v>10</v>
      </c>
      <c r="L199" s="7"/>
      <c r="M199" s="7"/>
      <c r="N199" s="7"/>
      <c r="O199" s="7"/>
      <c r="P199" s="7"/>
      <c r="Q199" s="8"/>
      <c r="Z199" s="9"/>
    </row>
    <row r="200" customFormat="false" ht="15.75" hidden="false" customHeight="false" outlineLevel="0" collapsed="false">
      <c r="A200" s="3" t="n">
        <v>199</v>
      </c>
      <c r="B200" s="4" t="n">
        <v>45543</v>
      </c>
      <c r="C200" s="10" t="str">
        <f aca="false">PROPER(TEXT(WEEKDAY(B200),"dddd"))</f>
        <v>Domingo</v>
      </c>
      <c r="D200" s="11" t="n">
        <v>0.395833333333333</v>
      </c>
      <c r="E200" s="3" t="n">
        <v>199</v>
      </c>
      <c r="F200" s="3" t="n">
        <v>199</v>
      </c>
      <c r="G200" s="3" t="n">
        <v>2</v>
      </c>
      <c r="H200" s="3" t="n">
        <v>1</v>
      </c>
      <c r="I200" s="3" t="n">
        <v>1</v>
      </c>
      <c r="J200" s="3" t="n">
        <v>1</v>
      </c>
      <c r="K200" s="6" t="n">
        <v>24.25</v>
      </c>
      <c r="L200" s="7"/>
      <c r="M200" s="7"/>
      <c r="N200" s="7"/>
      <c r="O200" s="7"/>
      <c r="P200" s="7"/>
      <c r="Q200" s="8"/>
      <c r="Z200" s="9"/>
    </row>
    <row r="201" customFormat="false" ht="15.75" hidden="false" customHeight="false" outlineLevel="0" collapsed="false">
      <c r="A201" s="3" t="n">
        <v>200</v>
      </c>
      <c r="B201" s="4" t="n">
        <v>45543</v>
      </c>
      <c r="C201" s="10" t="str">
        <f aca="false">PROPER(TEXT(WEEKDAY(B201),"dddd"))</f>
        <v>Domingo</v>
      </c>
      <c r="D201" s="11" t="n">
        <v>0.446527777777778</v>
      </c>
      <c r="E201" s="3" t="n">
        <v>200</v>
      </c>
      <c r="F201" s="3" t="n">
        <v>200</v>
      </c>
      <c r="G201" s="3" t="n">
        <v>1</v>
      </c>
      <c r="H201" s="3" t="n">
        <v>1</v>
      </c>
      <c r="I201" s="3" t="n">
        <v>1</v>
      </c>
      <c r="J201" s="3" t="n">
        <v>1</v>
      </c>
      <c r="K201" s="6" t="n">
        <v>31</v>
      </c>
      <c r="L201" s="7"/>
      <c r="M201" s="7"/>
      <c r="N201" s="7"/>
      <c r="O201" s="7"/>
      <c r="P201" s="7"/>
      <c r="Q201" s="8"/>
      <c r="Z201" s="9"/>
    </row>
    <row r="202" customFormat="false" ht="15.75" hidden="false" customHeight="false" outlineLevel="0" collapsed="false">
      <c r="A202" s="3" t="n">
        <v>201</v>
      </c>
      <c r="B202" s="4" t="n">
        <v>45543</v>
      </c>
      <c r="C202" s="10" t="str">
        <f aca="false">PROPER(TEXT(WEEKDAY(B202),"dddd"))</f>
        <v>Domingo</v>
      </c>
      <c r="D202" s="11" t="n">
        <v>0.483333333333333</v>
      </c>
      <c r="E202" s="3" t="n">
        <v>201</v>
      </c>
      <c r="F202" s="3" t="n">
        <v>201</v>
      </c>
      <c r="G202" s="3" t="n">
        <v>1</v>
      </c>
      <c r="H202" s="3" t="n">
        <v>1</v>
      </c>
      <c r="I202" s="3" t="n">
        <v>1</v>
      </c>
      <c r="J202" s="3" t="n">
        <v>1</v>
      </c>
      <c r="K202" s="6" t="n">
        <v>18.8</v>
      </c>
      <c r="L202" s="7"/>
      <c r="M202" s="7"/>
      <c r="N202" s="7"/>
      <c r="O202" s="7"/>
      <c r="P202" s="7"/>
      <c r="Q202" s="8"/>
      <c r="Z202" s="9"/>
    </row>
    <row r="203" customFormat="false" ht="15.75" hidden="false" customHeight="false" outlineLevel="0" collapsed="false">
      <c r="A203" s="3" t="n">
        <v>202</v>
      </c>
      <c r="B203" s="4" t="n">
        <v>45543</v>
      </c>
      <c r="C203" s="10" t="str">
        <f aca="false">PROPER(TEXT(WEEKDAY(B203),"dddd"))</f>
        <v>Domingo</v>
      </c>
      <c r="D203" s="11" t="n">
        <v>0.485416666666667</v>
      </c>
      <c r="E203" s="3" t="n">
        <v>202</v>
      </c>
      <c r="F203" s="3" t="n">
        <v>202</v>
      </c>
      <c r="G203" s="3" t="n">
        <v>1</v>
      </c>
      <c r="H203" s="3" t="n">
        <v>1</v>
      </c>
      <c r="I203" s="3" t="n">
        <v>1</v>
      </c>
      <c r="J203" s="3" t="n">
        <v>1</v>
      </c>
      <c r="K203" s="6" t="n">
        <v>8.9</v>
      </c>
      <c r="L203" s="7"/>
      <c r="M203" s="7"/>
      <c r="N203" s="7"/>
      <c r="O203" s="7"/>
      <c r="P203" s="7"/>
      <c r="Q203" s="8"/>
      <c r="Z203" s="9"/>
    </row>
    <row r="204" customFormat="false" ht="15.75" hidden="false" customHeight="false" outlineLevel="0" collapsed="false">
      <c r="A204" s="3" t="n">
        <v>203</v>
      </c>
      <c r="B204" s="4" t="n">
        <v>45543</v>
      </c>
      <c r="C204" s="10" t="str">
        <f aca="false">PROPER(TEXT(WEEKDAY(B204),"dddd"))</f>
        <v>Domingo</v>
      </c>
      <c r="D204" s="11" t="n">
        <v>0.520833333333333</v>
      </c>
      <c r="E204" s="3" t="n">
        <v>203</v>
      </c>
      <c r="F204" s="3" t="n">
        <v>203</v>
      </c>
      <c r="G204" s="3" t="n">
        <v>2</v>
      </c>
      <c r="H204" s="3" t="n">
        <v>1</v>
      </c>
      <c r="I204" s="3" t="n">
        <v>1</v>
      </c>
      <c r="J204" s="3" t="n">
        <v>1</v>
      </c>
      <c r="K204" s="6" t="n">
        <v>19.1</v>
      </c>
      <c r="L204" s="7"/>
      <c r="M204" s="7"/>
      <c r="N204" s="7"/>
      <c r="O204" s="7"/>
      <c r="P204" s="7"/>
      <c r="Q204" s="8"/>
      <c r="Z204" s="9"/>
    </row>
    <row r="205" customFormat="false" ht="15.75" hidden="false" customHeight="false" outlineLevel="0" collapsed="false">
      <c r="A205" s="3" t="n">
        <v>204</v>
      </c>
      <c r="B205" s="4" t="n">
        <v>45543</v>
      </c>
      <c r="C205" s="10" t="str">
        <f aca="false">PROPER(TEXT(WEEKDAY(B205),"dddd"))</f>
        <v>Domingo</v>
      </c>
      <c r="D205" s="11" t="n">
        <v>0.610416666666667</v>
      </c>
      <c r="E205" s="3" t="n">
        <v>204</v>
      </c>
      <c r="F205" s="3" t="n">
        <v>204</v>
      </c>
      <c r="G205" s="3" t="n">
        <v>1</v>
      </c>
      <c r="H205" s="3" t="n">
        <v>1</v>
      </c>
      <c r="I205" s="3" t="n">
        <v>1</v>
      </c>
      <c r="J205" s="3" t="n">
        <v>1</v>
      </c>
      <c r="K205" s="6" t="n">
        <v>16.35</v>
      </c>
      <c r="L205" s="7"/>
      <c r="M205" s="7"/>
      <c r="N205" s="7"/>
      <c r="O205" s="7"/>
      <c r="P205" s="7"/>
      <c r="Q205" s="8"/>
      <c r="Z205" s="9"/>
    </row>
    <row r="206" customFormat="false" ht="15.75" hidden="false" customHeight="false" outlineLevel="0" collapsed="false">
      <c r="A206" s="3" t="n">
        <v>205</v>
      </c>
      <c r="B206" s="4" t="n">
        <v>45543</v>
      </c>
      <c r="C206" s="10" t="str">
        <f aca="false">PROPER(TEXT(WEEKDAY(B206),"dddd"))</f>
        <v>Domingo</v>
      </c>
      <c r="D206" s="11" t="n">
        <v>0.617361111111111</v>
      </c>
      <c r="E206" s="3" t="n">
        <v>205</v>
      </c>
      <c r="F206" s="3" t="n">
        <v>205</v>
      </c>
      <c r="G206" s="3" t="n">
        <v>1</v>
      </c>
      <c r="H206" s="3" t="n">
        <v>1</v>
      </c>
      <c r="I206" s="3" t="n">
        <v>1</v>
      </c>
      <c r="J206" s="3" t="n">
        <v>1</v>
      </c>
      <c r="K206" s="6" t="n">
        <v>6</v>
      </c>
      <c r="L206" s="7"/>
      <c r="M206" s="7"/>
      <c r="N206" s="7"/>
      <c r="O206" s="7"/>
      <c r="P206" s="7"/>
      <c r="Q206" s="8"/>
      <c r="Z206" s="9"/>
    </row>
    <row r="207" customFormat="false" ht="15.75" hidden="false" customHeight="false" outlineLevel="0" collapsed="false">
      <c r="A207" s="3" t="n">
        <v>206</v>
      </c>
      <c r="B207" s="4" t="n">
        <v>45543</v>
      </c>
      <c r="C207" s="10" t="str">
        <f aca="false">PROPER(TEXT(WEEKDAY(B207),"dddd"))</f>
        <v>Domingo</v>
      </c>
      <c r="D207" s="11" t="n">
        <v>0.670833333333333</v>
      </c>
      <c r="E207" s="3" t="n">
        <v>206</v>
      </c>
      <c r="F207" s="3" t="n">
        <v>206</v>
      </c>
      <c r="G207" s="3" t="n">
        <v>2</v>
      </c>
      <c r="H207" s="3" t="n">
        <v>1</v>
      </c>
      <c r="I207" s="3" t="n">
        <v>1</v>
      </c>
      <c r="J207" s="3" t="n">
        <v>1</v>
      </c>
      <c r="K207" s="6" t="n">
        <v>10.9</v>
      </c>
      <c r="L207" s="7"/>
      <c r="M207" s="7"/>
      <c r="N207" s="7"/>
      <c r="O207" s="7"/>
      <c r="P207" s="7"/>
      <c r="Q207" s="8"/>
      <c r="Z207" s="9"/>
    </row>
    <row r="208" customFormat="false" ht="15.75" hidden="false" customHeight="false" outlineLevel="0" collapsed="false">
      <c r="A208" s="3" t="n">
        <v>207</v>
      </c>
      <c r="B208" s="4" t="n">
        <v>45549</v>
      </c>
      <c r="C208" s="10" t="str">
        <f aca="false">PROPER(TEXT(WEEKDAY(B208),"dddd"))</f>
        <v>Sábado</v>
      </c>
      <c r="D208" s="11" t="n">
        <v>0.550694444444445</v>
      </c>
      <c r="E208" s="3" t="n">
        <v>207</v>
      </c>
      <c r="F208" s="3" t="n">
        <v>207</v>
      </c>
      <c r="G208" s="3" t="n">
        <v>1</v>
      </c>
      <c r="H208" s="3" t="n">
        <v>1</v>
      </c>
      <c r="I208" s="3" t="n">
        <v>1</v>
      </c>
      <c r="J208" s="3" t="n">
        <v>1</v>
      </c>
      <c r="K208" s="6" t="n">
        <v>9.8</v>
      </c>
      <c r="L208" s="7"/>
      <c r="M208" s="7"/>
      <c r="N208" s="7"/>
      <c r="O208" s="7"/>
      <c r="P208" s="7"/>
      <c r="Q208" s="8"/>
      <c r="Z208" s="9"/>
    </row>
    <row r="209" customFormat="false" ht="15.75" hidden="false" customHeight="false" outlineLevel="0" collapsed="false">
      <c r="A209" s="3" t="n">
        <v>208</v>
      </c>
      <c r="B209" s="4" t="n">
        <v>45549</v>
      </c>
      <c r="C209" s="10" t="str">
        <f aca="false">PROPER(TEXT(WEEKDAY(B209),"dddd"))</f>
        <v>Sábado</v>
      </c>
      <c r="D209" s="11" t="n">
        <v>0.553472222222222</v>
      </c>
      <c r="E209" s="3" t="n">
        <v>208</v>
      </c>
      <c r="F209" s="3" t="n">
        <v>208</v>
      </c>
      <c r="G209" s="3" t="n">
        <v>1</v>
      </c>
      <c r="H209" s="3" t="n">
        <v>1</v>
      </c>
      <c r="I209" s="3" t="n">
        <v>1</v>
      </c>
      <c r="J209" s="3" t="n">
        <v>1</v>
      </c>
      <c r="K209" s="6" t="n">
        <v>13.35</v>
      </c>
      <c r="L209" s="7"/>
      <c r="M209" s="7"/>
      <c r="N209" s="7"/>
      <c r="O209" s="7"/>
      <c r="P209" s="7"/>
      <c r="Q209" s="8"/>
      <c r="Z209" s="9"/>
    </row>
    <row r="210" customFormat="false" ht="15.75" hidden="false" customHeight="false" outlineLevel="0" collapsed="false">
      <c r="A210" s="3" t="n">
        <v>209</v>
      </c>
      <c r="B210" s="4" t="n">
        <v>45549</v>
      </c>
      <c r="C210" s="10" t="str">
        <f aca="false">PROPER(TEXT(WEEKDAY(B210),"dddd"))</f>
        <v>Sábado</v>
      </c>
      <c r="D210" s="11" t="n">
        <v>0.568055555555556</v>
      </c>
      <c r="E210" s="3" t="n">
        <v>209</v>
      </c>
      <c r="F210" s="3" t="n">
        <v>209</v>
      </c>
      <c r="G210" s="3" t="n">
        <v>2</v>
      </c>
      <c r="H210" s="3" t="n">
        <v>1</v>
      </c>
      <c r="I210" s="3" t="n">
        <v>1</v>
      </c>
      <c r="J210" s="3" t="n">
        <v>1</v>
      </c>
      <c r="K210" s="6" t="n">
        <v>32.05</v>
      </c>
      <c r="L210" s="7"/>
      <c r="M210" s="7"/>
      <c r="N210" s="7"/>
      <c r="O210" s="7"/>
      <c r="P210" s="7"/>
      <c r="Q210" s="8"/>
      <c r="Z210" s="9"/>
    </row>
    <row r="211" customFormat="false" ht="15.75" hidden="false" customHeight="false" outlineLevel="0" collapsed="false">
      <c r="A211" s="3" t="n">
        <v>210</v>
      </c>
      <c r="B211" s="4" t="n">
        <v>45549</v>
      </c>
      <c r="C211" s="10" t="str">
        <f aca="false">PROPER(TEXT(WEEKDAY(B211),"dddd"))</f>
        <v>Sábado</v>
      </c>
      <c r="D211" s="11" t="n">
        <v>0.592361111111111</v>
      </c>
      <c r="E211" s="3" t="n">
        <v>210</v>
      </c>
      <c r="F211" s="3" t="n">
        <v>210</v>
      </c>
      <c r="G211" s="3" t="n">
        <v>4</v>
      </c>
      <c r="H211" s="3" t="n">
        <v>1</v>
      </c>
      <c r="I211" s="3" t="n">
        <v>1</v>
      </c>
      <c r="J211" s="3" t="n">
        <v>1</v>
      </c>
      <c r="K211" s="6" t="n">
        <v>2</v>
      </c>
      <c r="L211" s="7"/>
      <c r="M211" s="7"/>
      <c r="N211" s="7"/>
      <c r="O211" s="7"/>
      <c r="P211" s="7"/>
      <c r="Q211" s="8"/>
      <c r="Z211" s="9"/>
    </row>
    <row r="212" customFormat="false" ht="15.75" hidden="false" customHeight="false" outlineLevel="0" collapsed="false">
      <c r="A212" s="3" t="n">
        <v>211</v>
      </c>
      <c r="B212" s="4" t="n">
        <v>45549</v>
      </c>
      <c r="C212" s="10" t="str">
        <f aca="false">PROPER(TEXT(WEEKDAY(B212),"dddd"))</f>
        <v>Sábado</v>
      </c>
      <c r="D212" s="11" t="n">
        <v>0.601388888888889</v>
      </c>
      <c r="E212" s="3" t="n">
        <v>211</v>
      </c>
      <c r="F212" s="3" t="n">
        <v>211</v>
      </c>
      <c r="G212" s="3" t="n">
        <v>1</v>
      </c>
      <c r="H212" s="3" t="n">
        <v>1</v>
      </c>
      <c r="I212" s="3" t="n">
        <v>1</v>
      </c>
      <c r="J212" s="3" t="n">
        <v>1</v>
      </c>
      <c r="K212" s="6" t="n">
        <v>14.6</v>
      </c>
      <c r="L212" s="7"/>
      <c r="M212" s="7"/>
      <c r="N212" s="7"/>
      <c r="O212" s="7"/>
      <c r="P212" s="7"/>
      <c r="Q212" s="8"/>
      <c r="Z212" s="9"/>
    </row>
    <row r="213" customFormat="false" ht="15.75" hidden="false" customHeight="false" outlineLevel="0" collapsed="false">
      <c r="A213" s="3" t="n">
        <v>212</v>
      </c>
      <c r="B213" s="4" t="n">
        <v>45549</v>
      </c>
      <c r="C213" s="10" t="str">
        <f aca="false">PROPER(TEXT(WEEKDAY(B213),"dddd"))</f>
        <v>Sábado</v>
      </c>
      <c r="D213" s="11" t="n">
        <v>0.620833333333333</v>
      </c>
      <c r="E213" s="3" t="n">
        <v>212</v>
      </c>
      <c r="F213" s="3" t="n">
        <v>212</v>
      </c>
      <c r="G213" s="3" t="n">
        <v>2</v>
      </c>
      <c r="H213" s="3" t="n">
        <v>1</v>
      </c>
      <c r="I213" s="3" t="n">
        <v>1</v>
      </c>
      <c r="J213" s="3" t="n">
        <v>1</v>
      </c>
      <c r="K213" s="6" t="n">
        <v>3.4</v>
      </c>
      <c r="L213" s="7"/>
      <c r="M213" s="7"/>
      <c r="N213" s="7"/>
      <c r="O213" s="7"/>
      <c r="P213" s="7"/>
      <c r="Q213" s="8"/>
      <c r="Z213" s="9"/>
    </row>
    <row r="214" customFormat="false" ht="15.75" hidden="false" customHeight="false" outlineLevel="0" collapsed="false">
      <c r="A214" s="3" t="n">
        <v>213</v>
      </c>
      <c r="B214" s="4" t="n">
        <v>45549</v>
      </c>
      <c r="C214" s="10" t="str">
        <f aca="false">PROPER(TEXT(WEEKDAY(B214),"dddd"))</f>
        <v>Sábado</v>
      </c>
      <c r="D214" s="11" t="n">
        <v>0.622916666666667</v>
      </c>
      <c r="E214" s="3" t="n">
        <v>213</v>
      </c>
      <c r="F214" s="3" t="n">
        <v>213</v>
      </c>
      <c r="G214" s="3" t="n">
        <v>2</v>
      </c>
      <c r="H214" s="3" t="n">
        <v>1</v>
      </c>
      <c r="I214" s="3" t="n">
        <v>1</v>
      </c>
      <c r="J214" s="3" t="n">
        <v>1</v>
      </c>
      <c r="K214" s="6" t="n">
        <v>7.2</v>
      </c>
      <c r="L214" s="7"/>
      <c r="M214" s="7"/>
      <c r="N214" s="7"/>
      <c r="O214" s="7"/>
      <c r="P214" s="7"/>
      <c r="Q214" s="8"/>
      <c r="Z214" s="9"/>
    </row>
    <row r="215" customFormat="false" ht="15.75" hidden="false" customHeight="false" outlineLevel="0" collapsed="false">
      <c r="A215" s="3" t="n">
        <v>214</v>
      </c>
      <c r="B215" s="4" t="n">
        <v>45549</v>
      </c>
      <c r="C215" s="10" t="str">
        <f aca="false">PROPER(TEXT(WEEKDAY(B215),"dddd"))</f>
        <v>Sábado</v>
      </c>
      <c r="D215" s="11" t="n">
        <v>0.629861111111111</v>
      </c>
      <c r="E215" s="3" t="n">
        <v>214</v>
      </c>
      <c r="F215" s="3" t="n">
        <v>214</v>
      </c>
      <c r="G215" s="3" t="n">
        <v>1</v>
      </c>
      <c r="H215" s="3" t="n">
        <v>1</v>
      </c>
      <c r="I215" s="3" t="n">
        <v>1</v>
      </c>
      <c r="J215" s="3" t="n">
        <v>1</v>
      </c>
      <c r="K215" s="6" t="n">
        <v>12.6</v>
      </c>
      <c r="L215" s="7"/>
      <c r="M215" s="7"/>
      <c r="N215" s="7"/>
      <c r="O215" s="7"/>
      <c r="P215" s="7"/>
      <c r="Q215" s="8"/>
      <c r="Z215" s="9"/>
    </row>
    <row r="216" customFormat="false" ht="15.75" hidden="false" customHeight="false" outlineLevel="0" collapsed="false">
      <c r="A216" s="3" t="n">
        <v>215</v>
      </c>
      <c r="B216" s="4" t="n">
        <v>45549</v>
      </c>
      <c r="C216" s="10" t="str">
        <f aca="false">PROPER(TEXT(WEEKDAY(B216),"dddd"))</f>
        <v>Sábado</v>
      </c>
      <c r="D216" s="11" t="n">
        <v>0.649305555555556</v>
      </c>
      <c r="E216" s="3" t="n">
        <v>215</v>
      </c>
      <c r="F216" s="3" t="n">
        <v>215</v>
      </c>
      <c r="G216" s="3" t="n">
        <v>2</v>
      </c>
      <c r="H216" s="3" t="n">
        <v>1</v>
      </c>
      <c r="I216" s="3" t="n">
        <v>1</v>
      </c>
      <c r="J216" s="3" t="n">
        <v>1</v>
      </c>
      <c r="K216" s="6" t="n">
        <v>20.8</v>
      </c>
      <c r="L216" s="7"/>
      <c r="M216" s="7"/>
      <c r="N216" s="7"/>
      <c r="O216" s="7"/>
      <c r="P216" s="7"/>
      <c r="Q216" s="8"/>
      <c r="Z216" s="9"/>
    </row>
    <row r="217" customFormat="false" ht="15.75" hidden="false" customHeight="false" outlineLevel="0" collapsed="false">
      <c r="A217" s="3" t="n">
        <v>216</v>
      </c>
      <c r="B217" s="4" t="n">
        <v>45549</v>
      </c>
      <c r="C217" s="10" t="str">
        <f aca="false">PROPER(TEXT(WEEKDAY(B217),"dddd"))</f>
        <v>Sábado</v>
      </c>
      <c r="D217" s="11" t="n">
        <v>0.666666666666667</v>
      </c>
      <c r="E217" s="3" t="n">
        <v>216</v>
      </c>
      <c r="F217" s="3" t="n">
        <v>216</v>
      </c>
      <c r="G217" s="3" t="n">
        <v>1</v>
      </c>
      <c r="H217" s="3" t="n">
        <v>1</v>
      </c>
      <c r="I217" s="3" t="n">
        <v>1</v>
      </c>
      <c r="J217" s="3" t="n">
        <v>1</v>
      </c>
      <c r="K217" s="6" t="n">
        <v>5.2</v>
      </c>
      <c r="L217" s="7"/>
      <c r="M217" s="7"/>
      <c r="N217" s="7"/>
      <c r="O217" s="7"/>
      <c r="P217" s="7"/>
      <c r="Q217" s="8"/>
      <c r="Z217" s="9"/>
    </row>
    <row r="218" customFormat="false" ht="15.75" hidden="false" customHeight="false" outlineLevel="0" collapsed="false">
      <c r="A218" s="3" t="n">
        <v>217</v>
      </c>
      <c r="B218" s="4" t="n">
        <v>45549</v>
      </c>
      <c r="C218" s="10" t="str">
        <f aca="false">PROPER(TEXT(WEEKDAY(B218),"dddd"))</f>
        <v>Sábado</v>
      </c>
      <c r="D218" s="11" t="n">
        <v>0.674305555555556</v>
      </c>
      <c r="E218" s="3" t="n">
        <v>217</v>
      </c>
      <c r="F218" s="3" t="n">
        <v>217</v>
      </c>
      <c r="G218" s="3" t="n">
        <v>1</v>
      </c>
      <c r="H218" s="3" t="n">
        <v>1</v>
      </c>
      <c r="I218" s="3" t="n">
        <v>1</v>
      </c>
      <c r="J218" s="3" t="n">
        <v>1</v>
      </c>
      <c r="K218" s="6" t="n">
        <v>4.6</v>
      </c>
      <c r="L218" s="7"/>
      <c r="M218" s="7"/>
      <c r="N218" s="7"/>
      <c r="O218" s="7"/>
      <c r="P218" s="7"/>
      <c r="Q218" s="8"/>
      <c r="Z218" s="9"/>
    </row>
    <row r="219" customFormat="false" ht="15.75" hidden="false" customHeight="false" outlineLevel="0" collapsed="false">
      <c r="A219" s="3" t="n">
        <v>218</v>
      </c>
      <c r="B219" s="4" t="n">
        <v>45549</v>
      </c>
      <c r="C219" s="10" t="str">
        <f aca="false">PROPER(TEXT(WEEKDAY(B219),"dddd"))</f>
        <v>Sábado</v>
      </c>
      <c r="D219" s="11" t="n">
        <v>0.68125</v>
      </c>
      <c r="E219" s="3" t="n">
        <v>218</v>
      </c>
      <c r="F219" s="3" t="n">
        <v>218</v>
      </c>
      <c r="G219" s="3" t="n">
        <v>1</v>
      </c>
      <c r="H219" s="3" t="n">
        <v>1</v>
      </c>
      <c r="I219" s="3" t="n">
        <v>1</v>
      </c>
      <c r="J219" s="3" t="n">
        <v>1</v>
      </c>
      <c r="K219" s="6" t="n">
        <v>2.75</v>
      </c>
      <c r="L219" s="7"/>
      <c r="M219" s="7"/>
      <c r="N219" s="7"/>
      <c r="O219" s="7"/>
      <c r="P219" s="7"/>
      <c r="Q219" s="8"/>
      <c r="Z219" s="9"/>
    </row>
    <row r="220" customFormat="false" ht="15.75" hidden="false" customHeight="false" outlineLevel="0" collapsed="false">
      <c r="A220" s="3" t="n">
        <v>219</v>
      </c>
      <c r="B220" s="4" t="n">
        <v>45549</v>
      </c>
      <c r="C220" s="10" t="str">
        <f aca="false">PROPER(TEXT(WEEKDAY(B220),"dddd"))</f>
        <v>Sábado</v>
      </c>
      <c r="D220" s="11" t="n">
        <v>0.698611111111111</v>
      </c>
      <c r="E220" s="3" t="n">
        <v>219</v>
      </c>
      <c r="F220" s="3" t="n">
        <v>219</v>
      </c>
      <c r="G220" s="3" t="n">
        <v>2</v>
      </c>
      <c r="H220" s="3" t="n">
        <v>1</v>
      </c>
      <c r="I220" s="3" t="n">
        <v>1</v>
      </c>
      <c r="J220" s="3" t="n">
        <v>1</v>
      </c>
      <c r="K220" s="6" t="n">
        <v>11.55</v>
      </c>
      <c r="L220" s="7"/>
      <c r="M220" s="7"/>
      <c r="N220" s="7"/>
      <c r="O220" s="7"/>
      <c r="P220" s="7"/>
      <c r="Q220" s="8"/>
      <c r="Z220" s="9"/>
    </row>
    <row r="221" customFormat="false" ht="15.75" hidden="false" customHeight="false" outlineLevel="0" collapsed="false">
      <c r="A221" s="3" t="n">
        <v>220</v>
      </c>
      <c r="B221" s="4" t="n">
        <v>45549</v>
      </c>
      <c r="C221" s="10" t="str">
        <f aca="false">PROPER(TEXT(WEEKDAY(B221),"dddd"))</f>
        <v>Sábado</v>
      </c>
      <c r="D221" s="11" t="n">
        <v>0.709722222222222</v>
      </c>
      <c r="E221" s="3" t="n">
        <v>220</v>
      </c>
      <c r="F221" s="3" t="n">
        <v>220</v>
      </c>
      <c r="G221" s="3" t="n">
        <v>2</v>
      </c>
      <c r="H221" s="3" t="n">
        <v>1</v>
      </c>
      <c r="I221" s="3" t="n">
        <v>1</v>
      </c>
      <c r="J221" s="3" t="n">
        <v>1</v>
      </c>
      <c r="K221" s="6" t="n">
        <v>19.9</v>
      </c>
      <c r="L221" s="7"/>
      <c r="M221" s="7"/>
      <c r="N221" s="7"/>
      <c r="O221" s="7"/>
      <c r="P221" s="7"/>
      <c r="Q221" s="8"/>
      <c r="Z221" s="9"/>
    </row>
    <row r="222" customFormat="false" ht="15.75" hidden="false" customHeight="false" outlineLevel="0" collapsed="false">
      <c r="A222" s="3" t="n">
        <v>221</v>
      </c>
      <c r="B222" s="4" t="n">
        <v>45549</v>
      </c>
      <c r="C222" s="10" t="str">
        <f aca="false">PROPER(TEXT(WEEKDAY(B222),"dddd"))</f>
        <v>Sábado</v>
      </c>
      <c r="D222" s="11" t="n">
        <v>0.729166666666667</v>
      </c>
      <c r="E222" s="3" t="n">
        <v>221</v>
      </c>
      <c r="F222" s="3" t="n">
        <v>221</v>
      </c>
      <c r="G222" s="3" t="n">
        <v>1</v>
      </c>
      <c r="H222" s="3" t="n">
        <v>1</v>
      </c>
      <c r="I222" s="3" t="n">
        <v>1</v>
      </c>
      <c r="J222" s="3" t="n">
        <v>1</v>
      </c>
      <c r="K222" s="6" t="n">
        <v>14.3</v>
      </c>
      <c r="L222" s="7"/>
      <c r="M222" s="7"/>
      <c r="N222" s="7"/>
      <c r="O222" s="7"/>
      <c r="P222" s="7"/>
      <c r="Q222" s="8"/>
      <c r="Z222" s="9"/>
    </row>
    <row r="223" customFormat="false" ht="15.75" hidden="false" customHeight="false" outlineLevel="0" collapsed="false">
      <c r="A223" s="3" t="n">
        <v>222</v>
      </c>
      <c r="B223" s="4" t="n">
        <v>45549</v>
      </c>
      <c r="C223" s="10" t="str">
        <f aca="false">PROPER(TEXT(WEEKDAY(B223),"dddd"))</f>
        <v>Sábado</v>
      </c>
      <c r="D223" s="11" t="n">
        <v>0.745833333333333</v>
      </c>
      <c r="E223" s="3" t="n">
        <v>222</v>
      </c>
      <c r="F223" s="3" t="n">
        <v>222</v>
      </c>
      <c r="G223" s="3" t="n">
        <v>1</v>
      </c>
      <c r="H223" s="3" t="n">
        <v>1</v>
      </c>
      <c r="I223" s="3" t="n">
        <v>1</v>
      </c>
      <c r="J223" s="3" t="n">
        <v>1</v>
      </c>
      <c r="K223" s="6" t="n">
        <v>17.4</v>
      </c>
      <c r="L223" s="7"/>
      <c r="M223" s="7"/>
      <c r="N223" s="7"/>
      <c r="O223" s="7"/>
      <c r="P223" s="7"/>
      <c r="Q223" s="8"/>
      <c r="Z223" s="9"/>
    </row>
    <row r="224" customFormat="false" ht="15.75" hidden="false" customHeight="false" outlineLevel="0" collapsed="false">
      <c r="A224" s="3" t="n">
        <v>223</v>
      </c>
      <c r="B224" s="4" t="n">
        <v>45555</v>
      </c>
      <c r="C224" s="10" t="str">
        <f aca="false">PROPER(TEXT(WEEKDAY(B224),"dddd"))</f>
        <v>Sexta-Feira</v>
      </c>
      <c r="D224" s="11" t="n">
        <v>0.71875</v>
      </c>
      <c r="E224" s="3" t="n">
        <v>223</v>
      </c>
      <c r="F224" s="3" t="n">
        <v>223</v>
      </c>
      <c r="G224" s="3" t="n">
        <v>2</v>
      </c>
      <c r="H224" s="3" t="n">
        <v>1</v>
      </c>
      <c r="I224" s="3" t="n">
        <v>1</v>
      </c>
      <c r="J224" s="3" t="n">
        <v>1</v>
      </c>
      <c r="K224" s="6" t="n">
        <v>19.5</v>
      </c>
      <c r="L224" s="7"/>
      <c r="M224" s="7"/>
      <c r="N224" s="7"/>
      <c r="O224" s="7"/>
      <c r="P224" s="7"/>
      <c r="Q224" s="8"/>
      <c r="Z224" s="9"/>
    </row>
    <row r="225" customFormat="false" ht="15.75" hidden="false" customHeight="false" outlineLevel="0" collapsed="false">
      <c r="A225" s="3" t="n">
        <v>224</v>
      </c>
      <c r="B225" s="4" t="n">
        <v>45555</v>
      </c>
      <c r="C225" s="10" t="str">
        <f aca="false">PROPER(TEXT(WEEKDAY(B225),"dddd"))</f>
        <v>Sexta-Feira</v>
      </c>
      <c r="D225" s="11" t="n">
        <v>0.742361111111111</v>
      </c>
      <c r="E225" s="3" t="n">
        <v>224</v>
      </c>
      <c r="F225" s="3" t="n">
        <v>224</v>
      </c>
      <c r="G225" s="3" t="n">
        <v>2</v>
      </c>
      <c r="H225" s="3" t="n">
        <v>1</v>
      </c>
      <c r="I225" s="3" t="n">
        <v>1</v>
      </c>
      <c r="J225" s="3" t="n">
        <v>1</v>
      </c>
      <c r="K225" s="6" t="n">
        <v>15</v>
      </c>
      <c r="L225" s="7"/>
      <c r="M225" s="7"/>
      <c r="N225" s="7"/>
      <c r="O225" s="7"/>
      <c r="P225" s="7"/>
      <c r="Q225" s="8"/>
      <c r="Z225" s="9"/>
    </row>
    <row r="226" customFormat="false" ht="15.75" hidden="false" customHeight="false" outlineLevel="0" collapsed="false">
      <c r="A226" s="3" t="n">
        <v>225</v>
      </c>
      <c r="B226" s="4" t="n">
        <v>45555</v>
      </c>
      <c r="C226" s="10" t="str">
        <f aca="false">PROPER(TEXT(WEEKDAY(B226),"dddd"))</f>
        <v>Sexta-Feira</v>
      </c>
      <c r="D226" s="11" t="n">
        <v>0.759027777777778</v>
      </c>
      <c r="E226" s="3" t="n">
        <v>225</v>
      </c>
      <c r="F226" s="3" t="n">
        <v>225</v>
      </c>
      <c r="G226" s="3" t="n">
        <v>2</v>
      </c>
      <c r="H226" s="3" t="n">
        <v>1</v>
      </c>
      <c r="I226" s="3" t="n">
        <v>1</v>
      </c>
      <c r="J226" s="3" t="n">
        <v>1</v>
      </c>
      <c r="K226" s="6" t="n">
        <v>14.35</v>
      </c>
      <c r="L226" s="7"/>
      <c r="M226" s="7"/>
      <c r="N226" s="7"/>
      <c r="O226" s="7"/>
      <c r="P226" s="7"/>
      <c r="Q226" s="8"/>
      <c r="Z226" s="9"/>
    </row>
    <row r="227" customFormat="false" ht="15.75" hidden="false" customHeight="false" outlineLevel="0" collapsed="false">
      <c r="A227" s="3" t="n">
        <v>226</v>
      </c>
      <c r="B227" s="4" t="n">
        <v>45555</v>
      </c>
      <c r="C227" s="10" t="str">
        <f aca="false">PROPER(TEXT(WEEKDAY(B227),"dddd"))</f>
        <v>Sexta-Feira</v>
      </c>
      <c r="D227" s="11" t="n">
        <v>0.772222222222222</v>
      </c>
      <c r="E227" s="3" t="n">
        <v>226</v>
      </c>
      <c r="F227" s="3" t="n">
        <v>226</v>
      </c>
      <c r="G227" s="3" t="n">
        <v>2</v>
      </c>
      <c r="H227" s="3" t="n">
        <v>1</v>
      </c>
      <c r="I227" s="3" t="n">
        <v>1</v>
      </c>
      <c r="J227" s="3" t="n">
        <v>1</v>
      </c>
      <c r="K227" s="6" t="n">
        <v>20.5</v>
      </c>
      <c r="L227" s="7"/>
      <c r="M227" s="7"/>
      <c r="N227" s="7"/>
      <c r="O227" s="7"/>
      <c r="P227" s="7"/>
      <c r="Q227" s="8"/>
      <c r="Z227" s="9"/>
    </row>
    <row r="228" customFormat="false" ht="15.75" hidden="false" customHeight="false" outlineLevel="0" collapsed="false">
      <c r="A228" s="3" t="n">
        <v>227</v>
      </c>
      <c r="B228" s="4" t="n">
        <v>45555</v>
      </c>
      <c r="C228" s="10" t="str">
        <f aca="false">PROPER(TEXT(WEEKDAY(B228),"dddd"))</f>
        <v>Sexta-Feira</v>
      </c>
      <c r="D228" s="11" t="n">
        <v>0.791666666666667</v>
      </c>
      <c r="E228" s="3" t="n">
        <v>227</v>
      </c>
      <c r="F228" s="3" t="n">
        <v>227</v>
      </c>
      <c r="G228" s="3" t="n">
        <v>1</v>
      </c>
      <c r="H228" s="3" t="n">
        <v>1</v>
      </c>
      <c r="I228" s="3" t="n">
        <v>1</v>
      </c>
      <c r="J228" s="3" t="n">
        <v>1</v>
      </c>
      <c r="K228" s="6" t="n">
        <v>26</v>
      </c>
      <c r="L228" s="7"/>
      <c r="M228" s="7"/>
      <c r="N228" s="7"/>
      <c r="O228" s="7"/>
      <c r="P228" s="7"/>
      <c r="Q228" s="8"/>
      <c r="Z228" s="9"/>
    </row>
    <row r="229" customFormat="false" ht="15.75" hidden="false" customHeight="false" outlineLevel="0" collapsed="false">
      <c r="A229" s="3" t="n">
        <v>228</v>
      </c>
      <c r="B229" s="4" t="n">
        <v>45555</v>
      </c>
      <c r="C229" s="10" t="str">
        <f aca="false">PROPER(TEXT(WEEKDAY(B229),"dddd"))</f>
        <v>Sexta-Feira</v>
      </c>
      <c r="D229" s="11" t="n">
        <v>0.809027777777778</v>
      </c>
      <c r="E229" s="3" t="n">
        <v>228</v>
      </c>
      <c r="F229" s="3" t="n">
        <v>228</v>
      </c>
      <c r="G229" s="3" t="n">
        <v>1</v>
      </c>
      <c r="H229" s="3" t="n">
        <v>1</v>
      </c>
      <c r="I229" s="3" t="n">
        <v>1</v>
      </c>
      <c r="J229" s="3" t="n">
        <v>1</v>
      </c>
      <c r="K229" s="6" t="n">
        <v>9.2</v>
      </c>
      <c r="L229" s="7"/>
      <c r="M229" s="7"/>
      <c r="N229" s="7"/>
      <c r="O229" s="7"/>
      <c r="P229" s="7"/>
      <c r="Q229" s="8"/>
      <c r="Z229" s="9"/>
    </row>
    <row r="230" customFormat="false" ht="15.75" hidden="false" customHeight="false" outlineLevel="0" collapsed="false">
      <c r="A230" s="3" t="n">
        <v>229</v>
      </c>
      <c r="B230" s="4" t="n">
        <v>45555</v>
      </c>
      <c r="C230" s="10" t="str">
        <f aca="false">PROPER(TEXT(WEEKDAY(B230),"dddd"))</f>
        <v>Sexta-Feira</v>
      </c>
      <c r="D230" s="11" t="n">
        <v>0.823611111111111</v>
      </c>
      <c r="E230" s="3" t="n">
        <v>229</v>
      </c>
      <c r="F230" s="3" t="n">
        <v>229</v>
      </c>
      <c r="G230" s="3" t="n">
        <v>2</v>
      </c>
      <c r="H230" s="3" t="n">
        <v>1</v>
      </c>
      <c r="I230" s="3" t="n">
        <v>1</v>
      </c>
      <c r="J230" s="3" t="n">
        <v>1</v>
      </c>
      <c r="K230" s="6" t="n">
        <v>10.9</v>
      </c>
      <c r="L230" s="7"/>
      <c r="M230" s="7"/>
      <c r="N230" s="7"/>
      <c r="O230" s="7"/>
      <c r="P230" s="7"/>
      <c r="Q230" s="8"/>
      <c r="Z230" s="9"/>
    </row>
    <row r="231" customFormat="false" ht="15.75" hidden="false" customHeight="false" outlineLevel="0" collapsed="false">
      <c r="A231" s="3" t="n">
        <v>230</v>
      </c>
      <c r="B231" s="4" t="n">
        <v>45555</v>
      </c>
      <c r="C231" s="10" t="str">
        <f aca="false">PROPER(TEXT(WEEKDAY(B231),"dddd"))</f>
        <v>Sexta-Feira</v>
      </c>
      <c r="D231" s="11" t="n">
        <v>0.836111111111111</v>
      </c>
      <c r="E231" s="3" t="n">
        <v>230</v>
      </c>
      <c r="F231" s="3" t="n">
        <v>230</v>
      </c>
      <c r="G231" s="3" t="n">
        <v>2</v>
      </c>
      <c r="H231" s="3" t="n">
        <v>1</v>
      </c>
      <c r="I231" s="3" t="n">
        <v>1</v>
      </c>
      <c r="J231" s="3" t="n">
        <v>1</v>
      </c>
      <c r="K231" s="6" t="n">
        <v>6.2</v>
      </c>
      <c r="L231" s="7"/>
      <c r="M231" s="7"/>
      <c r="N231" s="7"/>
      <c r="O231" s="7"/>
      <c r="P231" s="7"/>
      <c r="Q231" s="8"/>
      <c r="Z231" s="9"/>
    </row>
    <row r="232" customFormat="false" ht="15.75" hidden="false" customHeight="false" outlineLevel="0" collapsed="false">
      <c r="A232" s="3" t="n">
        <v>231</v>
      </c>
      <c r="B232" s="4" t="n">
        <v>45555</v>
      </c>
      <c r="C232" s="10" t="str">
        <f aca="false">PROPER(TEXT(WEEKDAY(B232),"dddd"))</f>
        <v>Sexta-Feira</v>
      </c>
      <c r="D232" s="11" t="n">
        <v>0.840972222222222</v>
      </c>
      <c r="E232" s="3" t="n">
        <v>231</v>
      </c>
      <c r="F232" s="3" t="n">
        <v>231</v>
      </c>
      <c r="G232" s="3" t="n">
        <v>1</v>
      </c>
      <c r="H232" s="3" t="n">
        <v>1</v>
      </c>
      <c r="I232" s="3" t="n">
        <v>1</v>
      </c>
      <c r="J232" s="3" t="n">
        <v>1</v>
      </c>
      <c r="K232" s="6" t="n">
        <v>4.2</v>
      </c>
      <c r="L232" s="7"/>
      <c r="M232" s="7"/>
      <c r="N232" s="7"/>
      <c r="O232" s="7"/>
      <c r="P232" s="7"/>
      <c r="Q232" s="8"/>
      <c r="Z232" s="9"/>
    </row>
    <row r="233" customFormat="false" ht="15.75" hidden="false" customHeight="false" outlineLevel="0" collapsed="false">
      <c r="A233" s="3" t="n">
        <v>232</v>
      </c>
      <c r="B233" s="4" t="n">
        <v>45555</v>
      </c>
      <c r="C233" s="10" t="str">
        <f aca="false">PROPER(TEXT(WEEKDAY(B233),"dddd"))</f>
        <v>Sexta-Feira</v>
      </c>
      <c r="D233" s="11" t="n">
        <v>0.851388888888889</v>
      </c>
      <c r="E233" s="3" t="n">
        <v>232</v>
      </c>
      <c r="F233" s="3" t="n">
        <v>232</v>
      </c>
      <c r="G233" s="3" t="n">
        <v>2</v>
      </c>
      <c r="H233" s="3" t="n">
        <v>1</v>
      </c>
      <c r="I233" s="3" t="n">
        <v>1</v>
      </c>
      <c r="J233" s="3" t="n">
        <v>1</v>
      </c>
      <c r="K233" s="6" t="n">
        <v>23.95</v>
      </c>
      <c r="L233" s="7"/>
      <c r="M233" s="7"/>
      <c r="N233" s="7"/>
      <c r="O233" s="7"/>
      <c r="P233" s="7"/>
      <c r="Q233" s="8"/>
      <c r="Z233" s="9"/>
    </row>
    <row r="234" customFormat="false" ht="15.75" hidden="false" customHeight="false" outlineLevel="0" collapsed="false">
      <c r="A234" s="3" t="n">
        <v>233</v>
      </c>
      <c r="B234" s="4" t="n">
        <v>45555</v>
      </c>
      <c r="C234" s="10" t="str">
        <f aca="false">PROPER(TEXT(WEEKDAY(B234),"dddd"))</f>
        <v>Sexta-Feira</v>
      </c>
      <c r="D234" s="11" t="n">
        <v>0.872916666666667</v>
      </c>
      <c r="E234" s="3" t="n">
        <v>233</v>
      </c>
      <c r="F234" s="3" t="n">
        <v>233</v>
      </c>
      <c r="G234" s="3" t="n">
        <v>2</v>
      </c>
      <c r="H234" s="3" t="n">
        <v>1</v>
      </c>
      <c r="I234" s="3" t="n">
        <v>1</v>
      </c>
      <c r="J234" s="3" t="n">
        <v>1</v>
      </c>
      <c r="K234" s="6" t="n">
        <v>16.7</v>
      </c>
      <c r="L234" s="7"/>
      <c r="M234" s="7"/>
      <c r="N234" s="7"/>
      <c r="O234" s="7"/>
      <c r="P234" s="7"/>
      <c r="Q234" s="8"/>
      <c r="Z234" s="9"/>
    </row>
    <row r="235" customFormat="false" ht="15.75" hidden="false" customHeight="false" outlineLevel="0" collapsed="false">
      <c r="A235" s="3" t="n">
        <v>234</v>
      </c>
      <c r="B235" s="4" t="n">
        <v>45555</v>
      </c>
      <c r="C235" s="10" t="str">
        <f aca="false">PROPER(TEXT(WEEKDAY(B235),"dddd"))</f>
        <v>Sexta-Feira</v>
      </c>
      <c r="D235" s="11" t="n">
        <v>0.891666666666667</v>
      </c>
      <c r="E235" s="3" t="n">
        <v>234</v>
      </c>
      <c r="F235" s="3" t="n">
        <v>234</v>
      </c>
      <c r="G235" s="3" t="n">
        <v>2</v>
      </c>
      <c r="H235" s="3" t="n">
        <v>1</v>
      </c>
      <c r="I235" s="3" t="n">
        <v>1</v>
      </c>
      <c r="J235" s="3" t="n">
        <v>1</v>
      </c>
      <c r="K235" s="6" t="n">
        <v>12.2</v>
      </c>
      <c r="L235" s="7"/>
      <c r="M235" s="7"/>
      <c r="N235" s="7"/>
      <c r="O235" s="7"/>
      <c r="P235" s="7"/>
      <c r="Q235" s="8"/>
      <c r="Z235" s="9"/>
    </row>
    <row r="236" customFormat="false" ht="15.75" hidden="false" customHeight="false" outlineLevel="0" collapsed="false">
      <c r="A236" s="3" t="n">
        <v>235</v>
      </c>
      <c r="B236" s="4" t="n">
        <v>45555</v>
      </c>
      <c r="C236" s="10" t="str">
        <f aca="false">PROPER(TEXT(WEEKDAY(B236),"dddd"))</f>
        <v>Sexta-Feira</v>
      </c>
      <c r="D236" s="11" t="n">
        <v>0.904861111111111</v>
      </c>
      <c r="E236" s="3" t="n">
        <v>235</v>
      </c>
      <c r="F236" s="3" t="n">
        <v>235</v>
      </c>
      <c r="G236" s="3" t="n">
        <v>2</v>
      </c>
      <c r="H236" s="3" t="n">
        <v>1</v>
      </c>
      <c r="I236" s="3" t="n">
        <v>1</v>
      </c>
      <c r="J236" s="3" t="n">
        <v>1</v>
      </c>
      <c r="K236" s="6" t="n">
        <v>21.65</v>
      </c>
      <c r="L236" s="7"/>
      <c r="M236" s="7"/>
      <c r="N236" s="7"/>
      <c r="O236" s="7"/>
      <c r="P236" s="7"/>
      <c r="Q236" s="8"/>
      <c r="Z236" s="9"/>
    </row>
    <row r="237" customFormat="false" ht="15.75" hidden="false" customHeight="false" outlineLevel="0" collapsed="false">
      <c r="A237" s="3" t="n">
        <v>236</v>
      </c>
      <c r="B237" s="4" t="n">
        <v>45555</v>
      </c>
      <c r="C237" s="10" t="str">
        <f aca="false">PROPER(TEXT(WEEKDAY(B237),"dddd"))</f>
        <v>Sexta-Feira</v>
      </c>
      <c r="D237" s="11" t="n">
        <v>0.922916666666667</v>
      </c>
      <c r="E237" s="3" t="n">
        <v>236</v>
      </c>
      <c r="F237" s="3" t="n">
        <v>236</v>
      </c>
      <c r="G237" s="3" t="n">
        <v>1</v>
      </c>
      <c r="H237" s="3" t="n">
        <v>1</v>
      </c>
      <c r="I237" s="3" t="n">
        <v>1</v>
      </c>
      <c r="J237" s="3" t="n">
        <v>1</v>
      </c>
      <c r="K237" s="6" t="n">
        <v>13.4</v>
      </c>
      <c r="L237" s="7"/>
      <c r="M237" s="7"/>
      <c r="N237" s="7"/>
      <c r="O237" s="7"/>
      <c r="P237" s="7"/>
      <c r="Q237" s="8"/>
      <c r="Z237" s="9"/>
    </row>
    <row r="238" customFormat="false" ht="15.75" hidden="false" customHeight="false" outlineLevel="0" collapsed="false">
      <c r="A238" s="3" t="n">
        <v>237</v>
      </c>
      <c r="B238" s="4" t="n">
        <v>45555</v>
      </c>
      <c r="C238" s="10" t="str">
        <f aca="false">PROPER(TEXT(WEEKDAY(B238),"dddd"))</f>
        <v>Sexta-Feira</v>
      </c>
      <c r="D238" s="11" t="n">
        <v>0.982638888888889</v>
      </c>
      <c r="E238" s="3" t="n">
        <v>237</v>
      </c>
      <c r="F238" s="3" t="n">
        <v>237</v>
      </c>
      <c r="G238" s="3" t="n">
        <v>3</v>
      </c>
      <c r="H238" s="3" t="n">
        <v>1</v>
      </c>
      <c r="I238" s="3" t="n">
        <v>1</v>
      </c>
      <c r="J238" s="3" t="n">
        <v>1</v>
      </c>
      <c r="K238" s="6" t="n">
        <v>0</v>
      </c>
      <c r="L238" s="7"/>
      <c r="M238" s="7"/>
      <c r="N238" s="7"/>
      <c r="O238" s="7"/>
      <c r="P238" s="7"/>
      <c r="Q238" s="8"/>
      <c r="Z238" s="9"/>
    </row>
    <row r="239" customFormat="false" ht="15.75" hidden="false" customHeight="false" outlineLevel="0" collapsed="false">
      <c r="A239" s="3" t="n">
        <v>238</v>
      </c>
      <c r="B239" s="4" t="n">
        <v>45556</v>
      </c>
      <c r="C239" s="10" t="str">
        <f aca="false">PROPER(TEXT(WEEKDAY(B239),"dddd"))</f>
        <v>Sábado</v>
      </c>
      <c r="D239" s="11" t="n">
        <v>0.552777777777778</v>
      </c>
      <c r="E239" s="3" t="n">
        <v>238</v>
      </c>
      <c r="F239" s="3" t="n">
        <v>238</v>
      </c>
      <c r="G239" s="3" t="n">
        <v>1</v>
      </c>
      <c r="H239" s="3" t="n">
        <v>1</v>
      </c>
      <c r="I239" s="3" t="n">
        <v>1</v>
      </c>
      <c r="J239" s="3" t="n">
        <v>1</v>
      </c>
      <c r="K239" s="6" t="n">
        <v>21</v>
      </c>
      <c r="L239" s="7"/>
      <c r="M239" s="7"/>
      <c r="N239" s="7"/>
      <c r="O239" s="7"/>
      <c r="P239" s="7"/>
      <c r="Q239" s="8"/>
      <c r="Z239" s="9"/>
    </row>
    <row r="240" customFormat="false" ht="15.75" hidden="false" customHeight="false" outlineLevel="0" collapsed="false">
      <c r="A240" s="3" t="n">
        <v>239</v>
      </c>
      <c r="B240" s="4" t="n">
        <v>45556</v>
      </c>
      <c r="C240" s="10" t="str">
        <f aca="false">PROPER(TEXT(WEEKDAY(B240),"dddd"))</f>
        <v>Sábado</v>
      </c>
      <c r="D240" s="11" t="n">
        <v>0.572916666666667</v>
      </c>
      <c r="E240" s="3" t="n">
        <v>239</v>
      </c>
      <c r="F240" s="3" t="n">
        <v>239</v>
      </c>
      <c r="G240" s="3" t="n">
        <v>2</v>
      </c>
      <c r="H240" s="3" t="n">
        <v>1</v>
      </c>
      <c r="I240" s="3" t="n">
        <v>1</v>
      </c>
      <c r="J240" s="3" t="n">
        <v>1</v>
      </c>
      <c r="K240" s="6" t="n">
        <v>6.4</v>
      </c>
      <c r="L240" s="7"/>
      <c r="M240" s="7"/>
      <c r="N240" s="7"/>
      <c r="O240" s="7"/>
      <c r="P240" s="7"/>
      <c r="Q240" s="8"/>
      <c r="Z240" s="9"/>
    </row>
    <row r="241" customFormat="false" ht="15.75" hidden="false" customHeight="false" outlineLevel="0" collapsed="false">
      <c r="A241" s="3" t="n">
        <v>240</v>
      </c>
      <c r="B241" s="4" t="n">
        <v>45556</v>
      </c>
      <c r="C241" s="10" t="str">
        <f aca="false">PROPER(TEXT(WEEKDAY(B241),"dddd"))</f>
        <v>Sábado</v>
      </c>
      <c r="D241" s="11" t="n">
        <v>0.579861111111111</v>
      </c>
      <c r="E241" s="3" t="n">
        <v>240</v>
      </c>
      <c r="F241" s="3" t="n">
        <v>240</v>
      </c>
      <c r="G241" s="3" t="n">
        <v>2</v>
      </c>
      <c r="H241" s="3" t="n">
        <v>1</v>
      </c>
      <c r="I241" s="3" t="n">
        <v>1</v>
      </c>
      <c r="J241" s="3" t="n">
        <v>1</v>
      </c>
      <c r="K241" s="6" t="n">
        <v>24</v>
      </c>
      <c r="L241" s="7"/>
      <c r="M241" s="7"/>
      <c r="N241" s="7"/>
      <c r="O241" s="7"/>
      <c r="P241" s="7"/>
      <c r="Q241" s="8"/>
      <c r="Z241" s="9"/>
    </row>
    <row r="242" customFormat="false" ht="15.75" hidden="false" customHeight="false" outlineLevel="0" collapsed="false">
      <c r="A242" s="3" t="n">
        <v>241</v>
      </c>
      <c r="B242" s="4" t="n">
        <v>45556</v>
      </c>
      <c r="C242" s="10" t="str">
        <f aca="false">PROPER(TEXT(WEEKDAY(B242),"dddd"))</f>
        <v>Sábado</v>
      </c>
      <c r="D242" s="11" t="n">
        <v>0.784027777777778</v>
      </c>
      <c r="E242" s="3" t="n">
        <v>241</v>
      </c>
      <c r="F242" s="3" t="n">
        <v>241</v>
      </c>
      <c r="G242" s="3" t="n">
        <v>1</v>
      </c>
      <c r="H242" s="3" t="n">
        <v>1</v>
      </c>
      <c r="I242" s="3" t="n">
        <v>1</v>
      </c>
      <c r="J242" s="3" t="n">
        <v>1</v>
      </c>
      <c r="K242" s="6" t="n">
        <v>14.6</v>
      </c>
      <c r="L242" s="7"/>
      <c r="M242" s="7"/>
      <c r="N242" s="7"/>
      <c r="O242" s="7"/>
      <c r="P242" s="7"/>
      <c r="Q242" s="8"/>
      <c r="Z242" s="9"/>
    </row>
    <row r="243" customFormat="false" ht="15.75" hidden="false" customHeight="false" outlineLevel="0" collapsed="false">
      <c r="A243" s="3" t="n">
        <v>242</v>
      </c>
      <c r="B243" s="4" t="n">
        <v>45556</v>
      </c>
      <c r="C243" s="10" t="str">
        <f aca="false">PROPER(TEXT(WEEKDAY(B243),"dddd"))</f>
        <v>Sábado</v>
      </c>
      <c r="D243" s="11" t="n">
        <v>0.798611111111111</v>
      </c>
      <c r="E243" s="3" t="n">
        <v>242</v>
      </c>
      <c r="F243" s="3" t="n">
        <v>242</v>
      </c>
      <c r="G243" s="3" t="n">
        <v>1</v>
      </c>
      <c r="H243" s="3" t="n">
        <v>1</v>
      </c>
      <c r="I243" s="3" t="n">
        <v>1</v>
      </c>
      <c r="J243" s="3" t="n">
        <v>1</v>
      </c>
      <c r="K243" s="6" t="n">
        <v>7.8</v>
      </c>
      <c r="L243" s="7"/>
      <c r="M243" s="7"/>
      <c r="N243" s="7"/>
      <c r="O243" s="7"/>
      <c r="P243" s="7"/>
      <c r="Q243" s="8"/>
      <c r="Z243" s="9"/>
    </row>
    <row r="244" customFormat="false" ht="15.75" hidden="false" customHeight="false" outlineLevel="0" collapsed="false">
      <c r="A244" s="3" t="n">
        <v>243</v>
      </c>
      <c r="B244" s="4" t="n">
        <v>45560</v>
      </c>
      <c r="C244" s="10" t="str">
        <f aca="false">PROPER(TEXT(WEEKDAY(B244),"dddd"))</f>
        <v>Quarta-Feira</v>
      </c>
      <c r="D244" s="11" t="n">
        <v>0.75625</v>
      </c>
      <c r="E244" s="3" t="n">
        <v>243</v>
      </c>
      <c r="F244" s="3" t="n">
        <v>243</v>
      </c>
      <c r="G244" s="3" t="n">
        <v>1</v>
      </c>
      <c r="H244" s="3" t="n">
        <v>1</v>
      </c>
      <c r="I244" s="3" t="n">
        <v>1</v>
      </c>
      <c r="J244" s="3" t="n">
        <v>1</v>
      </c>
      <c r="K244" s="6" t="n">
        <v>14.75</v>
      </c>
      <c r="L244" s="7"/>
      <c r="M244" s="7"/>
      <c r="N244" s="7"/>
      <c r="O244" s="7"/>
      <c r="P244" s="7"/>
      <c r="Q244" s="8"/>
      <c r="Z244" s="9"/>
    </row>
    <row r="245" customFormat="false" ht="15.75" hidden="false" customHeight="false" outlineLevel="0" collapsed="false">
      <c r="A245" s="3" t="n">
        <v>244</v>
      </c>
      <c r="B245" s="4" t="n">
        <v>45560</v>
      </c>
      <c r="C245" s="10" t="str">
        <f aca="false">PROPER(TEXT(WEEKDAY(B245),"dddd"))</f>
        <v>Quarta-Feira</v>
      </c>
      <c r="D245" s="11" t="n">
        <v>0.769444444444445</v>
      </c>
      <c r="E245" s="3" t="n">
        <v>244</v>
      </c>
      <c r="F245" s="3" t="n">
        <v>244</v>
      </c>
      <c r="G245" s="3" t="n">
        <v>2</v>
      </c>
      <c r="H245" s="3" t="n">
        <v>1</v>
      </c>
      <c r="I245" s="3" t="n">
        <v>1</v>
      </c>
      <c r="J245" s="3" t="n">
        <v>1</v>
      </c>
      <c r="K245" s="6" t="n">
        <v>11.1</v>
      </c>
      <c r="L245" s="7"/>
      <c r="M245" s="7"/>
      <c r="N245" s="7"/>
      <c r="O245" s="7"/>
      <c r="P245" s="7"/>
      <c r="Q245" s="8"/>
      <c r="Z245" s="9"/>
    </row>
    <row r="246" customFormat="false" ht="15.75" hidden="false" customHeight="false" outlineLevel="0" collapsed="false">
      <c r="A246" s="3" t="n">
        <v>245</v>
      </c>
      <c r="B246" s="4" t="n">
        <v>45560</v>
      </c>
      <c r="C246" s="10" t="str">
        <f aca="false">PROPER(TEXT(WEEKDAY(B246),"dddd"))</f>
        <v>Quarta-Feira</v>
      </c>
      <c r="D246" s="11" t="n">
        <v>0.785416666666667</v>
      </c>
      <c r="E246" s="3" t="n">
        <v>245</v>
      </c>
      <c r="F246" s="3" t="n">
        <v>245</v>
      </c>
      <c r="G246" s="3" t="n">
        <v>1</v>
      </c>
      <c r="H246" s="3" t="n">
        <v>1</v>
      </c>
      <c r="I246" s="3" t="n">
        <v>1</v>
      </c>
      <c r="J246" s="3" t="n">
        <v>1</v>
      </c>
      <c r="K246" s="6" t="n">
        <v>9.45</v>
      </c>
      <c r="L246" s="7"/>
      <c r="M246" s="7"/>
      <c r="N246" s="7"/>
      <c r="O246" s="7"/>
      <c r="P246" s="7"/>
      <c r="Q246" s="8"/>
      <c r="Z246" s="9"/>
    </row>
    <row r="247" customFormat="false" ht="15.75" hidden="false" customHeight="false" outlineLevel="0" collapsed="false">
      <c r="A247" s="3" t="n">
        <v>246</v>
      </c>
      <c r="B247" s="4" t="n">
        <v>45560</v>
      </c>
      <c r="C247" s="10" t="str">
        <f aca="false">PROPER(TEXT(WEEKDAY(B247),"dddd"))</f>
        <v>Quarta-Feira</v>
      </c>
      <c r="D247" s="11" t="n">
        <v>0.807638888888889</v>
      </c>
      <c r="E247" s="3" t="n">
        <v>246</v>
      </c>
      <c r="F247" s="3" t="n">
        <v>246</v>
      </c>
      <c r="G247" s="3" t="n">
        <v>1</v>
      </c>
      <c r="H247" s="3" t="n">
        <v>1</v>
      </c>
      <c r="I247" s="3" t="n">
        <v>1</v>
      </c>
      <c r="J247" s="3" t="n">
        <v>1</v>
      </c>
      <c r="K247" s="6" t="n">
        <v>7.25</v>
      </c>
      <c r="L247" s="7"/>
      <c r="M247" s="7"/>
      <c r="N247" s="7"/>
      <c r="O247" s="7"/>
      <c r="P247" s="7"/>
      <c r="Q247" s="8"/>
      <c r="Z247" s="9"/>
    </row>
    <row r="248" customFormat="false" ht="15.75" hidden="false" customHeight="false" outlineLevel="0" collapsed="false">
      <c r="A248" s="3" t="n">
        <v>247</v>
      </c>
      <c r="B248" s="4" t="n">
        <v>45560</v>
      </c>
      <c r="C248" s="10" t="str">
        <f aca="false">PROPER(TEXT(WEEKDAY(B248),"dddd"))</f>
        <v>Quarta-Feira</v>
      </c>
      <c r="D248" s="11" t="n">
        <v>0.827083333333333</v>
      </c>
      <c r="E248" s="3" t="n">
        <v>247</v>
      </c>
      <c r="F248" s="3" t="n">
        <v>247</v>
      </c>
      <c r="G248" s="3" t="n">
        <v>1</v>
      </c>
      <c r="H248" s="3" t="n">
        <v>1</v>
      </c>
      <c r="I248" s="3" t="n">
        <v>1</v>
      </c>
      <c r="J248" s="3" t="n">
        <v>1</v>
      </c>
      <c r="K248" s="6" t="n">
        <v>13.8</v>
      </c>
      <c r="L248" s="7"/>
      <c r="M248" s="7"/>
      <c r="N248" s="7"/>
      <c r="O248" s="7"/>
      <c r="P248" s="7"/>
      <c r="Q248" s="8"/>
      <c r="Z248" s="9"/>
    </row>
    <row r="249" customFormat="false" ht="15.75" hidden="false" customHeight="false" outlineLevel="0" collapsed="false">
      <c r="A249" s="3" t="n">
        <v>248</v>
      </c>
      <c r="B249" s="4" t="n">
        <v>45560</v>
      </c>
      <c r="C249" s="10" t="str">
        <f aca="false">PROPER(TEXT(WEEKDAY(B249),"dddd"))</f>
        <v>Quarta-Feira</v>
      </c>
      <c r="D249" s="11" t="n">
        <v>0.840972222222222</v>
      </c>
      <c r="E249" s="3" t="n">
        <v>248</v>
      </c>
      <c r="F249" s="3" t="n">
        <v>248</v>
      </c>
      <c r="G249" s="3" t="n">
        <v>1</v>
      </c>
      <c r="H249" s="3" t="n">
        <v>1</v>
      </c>
      <c r="I249" s="3" t="n">
        <v>1</v>
      </c>
      <c r="J249" s="3" t="n">
        <v>1</v>
      </c>
      <c r="K249" s="6" t="n">
        <v>8</v>
      </c>
      <c r="L249" s="7"/>
      <c r="M249" s="7"/>
      <c r="N249" s="7"/>
      <c r="O249" s="7"/>
      <c r="P249" s="7"/>
      <c r="Q249" s="8"/>
      <c r="Z249" s="9"/>
    </row>
    <row r="250" customFormat="false" ht="15.75" hidden="false" customHeight="false" outlineLevel="0" collapsed="false">
      <c r="A250" s="3" t="n">
        <v>249</v>
      </c>
      <c r="B250" s="4" t="n">
        <v>45563</v>
      </c>
      <c r="C250" s="10" t="str">
        <f aca="false">PROPER(TEXT(WEEKDAY(B250),"dddd"))</f>
        <v>Sábado</v>
      </c>
      <c r="D250" s="11" t="n">
        <v>0.513194444444444</v>
      </c>
      <c r="E250" s="3" t="n">
        <v>249</v>
      </c>
      <c r="F250" s="3" t="n">
        <v>249</v>
      </c>
      <c r="G250" s="3" t="n">
        <v>2</v>
      </c>
      <c r="H250" s="3" t="n">
        <v>1</v>
      </c>
      <c r="I250" s="3" t="n">
        <v>1</v>
      </c>
      <c r="J250" s="3" t="n">
        <v>1</v>
      </c>
      <c r="K250" s="6" t="n">
        <v>6.5</v>
      </c>
      <c r="L250" s="7"/>
      <c r="M250" s="7"/>
      <c r="N250" s="7"/>
      <c r="O250" s="7"/>
      <c r="P250" s="7"/>
      <c r="Q250" s="8"/>
      <c r="Z250" s="9"/>
    </row>
    <row r="251" customFormat="false" ht="15.75" hidden="false" customHeight="false" outlineLevel="0" collapsed="false">
      <c r="A251" s="3" t="n">
        <v>250</v>
      </c>
      <c r="B251" s="4" t="n">
        <v>45563</v>
      </c>
      <c r="C251" s="10" t="str">
        <f aca="false">PROPER(TEXT(WEEKDAY(B251),"dddd"))</f>
        <v>Sábado</v>
      </c>
      <c r="D251" s="11" t="n">
        <v>0.518055555555556</v>
      </c>
      <c r="E251" s="3" t="n">
        <v>250</v>
      </c>
      <c r="F251" s="3" t="n">
        <v>250</v>
      </c>
      <c r="G251" s="3" t="n">
        <v>2</v>
      </c>
      <c r="H251" s="3" t="n">
        <v>1</v>
      </c>
      <c r="I251" s="3" t="n">
        <v>1</v>
      </c>
      <c r="J251" s="3" t="n">
        <v>1</v>
      </c>
      <c r="K251" s="6" t="n">
        <v>9.2</v>
      </c>
      <c r="L251" s="7"/>
      <c r="M251" s="7"/>
      <c r="N251" s="7"/>
      <c r="O251" s="7"/>
      <c r="P251" s="7"/>
      <c r="Q251" s="8"/>
      <c r="Z251" s="9"/>
    </row>
    <row r="252" customFormat="false" ht="15.75" hidden="false" customHeight="false" outlineLevel="0" collapsed="false">
      <c r="A252" s="3" t="n">
        <v>251</v>
      </c>
      <c r="B252" s="4" t="n">
        <v>45563</v>
      </c>
      <c r="C252" s="10" t="str">
        <f aca="false">PROPER(TEXT(WEEKDAY(B252),"dddd"))</f>
        <v>Sábado</v>
      </c>
      <c r="D252" s="11" t="n">
        <v>0.533333333333333</v>
      </c>
      <c r="E252" s="3" t="n">
        <v>251</v>
      </c>
      <c r="F252" s="3" t="n">
        <v>251</v>
      </c>
      <c r="G252" s="3" t="n">
        <v>2</v>
      </c>
      <c r="H252" s="3" t="n">
        <v>1</v>
      </c>
      <c r="I252" s="3" t="n">
        <v>1</v>
      </c>
      <c r="J252" s="3" t="n">
        <v>1</v>
      </c>
      <c r="K252" s="6" t="n">
        <v>10.35</v>
      </c>
      <c r="L252" s="7"/>
      <c r="M252" s="7"/>
      <c r="N252" s="7"/>
      <c r="O252" s="7"/>
      <c r="P252" s="7"/>
      <c r="Q252" s="8"/>
      <c r="Z252" s="9"/>
    </row>
    <row r="253" customFormat="false" ht="15.75" hidden="false" customHeight="false" outlineLevel="0" collapsed="false">
      <c r="A253" s="3" t="n">
        <v>252</v>
      </c>
      <c r="B253" s="4" t="n">
        <v>45563</v>
      </c>
      <c r="C253" s="10" t="str">
        <f aca="false">PROPER(TEXT(WEEKDAY(B253),"dddd"))</f>
        <v>Sábado</v>
      </c>
      <c r="D253" s="11" t="n">
        <v>0.547916666666667</v>
      </c>
      <c r="E253" s="3" t="n">
        <v>252</v>
      </c>
      <c r="F253" s="3" t="n">
        <v>252</v>
      </c>
      <c r="G253" s="3" t="n">
        <v>2</v>
      </c>
      <c r="H253" s="3" t="n">
        <v>1</v>
      </c>
      <c r="I253" s="3" t="n">
        <v>1</v>
      </c>
      <c r="J253" s="3" t="n">
        <v>1</v>
      </c>
      <c r="K253" s="6" t="n">
        <v>45.4</v>
      </c>
      <c r="L253" s="7"/>
      <c r="M253" s="7"/>
      <c r="N253" s="7"/>
      <c r="O253" s="7"/>
      <c r="P253" s="7"/>
      <c r="Q253" s="8"/>
      <c r="Z253" s="9"/>
    </row>
    <row r="254" customFormat="false" ht="15.75" hidden="false" customHeight="false" outlineLevel="0" collapsed="false">
      <c r="A254" s="3" t="n">
        <v>253</v>
      </c>
      <c r="B254" s="4" t="n">
        <v>45563</v>
      </c>
      <c r="C254" s="10" t="str">
        <f aca="false">PROPER(TEXT(WEEKDAY(B254),"dddd"))</f>
        <v>Sábado</v>
      </c>
      <c r="D254" s="11" t="n">
        <v>0.588194444444445</v>
      </c>
      <c r="E254" s="3" t="n">
        <v>253</v>
      </c>
      <c r="F254" s="3" t="n">
        <v>253</v>
      </c>
      <c r="G254" s="3" t="n">
        <v>2</v>
      </c>
      <c r="H254" s="3" t="n">
        <v>1</v>
      </c>
      <c r="I254" s="3" t="n">
        <v>1</v>
      </c>
      <c r="J254" s="3" t="n">
        <v>1</v>
      </c>
      <c r="K254" s="6" t="n">
        <v>13.9</v>
      </c>
      <c r="L254" s="7"/>
      <c r="M254" s="7"/>
      <c r="N254" s="7"/>
      <c r="O254" s="7"/>
      <c r="P254" s="7"/>
      <c r="Q254" s="8"/>
      <c r="Z254" s="9"/>
    </row>
    <row r="255" customFormat="false" ht="15.75" hidden="false" customHeight="false" outlineLevel="0" collapsed="false">
      <c r="A255" s="3" t="n">
        <v>254</v>
      </c>
      <c r="B255" s="4" t="n">
        <v>45563</v>
      </c>
      <c r="C255" s="10" t="str">
        <f aca="false">PROPER(TEXT(WEEKDAY(B255),"dddd"))</f>
        <v>Sábado</v>
      </c>
      <c r="D255" s="11" t="n">
        <v>0.692361111111111</v>
      </c>
      <c r="E255" s="3" t="n">
        <v>254</v>
      </c>
      <c r="F255" s="3" t="n">
        <v>254</v>
      </c>
      <c r="G255" s="3" t="n">
        <v>2</v>
      </c>
      <c r="H255" s="3" t="n">
        <v>1</v>
      </c>
      <c r="I255" s="3" t="n">
        <v>1</v>
      </c>
      <c r="J255" s="3" t="n">
        <v>1</v>
      </c>
      <c r="K255" s="6" t="n">
        <v>19.65</v>
      </c>
      <c r="L255" s="7"/>
      <c r="M255" s="7"/>
      <c r="N255" s="7"/>
      <c r="O255" s="7"/>
      <c r="P255" s="7"/>
      <c r="Q255" s="8"/>
      <c r="Z255" s="9"/>
    </row>
    <row r="256" customFormat="false" ht="15.75" hidden="false" customHeight="false" outlineLevel="0" collapsed="false">
      <c r="A256" s="3" t="n">
        <v>255</v>
      </c>
      <c r="B256" s="4" t="n">
        <v>45564</v>
      </c>
      <c r="C256" s="10" t="str">
        <f aca="false">PROPER(TEXT(WEEKDAY(B256),"dddd"))</f>
        <v>Domingo</v>
      </c>
      <c r="D256" s="11" t="n">
        <v>0.509027777777778</v>
      </c>
      <c r="E256" s="3" t="n">
        <v>255</v>
      </c>
      <c r="F256" s="3" t="n">
        <v>255</v>
      </c>
      <c r="G256" s="3" t="n">
        <v>2</v>
      </c>
      <c r="H256" s="3" t="n">
        <v>1</v>
      </c>
      <c r="I256" s="3" t="n">
        <v>1</v>
      </c>
      <c r="J256" s="3" t="n">
        <v>1</v>
      </c>
      <c r="K256" s="6" t="n">
        <v>21.2</v>
      </c>
      <c r="L256" s="7"/>
      <c r="M256" s="7"/>
      <c r="N256" s="7"/>
      <c r="O256" s="7"/>
      <c r="P256" s="7"/>
      <c r="Q256" s="8"/>
      <c r="Z256" s="9"/>
    </row>
    <row r="257" customFormat="false" ht="15.75" hidden="false" customHeight="false" outlineLevel="0" collapsed="false">
      <c r="A257" s="3" t="n">
        <v>256</v>
      </c>
      <c r="B257" s="4" t="n">
        <v>45564</v>
      </c>
      <c r="C257" s="10" t="str">
        <f aca="false">PROPER(TEXT(WEEKDAY(B257),"dddd"))</f>
        <v>Domingo</v>
      </c>
      <c r="D257" s="11" t="n">
        <v>0.528472222222222</v>
      </c>
      <c r="E257" s="3" t="n">
        <v>256</v>
      </c>
      <c r="F257" s="3" t="n">
        <v>256</v>
      </c>
      <c r="G257" s="3" t="n">
        <v>2</v>
      </c>
      <c r="H257" s="3" t="n">
        <v>1</v>
      </c>
      <c r="I257" s="3" t="n">
        <v>1</v>
      </c>
      <c r="J257" s="3" t="n">
        <v>1</v>
      </c>
      <c r="K257" s="6" t="n">
        <v>3.1</v>
      </c>
      <c r="L257" s="7"/>
      <c r="M257" s="7"/>
      <c r="N257" s="7"/>
      <c r="O257" s="7"/>
      <c r="P257" s="7"/>
      <c r="Q257" s="8"/>
      <c r="Z257" s="9"/>
    </row>
    <row r="258" customFormat="false" ht="15.75" hidden="false" customHeight="false" outlineLevel="0" collapsed="false">
      <c r="A258" s="3" t="n">
        <v>257</v>
      </c>
      <c r="B258" s="4" t="n">
        <v>45564</v>
      </c>
      <c r="C258" s="10" t="str">
        <f aca="false">PROPER(TEXT(WEEKDAY(B258),"dddd"))</f>
        <v>Domingo</v>
      </c>
      <c r="D258" s="11" t="n">
        <v>0.533333333333333</v>
      </c>
      <c r="E258" s="3" t="n">
        <v>257</v>
      </c>
      <c r="F258" s="3" t="n">
        <v>257</v>
      </c>
      <c r="G258" s="3" t="n">
        <v>2</v>
      </c>
      <c r="H258" s="3" t="n">
        <v>1</v>
      </c>
      <c r="I258" s="3" t="n">
        <v>1</v>
      </c>
      <c r="J258" s="3" t="n">
        <v>1</v>
      </c>
      <c r="K258" s="6" t="n">
        <v>24.45</v>
      </c>
      <c r="L258" s="7"/>
      <c r="M258" s="7"/>
      <c r="N258" s="7"/>
      <c r="O258" s="7"/>
      <c r="P258" s="7"/>
      <c r="Q258" s="8"/>
      <c r="Z258" s="9"/>
    </row>
    <row r="259" customFormat="false" ht="15.75" hidden="false" customHeight="false" outlineLevel="0" collapsed="false">
      <c r="A259" s="3" t="n">
        <v>258</v>
      </c>
      <c r="B259" s="4" t="n">
        <v>45564</v>
      </c>
      <c r="C259" s="10" t="str">
        <f aca="false">PROPER(TEXT(WEEKDAY(B259),"dddd"))</f>
        <v>Domingo</v>
      </c>
      <c r="D259" s="11" t="n">
        <v>0.55625</v>
      </c>
      <c r="E259" s="3" t="n">
        <v>258</v>
      </c>
      <c r="F259" s="3" t="n">
        <v>258</v>
      </c>
      <c r="G259" s="3" t="n">
        <v>2</v>
      </c>
      <c r="H259" s="3" t="n">
        <v>1</v>
      </c>
      <c r="I259" s="3" t="n">
        <v>1</v>
      </c>
      <c r="J259" s="3" t="n">
        <v>1</v>
      </c>
      <c r="K259" s="6" t="n">
        <v>3.75</v>
      </c>
      <c r="L259" s="7"/>
      <c r="M259" s="7"/>
      <c r="N259" s="7"/>
      <c r="O259" s="7"/>
      <c r="P259" s="7"/>
      <c r="Q259" s="8"/>
      <c r="Z259" s="9"/>
    </row>
    <row r="260" customFormat="false" ht="15.75" hidden="false" customHeight="false" outlineLevel="0" collapsed="false">
      <c r="A260" s="3" t="n">
        <v>259</v>
      </c>
      <c r="B260" s="4" t="n">
        <v>45564</v>
      </c>
      <c r="C260" s="10" t="str">
        <f aca="false">PROPER(TEXT(WEEKDAY(B260),"dddd"))</f>
        <v>Domingo</v>
      </c>
      <c r="D260" s="11" t="n">
        <v>0.559722222222222</v>
      </c>
      <c r="E260" s="3" t="n">
        <v>259</v>
      </c>
      <c r="F260" s="3" t="n">
        <v>259</v>
      </c>
      <c r="G260" s="3" t="n">
        <v>1</v>
      </c>
      <c r="H260" s="3" t="n">
        <v>1</v>
      </c>
      <c r="I260" s="3" t="n">
        <v>1</v>
      </c>
      <c r="J260" s="3" t="n">
        <v>1</v>
      </c>
      <c r="K260" s="6" t="n">
        <v>13</v>
      </c>
      <c r="L260" s="7"/>
      <c r="M260" s="7"/>
      <c r="N260" s="7"/>
      <c r="O260" s="7"/>
      <c r="P260" s="7"/>
      <c r="Q260" s="8"/>
      <c r="Z260" s="9"/>
    </row>
    <row r="261" customFormat="false" ht="15.75" hidden="false" customHeight="false" outlineLevel="0" collapsed="false">
      <c r="A261" s="3" t="n">
        <v>260</v>
      </c>
      <c r="B261" s="4" t="n">
        <v>45564</v>
      </c>
      <c r="C261" s="10" t="str">
        <f aca="false">PROPER(TEXT(WEEKDAY(B261),"dddd"))</f>
        <v>Domingo</v>
      </c>
      <c r="D261" s="11" t="n">
        <v>0.577777777777778</v>
      </c>
      <c r="E261" s="3" t="n">
        <v>260</v>
      </c>
      <c r="F261" s="3" t="n">
        <v>260</v>
      </c>
      <c r="G261" s="3" t="n">
        <v>2</v>
      </c>
      <c r="H261" s="3" t="n">
        <v>1</v>
      </c>
      <c r="I261" s="3" t="n">
        <v>1</v>
      </c>
      <c r="J261" s="3" t="n">
        <v>1</v>
      </c>
      <c r="K261" s="6" t="n">
        <v>14.7</v>
      </c>
      <c r="L261" s="7"/>
      <c r="M261" s="7"/>
      <c r="N261" s="7"/>
      <c r="O261" s="7"/>
      <c r="P261" s="7"/>
      <c r="Q261" s="8"/>
      <c r="Z261" s="9"/>
    </row>
    <row r="262" customFormat="false" ht="15.75" hidden="false" customHeight="false" outlineLevel="0" collapsed="false">
      <c r="A262" s="3" t="n">
        <v>261</v>
      </c>
      <c r="B262" s="4" t="n">
        <v>45564</v>
      </c>
      <c r="C262" s="10" t="str">
        <f aca="false">PROPER(TEXT(WEEKDAY(B262),"dddd"))</f>
        <v>Domingo</v>
      </c>
      <c r="D262" s="11" t="n">
        <v>0.593055555555556</v>
      </c>
      <c r="E262" s="3" t="n">
        <v>261</v>
      </c>
      <c r="F262" s="3" t="n">
        <v>261</v>
      </c>
      <c r="G262" s="3" t="n">
        <v>1</v>
      </c>
      <c r="H262" s="3" t="n">
        <v>1</v>
      </c>
      <c r="I262" s="3" t="n">
        <v>1</v>
      </c>
      <c r="J262" s="3" t="n">
        <v>1</v>
      </c>
      <c r="K262" s="6" t="n">
        <v>10.7</v>
      </c>
      <c r="L262" s="7"/>
      <c r="M262" s="7"/>
      <c r="N262" s="7"/>
      <c r="O262" s="7"/>
      <c r="P262" s="7"/>
      <c r="Q262" s="8"/>
      <c r="Z262" s="9"/>
    </row>
    <row r="263" customFormat="false" ht="15.75" hidden="false" customHeight="false" outlineLevel="0" collapsed="false">
      <c r="A263" s="3" t="n">
        <v>262</v>
      </c>
      <c r="B263" s="4" t="n">
        <v>45564</v>
      </c>
      <c r="C263" s="10" t="str">
        <f aca="false">PROPER(TEXT(WEEKDAY(B263),"dddd"))</f>
        <v>Domingo</v>
      </c>
      <c r="D263" s="11" t="n">
        <v>0.599305555555556</v>
      </c>
      <c r="E263" s="3" t="n">
        <v>262</v>
      </c>
      <c r="F263" s="3" t="n">
        <v>262</v>
      </c>
      <c r="G263" s="3" t="n">
        <v>1</v>
      </c>
      <c r="H263" s="3" t="n">
        <v>1</v>
      </c>
      <c r="I263" s="3" t="n">
        <v>1</v>
      </c>
      <c r="J263" s="3" t="n">
        <v>1</v>
      </c>
      <c r="K263" s="6" t="n">
        <v>9.25</v>
      </c>
      <c r="L263" s="7"/>
      <c r="M263" s="7"/>
      <c r="N263" s="7"/>
      <c r="O263" s="7"/>
      <c r="P263" s="7"/>
      <c r="Q263" s="8"/>
      <c r="Z263" s="9"/>
    </row>
    <row r="264" customFormat="false" ht="15.75" hidden="false" customHeight="false" outlineLevel="0" collapsed="false">
      <c r="A264" s="3" t="n">
        <v>263</v>
      </c>
      <c r="B264" s="4" t="n">
        <v>45564</v>
      </c>
      <c r="C264" s="10" t="str">
        <f aca="false">PROPER(TEXT(WEEKDAY(B264),"dddd"))</f>
        <v>Domingo</v>
      </c>
      <c r="D264" s="11" t="n">
        <v>0.616666666666667</v>
      </c>
      <c r="E264" s="3" t="n">
        <v>263</v>
      </c>
      <c r="F264" s="3" t="n">
        <v>263</v>
      </c>
      <c r="G264" s="3" t="n">
        <v>2</v>
      </c>
      <c r="H264" s="3" t="n">
        <v>1</v>
      </c>
      <c r="I264" s="3" t="n">
        <v>1</v>
      </c>
      <c r="J264" s="3" t="n">
        <v>1</v>
      </c>
      <c r="K264" s="6" t="n">
        <v>12.9</v>
      </c>
      <c r="L264" s="7"/>
      <c r="M264" s="7"/>
      <c r="N264" s="7"/>
      <c r="O264" s="7"/>
      <c r="P264" s="7"/>
      <c r="Q264" s="8"/>
      <c r="Z264" s="9"/>
    </row>
    <row r="265" customFormat="false" ht="15.75" hidden="false" customHeight="false" outlineLevel="0" collapsed="false">
      <c r="A265" s="3" t="n">
        <v>264</v>
      </c>
      <c r="B265" s="4" t="n">
        <v>45564</v>
      </c>
      <c r="C265" s="10" t="str">
        <f aca="false">PROPER(TEXT(WEEKDAY(B265),"dddd"))</f>
        <v>Domingo</v>
      </c>
      <c r="D265" s="11" t="n">
        <v>0.634722222222222</v>
      </c>
      <c r="E265" s="3" t="n">
        <v>264</v>
      </c>
      <c r="F265" s="3" t="n">
        <v>264</v>
      </c>
      <c r="G265" s="3" t="n">
        <v>1</v>
      </c>
      <c r="H265" s="3" t="n">
        <v>1</v>
      </c>
      <c r="I265" s="3" t="n">
        <v>1</v>
      </c>
      <c r="J265" s="3" t="n">
        <v>1</v>
      </c>
      <c r="K265" s="6" t="n">
        <v>23.25</v>
      </c>
      <c r="L265" s="7"/>
      <c r="M265" s="7"/>
      <c r="N265" s="7"/>
      <c r="O265" s="7"/>
      <c r="P265" s="7"/>
      <c r="Q265" s="8"/>
      <c r="Z265" s="9"/>
    </row>
    <row r="266" customFormat="false" ht="15.75" hidden="false" customHeight="false" outlineLevel="0" collapsed="false">
      <c r="A266" s="3" t="n">
        <v>265</v>
      </c>
      <c r="B266" s="4" t="n">
        <v>45564</v>
      </c>
      <c r="C266" s="10" t="str">
        <f aca="false">PROPER(TEXT(WEEKDAY(B266),"dddd"))</f>
        <v>Domingo</v>
      </c>
      <c r="D266" s="11" t="n">
        <v>0.655555555555556</v>
      </c>
      <c r="E266" s="3" t="n">
        <v>265</v>
      </c>
      <c r="F266" s="3" t="n">
        <v>265</v>
      </c>
      <c r="G266" s="3" t="n">
        <v>2</v>
      </c>
      <c r="H266" s="3" t="n">
        <v>1</v>
      </c>
      <c r="I266" s="3" t="n">
        <v>1</v>
      </c>
      <c r="J266" s="3" t="n">
        <v>1</v>
      </c>
      <c r="K266" s="6" t="n">
        <v>8.15</v>
      </c>
      <c r="L266" s="7"/>
      <c r="M266" s="7"/>
      <c r="N266" s="7"/>
      <c r="O266" s="7"/>
      <c r="P266" s="7"/>
      <c r="Q266" s="8"/>
      <c r="Z266" s="9"/>
    </row>
    <row r="267" customFormat="false" ht="15.75" hidden="false" customHeight="false" outlineLevel="0" collapsed="false">
      <c r="A267" s="3" t="n">
        <v>266</v>
      </c>
      <c r="B267" s="4" t="n">
        <v>45564</v>
      </c>
      <c r="C267" s="10" t="str">
        <f aca="false">PROPER(TEXT(WEEKDAY(B267),"dddd"))</f>
        <v>Domingo</v>
      </c>
      <c r="D267" s="11" t="n">
        <v>0.667361111111111</v>
      </c>
      <c r="E267" s="3" t="n">
        <v>266</v>
      </c>
      <c r="F267" s="3" t="n">
        <v>266</v>
      </c>
      <c r="G267" s="3" t="n">
        <v>1</v>
      </c>
      <c r="H267" s="3" t="n">
        <v>1</v>
      </c>
      <c r="I267" s="3" t="n">
        <v>1</v>
      </c>
      <c r="J267" s="3" t="n">
        <v>1</v>
      </c>
      <c r="K267" s="6" t="n">
        <v>6.65</v>
      </c>
      <c r="L267" s="7"/>
      <c r="M267" s="7"/>
      <c r="N267" s="7"/>
      <c r="O267" s="7"/>
      <c r="P267" s="7"/>
      <c r="Q267" s="8"/>
      <c r="Z267" s="9"/>
    </row>
    <row r="268" customFormat="false" ht="15.75" hidden="false" customHeight="false" outlineLevel="0" collapsed="false">
      <c r="A268" s="3" t="n">
        <v>267</v>
      </c>
      <c r="B268" s="4" t="n">
        <v>45564</v>
      </c>
      <c r="C268" s="10" t="str">
        <f aca="false">PROPER(TEXT(WEEKDAY(B268),"dddd"))</f>
        <v>Domingo</v>
      </c>
      <c r="D268" s="11" t="n">
        <v>0.686111111111111</v>
      </c>
      <c r="E268" s="3" t="n">
        <v>267</v>
      </c>
      <c r="F268" s="3" t="n">
        <v>267</v>
      </c>
      <c r="G268" s="3" t="n">
        <v>2</v>
      </c>
      <c r="H268" s="3" t="n">
        <v>1</v>
      </c>
      <c r="I268" s="3" t="n">
        <v>1</v>
      </c>
      <c r="J268" s="3" t="n">
        <v>1</v>
      </c>
      <c r="K268" s="6" t="n">
        <v>17.65</v>
      </c>
      <c r="L268" s="7"/>
      <c r="M268" s="7"/>
      <c r="N268" s="7"/>
      <c r="O268" s="7"/>
      <c r="P268" s="7"/>
      <c r="Q268" s="8"/>
      <c r="Z268" s="9"/>
    </row>
    <row r="269" customFormat="false" ht="15.75" hidden="false" customHeight="false" outlineLevel="0" collapsed="false">
      <c r="A269" s="3" t="n">
        <v>268</v>
      </c>
      <c r="B269" s="4" t="n">
        <v>45564</v>
      </c>
      <c r="C269" s="10" t="str">
        <f aca="false">PROPER(TEXT(WEEKDAY(B269),"dddd"))</f>
        <v>Domingo</v>
      </c>
      <c r="D269" s="11" t="n">
        <v>0.706944444444445</v>
      </c>
      <c r="E269" s="3" t="n">
        <v>268</v>
      </c>
      <c r="F269" s="3" t="n">
        <v>268</v>
      </c>
      <c r="G269" s="3" t="n">
        <v>1</v>
      </c>
      <c r="H269" s="3" t="n">
        <v>1</v>
      </c>
      <c r="I269" s="3" t="n">
        <v>1</v>
      </c>
      <c r="J269" s="3" t="n">
        <v>1</v>
      </c>
      <c r="K269" s="6" t="n">
        <v>11.4</v>
      </c>
      <c r="L269" s="7"/>
      <c r="M269" s="7"/>
      <c r="N269" s="7"/>
      <c r="O269" s="7"/>
      <c r="P269" s="7"/>
      <c r="Q269" s="8"/>
      <c r="Z269" s="9"/>
    </row>
    <row r="270" customFormat="false" ht="15.75" hidden="false" customHeight="false" outlineLevel="0" collapsed="false">
      <c r="A270" s="3" t="n">
        <v>269</v>
      </c>
      <c r="B270" s="4" t="n">
        <v>45565</v>
      </c>
      <c r="C270" s="10" t="str">
        <f aca="false">PROPER(TEXT(WEEKDAY(B270),"dddd"))</f>
        <v>Segunda-Feira</v>
      </c>
      <c r="D270" s="11" t="n">
        <v>0.725694444444444</v>
      </c>
      <c r="E270" s="3" t="n">
        <v>269</v>
      </c>
      <c r="F270" s="3" t="n">
        <v>269</v>
      </c>
      <c r="G270" s="3" t="n">
        <v>1</v>
      </c>
      <c r="H270" s="3" t="n">
        <v>1</v>
      </c>
      <c r="I270" s="3" t="n">
        <v>1</v>
      </c>
      <c r="J270" s="3" t="n">
        <v>1</v>
      </c>
      <c r="K270" s="6" t="n">
        <v>17.4</v>
      </c>
      <c r="L270" s="7"/>
      <c r="M270" s="7"/>
      <c r="N270" s="7"/>
      <c r="O270" s="7"/>
      <c r="P270" s="7"/>
      <c r="Q270" s="8"/>
      <c r="Z270" s="9"/>
    </row>
    <row r="271" customFormat="false" ht="15.75" hidden="false" customHeight="false" outlineLevel="0" collapsed="false">
      <c r="A271" s="3" t="n">
        <v>270</v>
      </c>
      <c r="B271" s="4" t="n">
        <v>45565</v>
      </c>
      <c r="C271" s="10" t="str">
        <f aca="false">PROPER(TEXT(WEEKDAY(B271),"dddd"))</f>
        <v>Segunda-Feira</v>
      </c>
      <c r="D271" s="11" t="n">
        <v>0.739583333333333</v>
      </c>
      <c r="E271" s="3" t="n">
        <v>270</v>
      </c>
      <c r="F271" s="3" t="n">
        <v>270</v>
      </c>
      <c r="G271" s="3" t="n">
        <v>1</v>
      </c>
      <c r="H271" s="3" t="n">
        <v>1</v>
      </c>
      <c r="I271" s="3" t="n">
        <v>1</v>
      </c>
      <c r="J271" s="3" t="n">
        <v>1</v>
      </c>
      <c r="K271" s="6" t="n">
        <v>10</v>
      </c>
      <c r="L271" s="7"/>
      <c r="M271" s="7"/>
      <c r="N271" s="7"/>
      <c r="O271" s="7"/>
      <c r="P271" s="7"/>
      <c r="Q271" s="8"/>
      <c r="Z271" s="9"/>
    </row>
    <row r="272" customFormat="false" ht="15.75" hidden="false" customHeight="false" outlineLevel="0" collapsed="false">
      <c r="A272" s="3" t="n">
        <v>271</v>
      </c>
      <c r="B272" s="4" t="n">
        <v>45565</v>
      </c>
      <c r="C272" s="10" t="str">
        <f aca="false">PROPER(TEXT(WEEKDAY(B272),"dddd"))</f>
        <v>Segunda-Feira</v>
      </c>
      <c r="D272" s="11" t="n">
        <v>0.748611111111111</v>
      </c>
      <c r="E272" s="3" t="n">
        <v>271</v>
      </c>
      <c r="F272" s="3" t="n">
        <v>271</v>
      </c>
      <c r="G272" s="3" t="n">
        <v>2</v>
      </c>
      <c r="H272" s="3" t="n">
        <v>1</v>
      </c>
      <c r="I272" s="3" t="n">
        <v>1</v>
      </c>
      <c r="J272" s="3" t="n">
        <v>1</v>
      </c>
      <c r="K272" s="6" t="n">
        <v>17.45</v>
      </c>
      <c r="L272" s="7"/>
      <c r="M272" s="7"/>
      <c r="N272" s="7"/>
      <c r="O272" s="7"/>
      <c r="P272" s="7"/>
      <c r="Q272" s="8"/>
      <c r="Z272" s="9"/>
    </row>
    <row r="273" customFormat="false" ht="15.75" hidden="false" customHeight="false" outlineLevel="0" collapsed="false">
      <c r="A273" s="3" t="n">
        <v>272</v>
      </c>
      <c r="B273" s="4" t="n">
        <v>45565</v>
      </c>
      <c r="C273" s="10" t="str">
        <f aca="false">PROPER(TEXT(WEEKDAY(B273),"dddd"))</f>
        <v>Segunda-Feira</v>
      </c>
      <c r="D273" s="11" t="n">
        <v>0.763194444444444</v>
      </c>
      <c r="E273" s="3" t="n">
        <v>272</v>
      </c>
      <c r="F273" s="3" t="n">
        <v>272</v>
      </c>
      <c r="G273" s="3" t="n">
        <v>1</v>
      </c>
      <c r="H273" s="3" t="n">
        <v>1</v>
      </c>
      <c r="I273" s="3" t="n">
        <v>1</v>
      </c>
      <c r="J273" s="3" t="n">
        <v>1</v>
      </c>
      <c r="K273" s="6" t="n">
        <v>44.8</v>
      </c>
      <c r="L273" s="7"/>
      <c r="M273" s="7"/>
      <c r="N273" s="7"/>
      <c r="O273" s="7"/>
      <c r="P273" s="7"/>
      <c r="Q273" s="8"/>
      <c r="Z273" s="9"/>
    </row>
    <row r="274" customFormat="false" ht="15.75" hidden="false" customHeight="false" outlineLevel="0" collapsed="false">
      <c r="A274" s="3" t="n">
        <v>273</v>
      </c>
      <c r="B274" s="4" t="n">
        <v>45565</v>
      </c>
      <c r="C274" s="10" t="str">
        <f aca="false">PROPER(TEXT(WEEKDAY(B274),"dddd"))</f>
        <v>Segunda-Feira</v>
      </c>
      <c r="D274" s="11" t="n">
        <v>0.791666666666667</v>
      </c>
      <c r="E274" s="3" t="n">
        <v>273</v>
      </c>
      <c r="F274" s="3" t="n">
        <v>273</v>
      </c>
      <c r="G274" s="3" t="n">
        <v>2</v>
      </c>
      <c r="H274" s="3" t="n">
        <v>1</v>
      </c>
      <c r="I274" s="3" t="n">
        <v>1</v>
      </c>
      <c r="J274" s="3" t="n">
        <v>1</v>
      </c>
      <c r="K274" s="6" t="n">
        <v>9.95</v>
      </c>
      <c r="L274" s="7"/>
      <c r="M274" s="7"/>
      <c r="N274" s="7"/>
      <c r="O274" s="7"/>
      <c r="P274" s="7"/>
      <c r="Q274" s="8"/>
      <c r="Z274" s="9"/>
    </row>
    <row r="275" customFormat="false" ht="15.75" hidden="false" customHeight="false" outlineLevel="0" collapsed="false">
      <c r="A275" s="3" t="n">
        <v>274</v>
      </c>
      <c r="B275" s="4" t="n">
        <v>45565</v>
      </c>
      <c r="C275" s="10" t="str">
        <f aca="false">PROPER(TEXT(WEEKDAY(B275),"dddd"))</f>
        <v>Segunda-Feira</v>
      </c>
      <c r="D275" s="11" t="n">
        <v>0.804861111111111</v>
      </c>
      <c r="E275" s="3" t="n">
        <v>274</v>
      </c>
      <c r="F275" s="3" t="n">
        <v>274</v>
      </c>
      <c r="G275" s="3" t="n">
        <v>1</v>
      </c>
      <c r="H275" s="3" t="n">
        <v>1</v>
      </c>
      <c r="I275" s="3" t="n">
        <v>1</v>
      </c>
      <c r="J275" s="3" t="n">
        <v>1</v>
      </c>
      <c r="K275" s="6" t="n">
        <v>8.8</v>
      </c>
      <c r="L275" s="7"/>
      <c r="M275" s="7"/>
      <c r="N275" s="7"/>
      <c r="O275" s="7"/>
      <c r="P275" s="7"/>
      <c r="Q275" s="8"/>
      <c r="Z275" s="9"/>
    </row>
    <row r="276" customFormat="false" ht="15.75" hidden="false" customHeight="false" outlineLevel="0" collapsed="false">
      <c r="A276" s="3" t="n">
        <v>275</v>
      </c>
      <c r="B276" s="4" t="n">
        <v>45565</v>
      </c>
      <c r="C276" s="10" t="str">
        <f aca="false">PROPER(TEXT(WEEKDAY(B276),"dddd"))</f>
        <v>Segunda-Feira</v>
      </c>
      <c r="D276" s="11" t="n">
        <v>0.807638888888889</v>
      </c>
      <c r="E276" s="3" t="n">
        <v>275</v>
      </c>
      <c r="F276" s="3" t="n">
        <v>275</v>
      </c>
      <c r="G276" s="3" t="n">
        <v>2</v>
      </c>
      <c r="H276" s="3" t="n">
        <v>1</v>
      </c>
      <c r="I276" s="3" t="n">
        <v>1</v>
      </c>
      <c r="J276" s="3" t="n">
        <v>1</v>
      </c>
      <c r="K276" s="6" t="n">
        <v>8</v>
      </c>
      <c r="L276" s="7"/>
      <c r="M276" s="7"/>
      <c r="N276" s="7"/>
      <c r="O276" s="7"/>
      <c r="P276" s="7"/>
      <c r="Q276" s="8"/>
      <c r="Z276" s="9"/>
    </row>
    <row r="277" customFormat="false" ht="15.75" hidden="false" customHeight="false" outlineLevel="0" collapsed="false">
      <c r="A277" s="3" t="n">
        <v>276</v>
      </c>
      <c r="B277" s="4" t="n">
        <v>45570</v>
      </c>
      <c r="C277" s="10" t="str">
        <f aca="false">PROPER(TEXT(WEEKDAY(B277),"dddd"))</f>
        <v>Sábado</v>
      </c>
      <c r="D277" s="11" t="n">
        <v>0.561805555555556</v>
      </c>
      <c r="E277" s="3" t="n">
        <v>276</v>
      </c>
      <c r="F277" s="3" t="n">
        <v>276</v>
      </c>
      <c r="G277" s="3" t="n">
        <v>2</v>
      </c>
      <c r="H277" s="3" t="n">
        <v>1</v>
      </c>
      <c r="I277" s="3" t="n">
        <v>1</v>
      </c>
      <c r="J277" s="3" t="n">
        <v>1</v>
      </c>
      <c r="K277" s="6" t="n">
        <v>9.1</v>
      </c>
      <c r="L277" s="7"/>
      <c r="M277" s="7"/>
      <c r="N277" s="7"/>
      <c r="O277" s="7"/>
      <c r="P277" s="7"/>
      <c r="Q277" s="8"/>
      <c r="Z277" s="9"/>
    </row>
    <row r="278" customFormat="false" ht="15.75" hidden="false" customHeight="false" outlineLevel="0" collapsed="false">
      <c r="A278" s="3" t="n">
        <v>277</v>
      </c>
      <c r="B278" s="4" t="n">
        <v>45570</v>
      </c>
      <c r="C278" s="10" t="str">
        <f aca="false">PROPER(TEXT(WEEKDAY(B278),"dddd"))</f>
        <v>Sábado</v>
      </c>
      <c r="D278" s="11" t="n">
        <v>0.566666666666667</v>
      </c>
      <c r="E278" s="3" t="n">
        <v>277</v>
      </c>
      <c r="F278" s="3" t="n">
        <v>277</v>
      </c>
      <c r="G278" s="3" t="n">
        <v>1</v>
      </c>
      <c r="H278" s="3" t="n">
        <v>1</v>
      </c>
      <c r="I278" s="3" t="n">
        <v>1</v>
      </c>
      <c r="J278" s="3" t="n">
        <v>1</v>
      </c>
      <c r="K278" s="6" t="n">
        <v>6.1</v>
      </c>
      <c r="L278" s="7"/>
      <c r="M278" s="7"/>
      <c r="N278" s="7"/>
      <c r="O278" s="7"/>
      <c r="P278" s="7"/>
      <c r="Q278" s="8"/>
      <c r="Z278" s="9"/>
    </row>
    <row r="279" customFormat="false" ht="15.75" hidden="false" customHeight="false" outlineLevel="0" collapsed="false">
      <c r="A279" s="3" t="n">
        <v>278</v>
      </c>
      <c r="B279" s="4" t="n">
        <v>45570</v>
      </c>
      <c r="C279" s="10" t="str">
        <f aca="false">PROPER(TEXT(WEEKDAY(B279),"dddd"))</f>
        <v>Sábado</v>
      </c>
      <c r="D279" s="11" t="n">
        <v>0.576388888888889</v>
      </c>
      <c r="E279" s="3" t="n">
        <v>278</v>
      </c>
      <c r="F279" s="3" t="n">
        <v>278</v>
      </c>
      <c r="G279" s="3" t="n">
        <v>1</v>
      </c>
      <c r="H279" s="3" t="n">
        <v>1</v>
      </c>
      <c r="I279" s="3" t="n">
        <v>1</v>
      </c>
      <c r="J279" s="3" t="n">
        <v>1</v>
      </c>
      <c r="K279" s="6" t="n">
        <v>17.45</v>
      </c>
      <c r="L279" s="7"/>
      <c r="M279" s="7"/>
      <c r="N279" s="7"/>
      <c r="O279" s="7"/>
      <c r="P279" s="7"/>
      <c r="Q279" s="8"/>
      <c r="Z279" s="9"/>
    </row>
    <row r="280" customFormat="false" ht="15.75" hidden="false" customHeight="false" outlineLevel="0" collapsed="false">
      <c r="A280" s="3" t="n">
        <v>279</v>
      </c>
      <c r="B280" s="4" t="n">
        <v>45570</v>
      </c>
      <c r="C280" s="10" t="str">
        <f aca="false">PROPER(TEXT(WEEKDAY(B280),"dddd"))</f>
        <v>Sábado</v>
      </c>
      <c r="D280" s="11" t="n">
        <v>0.631944444444444</v>
      </c>
      <c r="E280" s="3" t="n">
        <v>279</v>
      </c>
      <c r="F280" s="3" t="n">
        <v>279</v>
      </c>
      <c r="G280" s="3" t="n">
        <v>1</v>
      </c>
      <c r="H280" s="3" t="n">
        <v>1</v>
      </c>
      <c r="I280" s="3" t="n">
        <v>1</v>
      </c>
      <c r="J280" s="3" t="n">
        <v>1</v>
      </c>
      <c r="K280" s="6" t="n">
        <v>11.1</v>
      </c>
      <c r="L280" s="7"/>
      <c r="M280" s="7"/>
      <c r="N280" s="7"/>
      <c r="O280" s="7"/>
      <c r="P280" s="7"/>
      <c r="Q280" s="8"/>
      <c r="Z280" s="9"/>
    </row>
    <row r="281" customFormat="false" ht="15.75" hidden="false" customHeight="false" outlineLevel="0" collapsed="false">
      <c r="A281" s="3" t="n">
        <v>280</v>
      </c>
      <c r="B281" s="4" t="n">
        <v>45570</v>
      </c>
      <c r="C281" s="10" t="str">
        <f aca="false">PROPER(TEXT(WEEKDAY(B281),"dddd"))</f>
        <v>Sábado</v>
      </c>
      <c r="D281" s="11" t="n">
        <v>0.644444444444445</v>
      </c>
      <c r="E281" s="3" t="n">
        <v>280</v>
      </c>
      <c r="F281" s="3" t="n">
        <v>280</v>
      </c>
      <c r="G281" s="3" t="n">
        <v>1</v>
      </c>
      <c r="H281" s="3" t="n">
        <v>1</v>
      </c>
      <c r="I281" s="3" t="n">
        <v>1</v>
      </c>
      <c r="J281" s="3" t="n">
        <v>1</v>
      </c>
      <c r="K281" s="6" t="n">
        <v>5.3</v>
      </c>
      <c r="L281" s="7"/>
      <c r="M281" s="7"/>
      <c r="N281" s="7"/>
      <c r="O281" s="7"/>
      <c r="P281" s="7"/>
      <c r="Q281" s="8"/>
      <c r="Z281" s="9"/>
    </row>
    <row r="282" customFormat="false" ht="15.75" hidden="false" customHeight="false" outlineLevel="0" collapsed="false">
      <c r="A282" s="3" t="n">
        <v>281</v>
      </c>
      <c r="B282" s="4" t="n">
        <v>45570</v>
      </c>
      <c r="C282" s="10" t="str">
        <f aca="false">PROPER(TEXT(WEEKDAY(B282),"dddd"))</f>
        <v>Sábado</v>
      </c>
      <c r="D282" s="11" t="n">
        <v>0.652083333333333</v>
      </c>
      <c r="E282" s="3" t="n">
        <v>281</v>
      </c>
      <c r="F282" s="3" t="n">
        <v>281</v>
      </c>
      <c r="G282" s="3" t="n">
        <v>1</v>
      </c>
      <c r="H282" s="3" t="n">
        <v>1</v>
      </c>
      <c r="I282" s="3" t="n">
        <v>1</v>
      </c>
      <c r="J282" s="3" t="n">
        <v>1</v>
      </c>
      <c r="K282" s="6" t="n">
        <v>18.25</v>
      </c>
      <c r="L282" s="7"/>
      <c r="M282" s="7"/>
      <c r="N282" s="7"/>
      <c r="O282" s="7"/>
      <c r="P282" s="7"/>
      <c r="Q282" s="8"/>
      <c r="Z282" s="9"/>
    </row>
    <row r="283" customFormat="false" ht="15.75" hidden="false" customHeight="false" outlineLevel="0" collapsed="false">
      <c r="A283" s="3" t="n">
        <v>282</v>
      </c>
      <c r="B283" s="4" t="n">
        <v>45570</v>
      </c>
      <c r="C283" s="10" t="str">
        <f aca="false">PROPER(TEXT(WEEKDAY(B283),"dddd"))</f>
        <v>Sábado</v>
      </c>
      <c r="D283" s="11" t="n">
        <v>0.677777777777778</v>
      </c>
      <c r="E283" s="3" t="n">
        <v>282</v>
      </c>
      <c r="F283" s="3" t="n">
        <v>282</v>
      </c>
      <c r="G283" s="3" t="n">
        <v>2</v>
      </c>
      <c r="H283" s="3" t="n">
        <v>1</v>
      </c>
      <c r="I283" s="3" t="n">
        <v>1</v>
      </c>
      <c r="J283" s="3" t="n">
        <v>1</v>
      </c>
      <c r="K283" s="6" t="n">
        <v>5.25</v>
      </c>
      <c r="L283" s="7"/>
      <c r="M283" s="7"/>
      <c r="N283" s="7"/>
      <c r="O283" s="7"/>
      <c r="P283" s="7"/>
      <c r="Q283" s="8"/>
      <c r="Z283" s="9"/>
    </row>
    <row r="284" customFormat="false" ht="15.75" hidden="false" customHeight="false" outlineLevel="0" collapsed="false">
      <c r="A284" s="3" t="n">
        <v>283</v>
      </c>
      <c r="B284" s="4" t="n">
        <v>45570</v>
      </c>
      <c r="C284" s="10" t="str">
        <f aca="false">PROPER(TEXT(WEEKDAY(B284),"dddd"))</f>
        <v>Sábado</v>
      </c>
      <c r="D284" s="11" t="n">
        <v>0.678472222222222</v>
      </c>
      <c r="E284" s="3" t="n">
        <v>283</v>
      </c>
      <c r="F284" s="3" t="n">
        <v>283</v>
      </c>
      <c r="G284" s="3" t="n">
        <v>1</v>
      </c>
      <c r="H284" s="3" t="n">
        <v>1</v>
      </c>
      <c r="I284" s="3" t="n">
        <v>1</v>
      </c>
      <c r="J284" s="3" t="n">
        <v>1</v>
      </c>
      <c r="K284" s="6" t="n">
        <v>9.6</v>
      </c>
      <c r="L284" s="7"/>
      <c r="M284" s="7"/>
      <c r="N284" s="7"/>
      <c r="O284" s="7"/>
      <c r="P284" s="7"/>
      <c r="Q284" s="8"/>
      <c r="Z284" s="9"/>
    </row>
    <row r="285" customFormat="false" ht="15.75" hidden="false" customHeight="false" outlineLevel="0" collapsed="false">
      <c r="A285" s="3" t="n">
        <v>284</v>
      </c>
      <c r="B285" s="4" t="n">
        <v>45570</v>
      </c>
      <c r="C285" s="10" t="str">
        <f aca="false">PROPER(TEXT(WEEKDAY(B285),"dddd"))</f>
        <v>Sábado</v>
      </c>
      <c r="D285" s="11" t="n">
        <v>0.681944444444445</v>
      </c>
      <c r="E285" s="3" t="n">
        <v>284</v>
      </c>
      <c r="F285" s="3" t="n">
        <v>284</v>
      </c>
      <c r="G285" s="3" t="n">
        <v>4</v>
      </c>
      <c r="H285" s="3" t="n">
        <v>1</v>
      </c>
      <c r="I285" s="3" t="n">
        <v>1</v>
      </c>
      <c r="J285" s="3" t="n">
        <v>1</v>
      </c>
      <c r="K285" s="6" t="n">
        <v>2</v>
      </c>
      <c r="L285" s="7"/>
      <c r="M285" s="7"/>
      <c r="N285" s="7"/>
      <c r="O285" s="7"/>
      <c r="P285" s="7"/>
      <c r="Q285" s="8"/>
      <c r="Z285" s="9"/>
    </row>
    <row r="286" customFormat="false" ht="15.75" hidden="false" customHeight="false" outlineLevel="0" collapsed="false">
      <c r="A286" s="3" t="n">
        <v>285</v>
      </c>
      <c r="B286" s="4" t="n">
        <v>45570</v>
      </c>
      <c r="C286" s="10" t="str">
        <f aca="false">PROPER(TEXT(WEEKDAY(B286),"dddd"))</f>
        <v>Sábado</v>
      </c>
      <c r="D286" s="11" t="n">
        <v>0.695833333333333</v>
      </c>
      <c r="E286" s="3" t="n">
        <v>285</v>
      </c>
      <c r="F286" s="3" t="n">
        <v>285</v>
      </c>
      <c r="G286" s="3" t="n">
        <v>2</v>
      </c>
      <c r="H286" s="3" t="n">
        <v>1</v>
      </c>
      <c r="I286" s="3" t="n">
        <v>1</v>
      </c>
      <c r="J286" s="3" t="n">
        <v>1</v>
      </c>
      <c r="K286" s="6" t="n">
        <v>37.4</v>
      </c>
      <c r="L286" s="7"/>
      <c r="M286" s="7"/>
      <c r="N286" s="7"/>
      <c r="O286" s="7"/>
      <c r="P286" s="7"/>
      <c r="Q286" s="8"/>
      <c r="Z286" s="9"/>
    </row>
    <row r="287" customFormat="false" ht="15.75" hidden="false" customHeight="false" outlineLevel="0" collapsed="false">
      <c r="A287" s="3" t="n">
        <v>286</v>
      </c>
      <c r="B287" s="4" t="n">
        <v>45570</v>
      </c>
      <c r="C287" s="10" t="str">
        <f aca="false">PROPER(TEXT(WEEKDAY(B287),"dddd"))</f>
        <v>Sábado</v>
      </c>
      <c r="D287" s="11" t="n">
        <v>0.721527777777778</v>
      </c>
      <c r="E287" s="3" t="n">
        <v>286</v>
      </c>
      <c r="F287" s="3" t="n">
        <v>286</v>
      </c>
      <c r="G287" s="3" t="n">
        <v>2</v>
      </c>
      <c r="H287" s="3" t="n">
        <v>1</v>
      </c>
      <c r="I287" s="3" t="n">
        <v>1</v>
      </c>
      <c r="J287" s="3" t="n">
        <v>1</v>
      </c>
      <c r="K287" s="6" t="n">
        <v>18.55</v>
      </c>
      <c r="L287" s="7"/>
      <c r="M287" s="7"/>
      <c r="N287" s="7"/>
      <c r="O287" s="7"/>
      <c r="P287" s="7"/>
      <c r="Q287" s="8"/>
      <c r="Z287" s="9"/>
    </row>
    <row r="288" customFormat="false" ht="15.75" hidden="false" customHeight="false" outlineLevel="0" collapsed="false">
      <c r="A288" s="3" t="n">
        <v>287</v>
      </c>
      <c r="B288" s="4" t="n">
        <v>45570</v>
      </c>
      <c r="C288" s="10" t="str">
        <f aca="false">PROPER(TEXT(WEEKDAY(B288),"dddd"))</f>
        <v>Sábado</v>
      </c>
      <c r="D288" s="11" t="n">
        <v>0.754861111111111</v>
      </c>
      <c r="E288" s="3" t="n">
        <v>287</v>
      </c>
      <c r="F288" s="3" t="n">
        <v>287</v>
      </c>
      <c r="G288" s="3" t="n">
        <v>1</v>
      </c>
      <c r="H288" s="3" t="n">
        <v>1</v>
      </c>
      <c r="I288" s="3" t="n">
        <v>1</v>
      </c>
      <c r="J288" s="3" t="n">
        <v>1</v>
      </c>
      <c r="K288" s="6" t="n">
        <v>28.7</v>
      </c>
      <c r="L288" s="7"/>
      <c r="M288" s="7"/>
      <c r="N288" s="7"/>
      <c r="O288" s="7"/>
      <c r="P288" s="7"/>
      <c r="Q288" s="8"/>
      <c r="Z288" s="9"/>
    </row>
    <row r="289" customFormat="false" ht="15.75" hidden="false" customHeight="false" outlineLevel="0" collapsed="false">
      <c r="A289" s="3" t="n">
        <v>288</v>
      </c>
      <c r="B289" s="4" t="n">
        <v>45570</v>
      </c>
      <c r="C289" s="10" t="str">
        <f aca="false">PROPER(TEXT(WEEKDAY(B289),"dddd"))</f>
        <v>Sábado</v>
      </c>
      <c r="D289" s="11" t="n">
        <v>0.779861111111111</v>
      </c>
      <c r="E289" s="3" t="n">
        <v>288</v>
      </c>
      <c r="F289" s="3" t="n">
        <v>288</v>
      </c>
      <c r="G289" s="3" t="n">
        <v>4</v>
      </c>
      <c r="H289" s="3" t="n">
        <v>1</v>
      </c>
      <c r="I289" s="3" t="n">
        <v>1</v>
      </c>
      <c r="J289" s="3" t="n">
        <v>1</v>
      </c>
      <c r="K289" s="6" t="n">
        <v>2</v>
      </c>
      <c r="L289" s="7"/>
      <c r="M289" s="7"/>
      <c r="N289" s="7"/>
      <c r="O289" s="7"/>
      <c r="P289" s="7"/>
      <c r="Q289" s="8"/>
      <c r="Z289" s="9"/>
    </row>
    <row r="290" customFormat="false" ht="15.75" hidden="false" customHeight="false" outlineLevel="0" collapsed="false">
      <c r="A290" s="3" t="n">
        <v>289</v>
      </c>
      <c r="B290" s="4" t="n">
        <v>45570</v>
      </c>
      <c r="C290" s="10" t="str">
        <f aca="false">PROPER(TEXT(WEEKDAY(B290),"dddd"))</f>
        <v>Sábado</v>
      </c>
      <c r="D290" s="11" t="n">
        <v>0.782638888888889</v>
      </c>
      <c r="E290" s="3" t="n">
        <v>289</v>
      </c>
      <c r="F290" s="3" t="n">
        <v>289</v>
      </c>
      <c r="G290" s="3" t="n">
        <v>1</v>
      </c>
      <c r="H290" s="3" t="n">
        <v>1</v>
      </c>
      <c r="I290" s="3" t="n">
        <v>1</v>
      </c>
      <c r="J290" s="3" t="n">
        <v>1</v>
      </c>
      <c r="K290" s="6" t="n">
        <v>4.8</v>
      </c>
      <c r="L290" s="7"/>
      <c r="M290" s="7"/>
      <c r="N290" s="7"/>
      <c r="O290" s="7"/>
      <c r="P290" s="7"/>
      <c r="Q290" s="8"/>
      <c r="Z290" s="9"/>
    </row>
    <row r="291" customFormat="false" ht="15.75" hidden="false" customHeight="false" outlineLevel="0" collapsed="false">
      <c r="A291" s="3" t="n">
        <v>290</v>
      </c>
      <c r="B291" s="4" t="n">
        <v>45573</v>
      </c>
      <c r="C291" s="10" t="str">
        <f aca="false">PROPER(TEXT(WEEKDAY(B291),"dddd"))</f>
        <v>Terça-Feira</v>
      </c>
      <c r="D291" s="11" t="n">
        <v>0.741666666666667</v>
      </c>
      <c r="E291" s="3" t="n">
        <v>290</v>
      </c>
      <c r="F291" s="3" t="n">
        <v>290</v>
      </c>
      <c r="G291" s="3" t="n">
        <v>2</v>
      </c>
      <c r="H291" s="3" t="n">
        <v>1</v>
      </c>
      <c r="I291" s="3" t="n">
        <v>1</v>
      </c>
      <c r="J291" s="3" t="n">
        <v>1</v>
      </c>
      <c r="K291" s="6" t="n">
        <v>6.7</v>
      </c>
      <c r="L291" s="7"/>
      <c r="M291" s="7"/>
      <c r="N291" s="7"/>
      <c r="O291" s="7"/>
      <c r="P291" s="7"/>
      <c r="Q291" s="8"/>
      <c r="Z291" s="9"/>
    </row>
    <row r="292" customFormat="false" ht="15.75" hidden="false" customHeight="false" outlineLevel="0" collapsed="false">
      <c r="A292" s="3" t="n">
        <v>291</v>
      </c>
      <c r="B292" s="4" t="n">
        <v>45573</v>
      </c>
      <c r="C292" s="10" t="str">
        <f aca="false">PROPER(TEXT(WEEKDAY(B292),"dddd"))</f>
        <v>Terça-Feira</v>
      </c>
      <c r="D292" s="11" t="n">
        <v>0.747222222222222</v>
      </c>
      <c r="E292" s="3" t="n">
        <v>291</v>
      </c>
      <c r="F292" s="3" t="n">
        <v>291</v>
      </c>
      <c r="G292" s="3" t="n">
        <v>2</v>
      </c>
      <c r="H292" s="3" t="n">
        <v>1</v>
      </c>
      <c r="I292" s="3" t="n">
        <v>1</v>
      </c>
      <c r="J292" s="3" t="n">
        <v>1</v>
      </c>
      <c r="K292" s="6" t="n">
        <v>6.3</v>
      </c>
      <c r="L292" s="7"/>
      <c r="M292" s="7"/>
      <c r="N292" s="7"/>
      <c r="O292" s="7"/>
      <c r="P292" s="7"/>
      <c r="Q292" s="8"/>
      <c r="Z292" s="9"/>
    </row>
    <row r="293" customFormat="false" ht="15.75" hidden="false" customHeight="false" outlineLevel="0" collapsed="false">
      <c r="A293" s="3" t="n">
        <v>292</v>
      </c>
      <c r="B293" s="4" t="n">
        <v>45573</v>
      </c>
      <c r="C293" s="10" t="str">
        <f aca="false">PROPER(TEXT(WEEKDAY(B293),"dddd"))</f>
        <v>Terça-Feira</v>
      </c>
      <c r="D293" s="11" t="n">
        <v>0.754861111111111</v>
      </c>
      <c r="E293" s="3" t="n">
        <v>292</v>
      </c>
      <c r="F293" s="3" t="n">
        <v>292</v>
      </c>
      <c r="G293" s="3" t="n">
        <v>1</v>
      </c>
      <c r="H293" s="3" t="n">
        <v>1</v>
      </c>
      <c r="I293" s="3" t="n">
        <v>1</v>
      </c>
      <c r="J293" s="3" t="n">
        <v>1</v>
      </c>
      <c r="K293" s="6" t="n">
        <v>6.1</v>
      </c>
      <c r="L293" s="7"/>
      <c r="M293" s="7"/>
      <c r="N293" s="7"/>
      <c r="O293" s="7"/>
      <c r="P293" s="7"/>
      <c r="Q293" s="8"/>
      <c r="Z293" s="9"/>
    </row>
    <row r="294" customFormat="false" ht="15.75" hidden="false" customHeight="false" outlineLevel="0" collapsed="false">
      <c r="A294" s="3" t="n">
        <v>293</v>
      </c>
      <c r="B294" s="4" t="n">
        <v>45573</v>
      </c>
      <c r="C294" s="10" t="str">
        <f aca="false">PROPER(TEXT(WEEKDAY(B294),"dddd"))</f>
        <v>Terça-Feira</v>
      </c>
      <c r="D294" s="11" t="n">
        <v>0.759722222222222</v>
      </c>
      <c r="E294" s="3" t="n">
        <v>293</v>
      </c>
      <c r="F294" s="3" t="n">
        <v>293</v>
      </c>
      <c r="G294" s="3" t="n">
        <v>2</v>
      </c>
      <c r="H294" s="3" t="n">
        <v>1</v>
      </c>
      <c r="I294" s="3" t="n">
        <v>1</v>
      </c>
      <c r="J294" s="3" t="n">
        <v>1</v>
      </c>
      <c r="K294" s="6" t="n">
        <v>25</v>
      </c>
      <c r="L294" s="7"/>
      <c r="M294" s="7"/>
      <c r="N294" s="7"/>
      <c r="O294" s="7"/>
      <c r="P294" s="7"/>
      <c r="Q294" s="8"/>
      <c r="Z294" s="9"/>
    </row>
    <row r="295" customFormat="false" ht="15.75" hidden="false" customHeight="false" outlineLevel="0" collapsed="false">
      <c r="A295" s="3" t="n">
        <v>294</v>
      </c>
      <c r="B295" s="4" t="n">
        <v>45573</v>
      </c>
      <c r="C295" s="10" t="str">
        <f aca="false">PROPER(TEXT(WEEKDAY(B295),"dddd"))</f>
        <v>Terça-Feira</v>
      </c>
      <c r="D295" s="11" t="n">
        <v>0.789583333333333</v>
      </c>
      <c r="E295" s="3" t="n">
        <v>294</v>
      </c>
      <c r="F295" s="3" t="n">
        <v>294</v>
      </c>
      <c r="G295" s="3" t="n">
        <v>4</v>
      </c>
      <c r="H295" s="3" t="n">
        <v>1</v>
      </c>
      <c r="I295" s="3" t="n">
        <v>1</v>
      </c>
      <c r="J295" s="3" t="n">
        <v>1</v>
      </c>
      <c r="K295" s="6" t="n">
        <v>2</v>
      </c>
      <c r="L295" s="7"/>
      <c r="M295" s="7"/>
      <c r="N295" s="7"/>
      <c r="O295" s="7"/>
      <c r="P295" s="7"/>
      <c r="Q295" s="8"/>
      <c r="Z295" s="9"/>
    </row>
    <row r="296" customFormat="false" ht="15.75" hidden="false" customHeight="false" outlineLevel="0" collapsed="false">
      <c r="A296" s="3" t="n">
        <v>295</v>
      </c>
      <c r="B296" s="4" t="n">
        <v>45573</v>
      </c>
      <c r="C296" s="10" t="str">
        <f aca="false">PROPER(TEXT(WEEKDAY(B296),"dddd"))</f>
        <v>Terça-Feira</v>
      </c>
      <c r="D296" s="11" t="n">
        <v>0.795138888888889</v>
      </c>
      <c r="E296" s="3" t="n">
        <v>295</v>
      </c>
      <c r="F296" s="3" t="n">
        <v>295</v>
      </c>
      <c r="G296" s="3" t="n">
        <v>2</v>
      </c>
      <c r="H296" s="3" t="n">
        <v>1</v>
      </c>
      <c r="I296" s="3" t="n">
        <v>1</v>
      </c>
      <c r="J296" s="3" t="n">
        <v>1</v>
      </c>
      <c r="K296" s="6" t="n">
        <v>6.55</v>
      </c>
      <c r="L296" s="7"/>
      <c r="M296" s="7"/>
      <c r="N296" s="7"/>
      <c r="O296" s="7"/>
      <c r="P296" s="7"/>
      <c r="Q296" s="8"/>
      <c r="Z296" s="9"/>
    </row>
    <row r="297" customFormat="false" ht="15.75" hidden="false" customHeight="false" outlineLevel="0" collapsed="false">
      <c r="A297" s="3" t="n">
        <v>296</v>
      </c>
      <c r="B297" s="4" t="n">
        <v>45573</v>
      </c>
      <c r="C297" s="10" t="str">
        <f aca="false">PROPER(TEXT(WEEKDAY(B297),"dddd"))</f>
        <v>Terça-Feira</v>
      </c>
      <c r="D297" s="11" t="n">
        <v>0.795138888888889</v>
      </c>
      <c r="E297" s="3" t="n">
        <v>296</v>
      </c>
      <c r="F297" s="3" t="n">
        <v>296</v>
      </c>
      <c r="G297" s="3" t="n">
        <v>1</v>
      </c>
      <c r="H297" s="3" t="n">
        <v>1</v>
      </c>
      <c r="I297" s="3" t="n">
        <v>1</v>
      </c>
      <c r="J297" s="3" t="n">
        <v>1</v>
      </c>
      <c r="K297" s="6" t="n">
        <v>4.65</v>
      </c>
      <c r="L297" s="7"/>
      <c r="M297" s="7"/>
      <c r="N297" s="7"/>
      <c r="O297" s="7"/>
      <c r="P297" s="7"/>
      <c r="Q297" s="8"/>
      <c r="Z297" s="9"/>
    </row>
    <row r="298" customFormat="false" ht="15.75" hidden="false" customHeight="false" outlineLevel="0" collapsed="false">
      <c r="A298" s="3" t="n">
        <v>297</v>
      </c>
      <c r="B298" s="4" t="n">
        <v>45573</v>
      </c>
      <c r="C298" s="10" t="str">
        <f aca="false">PROPER(TEXT(WEEKDAY(B298),"dddd"))</f>
        <v>Terça-Feira</v>
      </c>
      <c r="D298" s="11" t="n">
        <v>0.804861111111111</v>
      </c>
      <c r="E298" s="3" t="n">
        <v>297</v>
      </c>
      <c r="F298" s="3" t="n">
        <v>297</v>
      </c>
      <c r="G298" s="3" t="n">
        <v>1</v>
      </c>
      <c r="H298" s="3" t="n">
        <v>1</v>
      </c>
      <c r="I298" s="3" t="n">
        <v>1</v>
      </c>
      <c r="J298" s="3" t="n">
        <v>1</v>
      </c>
      <c r="K298" s="6" t="n">
        <v>8.75</v>
      </c>
      <c r="L298" s="7"/>
      <c r="M298" s="7"/>
      <c r="N298" s="7"/>
      <c r="O298" s="7"/>
      <c r="P298" s="7"/>
      <c r="Q298" s="8"/>
      <c r="Z298" s="9"/>
    </row>
    <row r="299" customFormat="false" ht="15.75" hidden="false" customHeight="false" outlineLevel="0" collapsed="false">
      <c r="A299" s="3" t="n">
        <v>298</v>
      </c>
      <c r="B299" s="4" t="n">
        <v>45573</v>
      </c>
      <c r="C299" s="10" t="str">
        <f aca="false">PROPER(TEXT(WEEKDAY(B299),"dddd"))</f>
        <v>Terça-Feira</v>
      </c>
      <c r="D299" s="11" t="n">
        <v>0.813888888888889</v>
      </c>
      <c r="E299" s="3" t="n">
        <v>298</v>
      </c>
      <c r="F299" s="3" t="n">
        <v>298</v>
      </c>
      <c r="G299" s="3" t="n">
        <v>2</v>
      </c>
      <c r="H299" s="3" t="n">
        <v>1</v>
      </c>
      <c r="I299" s="3" t="n">
        <v>1</v>
      </c>
      <c r="J299" s="3" t="n">
        <v>1</v>
      </c>
      <c r="K299" s="6" t="n">
        <v>3.3</v>
      </c>
      <c r="L299" s="7"/>
      <c r="M299" s="7"/>
      <c r="N299" s="7"/>
      <c r="O299" s="7"/>
      <c r="P299" s="7"/>
      <c r="Q299" s="8"/>
      <c r="Z299" s="9"/>
    </row>
    <row r="300" customFormat="false" ht="15.75" hidden="false" customHeight="false" outlineLevel="0" collapsed="false">
      <c r="A300" s="3" t="n">
        <v>299</v>
      </c>
      <c r="B300" s="4" t="n">
        <v>45577</v>
      </c>
      <c r="C300" s="10" t="str">
        <f aca="false">PROPER(TEXT(WEEKDAY(B300),"dddd"))</f>
        <v>Sábado</v>
      </c>
      <c r="D300" s="11" t="n">
        <v>0.368055555555556</v>
      </c>
      <c r="E300" s="3" t="n">
        <v>299</v>
      </c>
      <c r="F300" s="3" t="n">
        <v>299</v>
      </c>
      <c r="G300" s="3" t="n">
        <v>1</v>
      </c>
      <c r="H300" s="3" t="n">
        <v>1</v>
      </c>
      <c r="I300" s="3" t="n">
        <v>1</v>
      </c>
      <c r="J300" s="3" t="n">
        <v>1</v>
      </c>
      <c r="K300" s="6" t="n">
        <v>4.35</v>
      </c>
      <c r="L300" s="7"/>
      <c r="M300" s="7"/>
      <c r="N300" s="7"/>
      <c r="O300" s="7"/>
      <c r="P300" s="7"/>
      <c r="Q300" s="8"/>
      <c r="Z300" s="9"/>
    </row>
    <row r="301" customFormat="false" ht="15.75" hidden="false" customHeight="false" outlineLevel="0" collapsed="false">
      <c r="A301" s="3" t="n">
        <v>300</v>
      </c>
      <c r="B301" s="4" t="n">
        <v>45577</v>
      </c>
      <c r="C301" s="10" t="str">
        <f aca="false">PROPER(TEXT(WEEKDAY(B301),"dddd"))</f>
        <v>Sábado</v>
      </c>
      <c r="D301" s="11" t="n">
        <v>0.372916666666667</v>
      </c>
      <c r="E301" s="3" t="n">
        <v>300</v>
      </c>
      <c r="F301" s="3" t="n">
        <v>300</v>
      </c>
      <c r="G301" s="3" t="n">
        <v>2</v>
      </c>
      <c r="H301" s="3" t="n">
        <v>1</v>
      </c>
      <c r="I301" s="3" t="n">
        <v>1</v>
      </c>
      <c r="J301" s="3" t="n">
        <v>1</v>
      </c>
      <c r="K301" s="6" t="n">
        <v>17.6</v>
      </c>
      <c r="L301" s="7"/>
      <c r="M301" s="7"/>
      <c r="N301" s="7"/>
      <c r="O301" s="7"/>
      <c r="P301" s="7"/>
      <c r="Q301" s="8"/>
      <c r="Z301" s="9"/>
    </row>
    <row r="302" customFormat="false" ht="15.75" hidden="false" customHeight="false" outlineLevel="0" collapsed="false">
      <c r="A302" s="3" t="n">
        <v>301</v>
      </c>
      <c r="B302" s="4" t="n">
        <v>45577</v>
      </c>
      <c r="C302" s="10" t="str">
        <f aca="false">PROPER(TEXT(WEEKDAY(B302),"dddd"))</f>
        <v>Sábado</v>
      </c>
      <c r="D302" s="11" t="n">
        <v>0.385416666666667</v>
      </c>
      <c r="E302" s="3" t="n">
        <v>301</v>
      </c>
      <c r="F302" s="3" t="n">
        <v>301</v>
      </c>
      <c r="G302" s="3" t="n">
        <v>2</v>
      </c>
      <c r="H302" s="3" t="n">
        <v>1</v>
      </c>
      <c r="I302" s="3" t="n">
        <v>1</v>
      </c>
      <c r="J302" s="3" t="n">
        <v>1</v>
      </c>
      <c r="K302" s="6" t="n">
        <v>25.2</v>
      </c>
      <c r="L302" s="7"/>
      <c r="M302" s="7"/>
      <c r="N302" s="7"/>
      <c r="O302" s="7"/>
      <c r="P302" s="7"/>
      <c r="Q302" s="8"/>
      <c r="Z302" s="9"/>
    </row>
    <row r="303" customFormat="false" ht="15.75" hidden="false" customHeight="false" outlineLevel="0" collapsed="false">
      <c r="A303" s="3" t="n">
        <v>302</v>
      </c>
      <c r="B303" s="4" t="n">
        <v>45577</v>
      </c>
      <c r="C303" s="10" t="str">
        <f aca="false">PROPER(TEXT(WEEKDAY(B303),"dddd"))</f>
        <v>Sábado</v>
      </c>
      <c r="D303" s="11" t="n">
        <v>0.409027777777778</v>
      </c>
      <c r="E303" s="3" t="n">
        <v>302</v>
      </c>
      <c r="F303" s="3" t="n">
        <v>302</v>
      </c>
      <c r="G303" s="3" t="n">
        <v>2</v>
      </c>
      <c r="H303" s="3" t="n">
        <v>1</v>
      </c>
      <c r="I303" s="3" t="n">
        <v>1</v>
      </c>
      <c r="J303" s="3" t="n">
        <v>1</v>
      </c>
      <c r="K303" s="6" t="n">
        <v>18.95</v>
      </c>
      <c r="L303" s="7"/>
      <c r="M303" s="7"/>
      <c r="N303" s="7"/>
      <c r="O303" s="7"/>
      <c r="P303" s="7"/>
      <c r="Q303" s="8"/>
      <c r="Z303" s="9"/>
    </row>
    <row r="304" customFormat="false" ht="15.75" hidden="false" customHeight="false" outlineLevel="0" collapsed="false">
      <c r="A304" s="3" t="n">
        <v>303</v>
      </c>
      <c r="B304" s="4" t="n">
        <v>45577</v>
      </c>
      <c r="C304" s="10" t="str">
        <f aca="false">PROPER(TEXT(WEEKDAY(B304),"dddd"))</f>
        <v>Sábado</v>
      </c>
      <c r="D304" s="11" t="n">
        <v>0.426388888888889</v>
      </c>
      <c r="E304" s="3" t="n">
        <v>303</v>
      </c>
      <c r="F304" s="3" t="n">
        <v>303</v>
      </c>
      <c r="G304" s="3" t="n">
        <v>2</v>
      </c>
      <c r="H304" s="3" t="n">
        <v>1</v>
      </c>
      <c r="I304" s="3" t="n">
        <v>1</v>
      </c>
      <c r="J304" s="3" t="n">
        <v>1</v>
      </c>
      <c r="K304" s="6" t="n">
        <v>17</v>
      </c>
      <c r="L304" s="7"/>
      <c r="M304" s="7"/>
      <c r="N304" s="7"/>
      <c r="O304" s="7"/>
      <c r="P304" s="7"/>
      <c r="Q304" s="8"/>
      <c r="Z304" s="9"/>
    </row>
    <row r="305" customFormat="false" ht="15.75" hidden="false" customHeight="false" outlineLevel="0" collapsed="false">
      <c r="A305" s="3" t="n">
        <v>304</v>
      </c>
      <c r="B305" s="4" t="n">
        <v>45577</v>
      </c>
      <c r="C305" s="10" t="str">
        <f aca="false">PROPER(TEXT(WEEKDAY(B305),"dddd"))</f>
        <v>Sábado</v>
      </c>
      <c r="D305" s="11" t="n">
        <v>0.445138888888889</v>
      </c>
      <c r="E305" s="3" t="n">
        <v>304</v>
      </c>
      <c r="F305" s="3" t="n">
        <v>304</v>
      </c>
      <c r="G305" s="3" t="n">
        <v>2</v>
      </c>
      <c r="H305" s="3" t="n">
        <v>1</v>
      </c>
      <c r="I305" s="3" t="n">
        <v>1</v>
      </c>
      <c r="J305" s="3" t="n">
        <v>1</v>
      </c>
      <c r="K305" s="6" t="n">
        <v>16.7</v>
      </c>
      <c r="L305" s="7"/>
      <c r="M305" s="7"/>
      <c r="N305" s="7"/>
      <c r="O305" s="7"/>
      <c r="P305" s="7"/>
      <c r="Q305" s="8"/>
      <c r="Z305" s="9"/>
    </row>
    <row r="306" customFormat="false" ht="15.75" hidden="false" customHeight="false" outlineLevel="0" collapsed="false">
      <c r="A306" s="3" t="n">
        <v>305</v>
      </c>
      <c r="B306" s="4" t="n">
        <v>45577</v>
      </c>
      <c r="C306" s="10" t="str">
        <f aca="false">PROPER(TEXT(WEEKDAY(B306),"dddd"))</f>
        <v>Sábado</v>
      </c>
      <c r="D306" s="11" t="n">
        <v>0.5</v>
      </c>
      <c r="E306" s="3" t="n">
        <v>305</v>
      </c>
      <c r="F306" s="3" t="n">
        <v>305</v>
      </c>
      <c r="G306" s="3" t="n">
        <v>1</v>
      </c>
      <c r="H306" s="3" t="n">
        <v>1</v>
      </c>
      <c r="I306" s="3" t="n">
        <v>1</v>
      </c>
      <c r="J306" s="3" t="n">
        <v>1</v>
      </c>
      <c r="K306" s="6" t="n">
        <v>9.5</v>
      </c>
      <c r="L306" s="7"/>
      <c r="M306" s="7"/>
      <c r="N306" s="7"/>
      <c r="O306" s="7"/>
      <c r="P306" s="7"/>
      <c r="Q306" s="8"/>
      <c r="Z306" s="9"/>
    </row>
    <row r="307" customFormat="false" ht="15.75" hidden="false" customHeight="false" outlineLevel="0" collapsed="false">
      <c r="A307" s="3" t="n">
        <v>306</v>
      </c>
      <c r="B307" s="4" t="n">
        <v>45577</v>
      </c>
      <c r="C307" s="10" t="str">
        <f aca="false">PROPER(TEXT(WEEKDAY(B307),"dddd"))</f>
        <v>Sábado</v>
      </c>
      <c r="D307" s="11" t="n">
        <v>0.515972222222222</v>
      </c>
      <c r="E307" s="3" t="n">
        <v>306</v>
      </c>
      <c r="F307" s="3" t="n">
        <v>306</v>
      </c>
      <c r="G307" s="3" t="n">
        <v>1</v>
      </c>
      <c r="H307" s="3" t="n">
        <v>1</v>
      </c>
      <c r="I307" s="3" t="n">
        <v>1</v>
      </c>
      <c r="J307" s="3" t="n">
        <v>1</v>
      </c>
      <c r="K307" s="6" t="n">
        <v>11.5</v>
      </c>
      <c r="L307" s="7"/>
      <c r="M307" s="7"/>
      <c r="N307" s="7"/>
      <c r="O307" s="7"/>
      <c r="P307" s="7"/>
      <c r="Q307" s="8"/>
      <c r="Z307" s="9"/>
    </row>
    <row r="308" customFormat="false" ht="15.75" hidden="false" customHeight="false" outlineLevel="0" collapsed="false">
      <c r="A308" s="3" t="n">
        <v>307</v>
      </c>
      <c r="B308" s="4" t="n">
        <v>45577</v>
      </c>
      <c r="C308" s="10" t="str">
        <f aca="false">PROPER(TEXT(WEEKDAY(B308),"dddd"))</f>
        <v>Sábado</v>
      </c>
      <c r="D308" s="11" t="n">
        <v>0.521527777777778</v>
      </c>
      <c r="E308" s="3" t="n">
        <v>307</v>
      </c>
      <c r="F308" s="3" t="n">
        <v>307</v>
      </c>
      <c r="G308" s="3" t="n">
        <v>1</v>
      </c>
      <c r="H308" s="3" t="n">
        <v>1</v>
      </c>
      <c r="I308" s="3" t="n">
        <v>1</v>
      </c>
      <c r="J308" s="3" t="n">
        <v>1</v>
      </c>
      <c r="K308" s="6" t="n">
        <v>7.7</v>
      </c>
      <c r="L308" s="7"/>
      <c r="M308" s="7"/>
      <c r="N308" s="7"/>
      <c r="O308" s="7"/>
      <c r="P308" s="7"/>
      <c r="Q308" s="8"/>
      <c r="Z308" s="9"/>
    </row>
    <row r="309" customFormat="false" ht="15.75" hidden="false" customHeight="false" outlineLevel="0" collapsed="false">
      <c r="A309" s="3" t="n">
        <v>308</v>
      </c>
      <c r="B309" s="4" t="n">
        <v>45577</v>
      </c>
      <c r="C309" s="10" t="str">
        <f aca="false">PROPER(TEXT(WEEKDAY(B309),"dddd"))</f>
        <v>Sábado</v>
      </c>
      <c r="D309" s="11" t="n">
        <v>0.622916666666667</v>
      </c>
      <c r="E309" s="3" t="n">
        <v>308</v>
      </c>
      <c r="F309" s="3" t="n">
        <v>308</v>
      </c>
      <c r="G309" s="3" t="n">
        <v>1</v>
      </c>
      <c r="H309" s="3" t="n">
        <v>1</v>
      </c>
      <c r="I309" s="3" t="n">
        <v>1</v>
      </c>
      <c r="J309" s="3" t="n">
        <v>1</v>
      </c>
      <c r="K309" s="6" t="n">
        <v>22.65</v>
      </c>
      <c r="L309" s="7"/>
      <c r="M309" s="7"/>
      <c r="N309" s="7"/>
      <c r="O309" s="7"/>
      <c r="P309" s="7"/>
      <c r="Q309" s="8"/>
      <c r="Z309" s="9"/>
    </row>
    <row r="310" customFormat="false" ht="15.75" hidden="false" customHeight="false" outlineLevel="0" collapsed="false">
      <c r="A310" s="3" t="n">
        <v>309</v>
      </c>
      <c r="B310" s="4" t="n">
        <v>45577</v>
      </c>
      <c r="C310" s="10" t="str">
        <f aca="false">PROPER(TEXT(WEEKDAY(B310),"dddd"))</f>
        <v>Sábado</v>
      </c>
      <c r="D310" s="11" t="n">
        <v>0.643055555555556</v>
      </c>
      <c r="E310" s="3" t="n">
        <v>309</v>
      </c>
      <c r="F310" s="3" t="n">
        <v>309</v>
      </c>
      <c r="G310" s="3" t="n">
        <v>2</v>
      </c>
      <c r="H310" s="3" t="n">
        <v>1</v>
      </c>
      <c r="I310" s="3" t="n">
        <v>1</v>
      </c>
      <c r="J310" s="3" t="n">
        <v>1</v>
      </c>
      <c r="K310" s="6" t="n">
        <v>20.05</v>
      </c>
      <c r="L310" s="7"/>
      <c r="M310" s="7"/>
      <c r="N310" s="7"/>
      <c r="O310" s="7"/>
      <c r="P310" s="7"/>
      <c r="Q310" s="8"/>
      <c r="Z310" s="9"/>
    </row>
    <row r="311" customFormat="false" ht="15.75" hidden="false" customHeight="false" outlineLevel="0" collapsed="false">
      <c r="A311" s="3" t="n">
        <v>310</v>
      </c>
      <c r="B311" s="4" t="n">
        <v>45577</v>
      </c>
      <c r="C311" s="10" t="str">
        <f aca="false">PROPER(TEXT(WEEKDAY(B311),"dddd"))</f>
        <v>Sábado</v>
      </c>
      <c r="D311" s="11" t="n">
        <v>0.65625</v>
      </c>
      <c r="E311" s="3" t="n">
        <v>310</v>
      </c>
      <c r="F311" s="3" t="n">
        <v>310</v>
      </c>
      <c r="G311" s="3" t="n">
        <v>1</v>
      </c>
      <c r="H311" s="3" t="n">
        <v>1</v>
      </c>
      <c r="I311" s="3" t="n">
        <v>1</v>
      </c>
      <c r="J311" s="3" t="n">
        <v>1</v>
      </c>
      <c r="K311" s="6" t="n">
        <v>12.5</v>
      </c>
      <c r="L311" s="7"/>
      <c r="M311" s="7"/>
      <c r="N311" s="7"/>
      <c r="O311" s="7"/>
      <c r="P311" s="7"/>
      <c r="Q311" s="8"/>
      <c r="Z311" s="9"/>
    </row>
    <row r="312" customFormat="false" ht="15.75" hidden="false" customHeight="false" outlineLevel="0" collapsed="false">
      <c r="A312" s="3" t="n">
        <v>311</v>
      </c>
      <c r="B312" s="4" t="n">
        <v>45577</v>
      </c>
      <c r="C312" s="10" t="str">
        <f aca="false">PROPER(TEXT(WEEKDAY(B312),"dddd"))</f>
        <v>Sábado</v>
      </c>
      <c r="D312" s="11" t="n">
        <v>0.666666666666667</v>
      </c>
      <c r="E312" s="3" t="n">
        <v>311</v>
      </c>
      <c r="F312" s="3" t="n">
        <v>311</v>
      </c>
      <c r="G312" s="3" t="n">
        <v>1</v>
      </c>
      <c r="H312" s="3" t="n">
        <v>1</v>
      </c>
      <c r="I312" s="3" t="n">
        <v>1</v>
      </c>
      <c r="J312" s="3" t="n">
        <v>1</v>
      </c>
      <c r="K312" s="6" t="n">
        <v>19.2</v>
      </c>
      <c r="L312" s="7"/>
      <c r="M312" s="7"/>
      <c r="N312" s="7"/>
      <c r="O312" s="7"/>
      <c r="P312" s="7"/>
      <c r="Q312" s="8"/>
      <c r="Z312" s="9"/>
    </row>
    <row r="313" customFormat="false" ht="15.75" hidden="false" customHeight="false" outlineLevel="0" collapsed="false">
      <c r="A313" s="3" t="n">
        <v>312</v>
      </c>
      <c r="B313" s="4" t="n">
        <v>45577</v>
      </c>
      <c r="C313" s="10" t="str">
        <f aca="false">PROPER(TEXT(WEEKDAY(B313),"dddd"))</f>
        <v>Sábado</v>
      </c>
      <c r="D313" s="11" t="n">
        <v>0.674305555555556</v>
      </c>
      <c r="E313" s="3" t="n">
        <v>312</v>
      </c>
      <c r="F313" s="3" t="n">
        <v>312</v>
      </c>
      <c r="G313" s="3" t="n">
        <v>2</v>
      </c>
      <c r="H313" s="3" t="n">
        <v>1</v>
      </c>
      <c r="I313" s="3" t="n">
        <v>1</v>
      </c>
      <c r="J313" s="3" t="n">
        <v>1</v>
      </c>
      <c r="K313" s="6" t="n">
        <v>19.3</v>
      </c>
      <c r="L313" s="7"/>
      <c r="M313" s="7"/>
      <c r="N313" s="7"/>
      <c r="O313" s="7"/>
      <c r="P313" s="7"/>
      <c r="Q313" s="8"/>
      <c r="Z313" s="9"/>
    </row>
    <row r="314" customFormat="false" ht="15.75" hidden="false" customHeight="false" outlineLevel="0" collapsed="false">
      <c r="A314" s="3" t="n">
        <v>313</v>
      </c>
      <c r="B314" s="4" t="n">
        <v>45577</v>
      </c>
      <c r="C314" s="10" t="str">
        <f aca="false">PROPER(TEXT(WEEKDAY(B314),"dddd"))</f>
        <v>Sábado</v>
      </c>
      <c r="D314" s="11" t="n">
        <v>0.704166666666667</v>
      </c>
      <c r="E314" s="3" t="n">
        <v>313</v>
      </c>
      <c r="F314" s="3" t="n">
        <v>313</v>
      </c>
      <c r="G314" s="3" t="n">
        <v>1</v>
      </c>
      <c r="H314" s="3" t="n">
        <v>1</v>
      </c>
      <c r="I314" s="3" t="n">
        <v>1</v>
      </c>
      <c r="J314" s="3" t="n">
        <v>1</v>
      </c>
      <c r="K314" s="6" t="n">
        <v>9.55</v>
      </c>
      <c r="L314" s="7"/>
      <c r="M314" s="7"/>
      <c r="N314" s="7"/>
      <c r="O314" s="7"/>
      <c r="P314" s="7"/>
      <c r="Q314" s="8"/>
      <c r="Z314" s="9"/>
    </row>
    <row r="315" customFormat="false" ht="15.75" hidden="false" customHeight="false" outlineLevel="0" collapsed="false">
      <c r="A315" s="3" t="n">
        <v>314</v>
      </c>
      <c r="B315" s="4" t="n">
        <v>45581</v>
      </c>
      <c r="C315" s="10" t="str">
        <f aca="false">PROPER(TEXT(WEEKDAY(B315),"dddd"))</f>
        <v>Quarta-Feira</v>
      </c>
      <c r="D315" s="11" t="n">
        <v>0.731944444444444</v>
      </c>
      <c r="E315" s="3" t="n">
        <v>314</v>
      </c>
      <c r="F315" s="3" t="n">
        <v>314</v>
      </c>
      <c r="G315" s="3" t="n">
        <v>4</v>
      </c>
      <c r="H315" s="3" t="n">
        <v>1</v>
      </c>
      <c r="I315" s="3" t="n">
        <v>1</v>
      </c>
      <c r="J315" s="3" t="n">
        <v>1</v>
      </c>
      <c r="K315" s="6" t="n">
        <v>2</v>
      </c>
      <c r="L315" s="7"/>
      <c r="M315" s="7"/>
      <c r="N315" s="7"/>
      <c r="O315" s="7"/>
      <c r="P315" s="7"/>
      <c r="Q315" s="8"/>
      <c r="Z315" s="9"/>
    </row>
    <row r="316" customFormat="false" ht="15.75" hidden="false" customHeight="false" outlineLevel="0" collapsed="false">
      <c r="A316" s="3" t="n">
        <v>315</v>
      </c>
      <c r="B316" s="4" t="n">
        <v>45581</v>
      </c>
      <c r="C316" s="10" t="str">
        <f aca="false">PROPER(TEXT(WEEKDAY(B316),"dddd"))</f>
        <v>Quarta-Feira</v>
      </c>
      <c r="D316" s="11" t="n">
        <v>0.738194444444445</v>
      </c>
      <c r="E316" s="3" t="n">
        <v>315</v>
      </c>
      <c r="F316" s="3" t="n">
        <v>315</v>
      </c>
      <c r="G316" s="3" t="n">
        <v>2</v>
      </c>
      <c r="H316" s="3" t="n">
        <v>1</v>
      </c>
      <c r="I316" s="3" t="n">
        <v>1</v>
      </c>
      <c r="J316" s="3" t="n">
        <v>1</v>
      </c>
      <c r="K316" s="6" t="n">
        <v>12.75</v>
      </c>
      <c r="L316" s="7"/>
      <c r="M316" s="7"/>
      <c r="N316" s="7"/>
      <c r="O316" s="7"/>
      <c r="P316" s="7"/>
      <c r="Q316" s="8"/>
      <c r="Z316" s="9"/>
    </row>
    <row r="317" customFormat="false" ht="15.75" hidden="false" customHeight="false" outlineLevel="0" collapsed="false">
      <c r="A317" s="3" t="n">
        <v>316</v>
      </c>
      <c r="B317" s="4" t="n">
        <v>45581</v>
      </c>
      <c r="C317" s="10" t="str">
        <f aca="false">PROPER(TEXT(WEEKDAY(B317),"dddd"))</f>
        <v>Quarta-Feira</v>
      </c>
      <c r="D317" s="11" t="n">
        <v>0.7625</v>
      </c>
      <c r="E317" s="3" t="n">
        <v>316</v>
      </c>
      <c r="F317" s="3" t="n">
        <v>316</v>
      </c>
      <c r="G317" s="3" t="n">
        <v>1</v>
      </c>
      <c r="H317" s="3" t="n">
        <v>1</v>
      </c>
      <c r="I317" s="3" t="n">
        <v>1</v>
      </c>
      <c r="J317" s="3" t="n">
        <v>1</v>
      </c>
      <c r="K317" s="6" t="n">
        <v>12.2</v>
      </c>
      <c r="L317" s="7"/>
      <c r="M317" s="7"/>
      <c r="N317" s="7"/>
      <c r="O317" s="7"/>
      <c r="P317" s="7"/>
      <c r="Q317" s="8"/>
      <c r="Z317" s="9"/>
    </row>
    <row r="318" customFormat="false" ht="15.75" hidden="false" customHeight="false" outlineLevel="0" collapsed="false">
      <c r="A318" s="3" t="n">
        <v>317</v>
      </c>
      <c r="B318" s="4" t="n">
        <v>45581</v>
      </c>
      <c r="C318" s="10" t="str">
        <f aca="false">PROPER(TEXT(WEEKDAY(B318),"dddd"))</f>
        <v>Quarta-Feira</v>
      </c>
      <c r="D318" s="11" t="n">
        <v>0.771527777777778</v>
      </c>
      <c r="E318" s="3" t="n">
        <v>317</v>
      </c>
      <c r="F318" s="3" t="n">
        <v>317</v>
      </c>
      <c r="G318" s="3" t="n">
        <v>2</v>
      </c>
      <c r="H318" s="3" t="n">
        <v>1</v>
      </c>
      <c r="I318" s="3" t="n">
        <v>1</v>
      </c>
      <c r="J318" s="3" t="n">
        <v>1</v>
      </c>
      <c r="K318" s="6" t="n">
        <v>3.8</v>
      </c>
      <c r="L318" s="7"/>
      <c r="M318" s="7"/>
      <c r="N318" s="7"/>
      <c r="O318" s="7"/>
      <c r="P318" s="7"/>
      <c r="Q318" s="8"/>
      <c r="Z318" s="9"/>
    </row>
    <row r="319" customFormat="false" ht="15.75" hidden="false" customHeight="false" outlineLevel="0" collapsed="false">
      <c r="A319" s="3" t="n">
        <v>318</v>
      </c>
      <c r="B319" s="4" t="n">
        <v>45581</v>
      </c>
      <c r="C319" s="10" t="str">
        <f aca="false">PROPER(TEXT(WEEKDAY(B319),"dddd"))</f>
        <v>Quarta-Feira</v>
      </c>
      <c r="D319" s="11" t="n">
        <v>0.777777777777778</v>
      </c>
      <c r="E319" s="3" t="n">
        <v>318</v>
      </c>
      <c r="F319" s="3" t="n">
        <v>318</v>
      </c>
      <c r="G319" s="3" t="n">
        <v>2</v>
      </c>
      <c r="H319" s="3" t="n">
        <v>1</v>
      </c>
      <c r="I319" s="3" t="n">
        <v>1</v>
      </c>
      <c r="J319" s="3" t="n">
        <v>1</v>
      </c>
      <c r="K319" s="6" t="n">
        <v>14.7</v>
      </c>
      <c r="L319" s="7"/>
      <c r="M319" s="7"/>
      <c r="N319" s="7"/>
      <c r="O319" s="7"/>
      <c r="P319" s="7"/>
      <c r="Q319" s="8"/>
      <c r="Z319" s="9"/>
    </row>
    <row r="320" customFormat="false" ht="15.75" hidden="false" customHeight="false" outlineLevel="0" collapsed="false">
      <c r="A320" s="3" t="n">
        <v>319</v>
      </c>
      <c r="B320" s="4" t="n">
        <v>45581</v>
      </c>
      <c r="C320" s="10" t="str">
        <f aca="false">PROPER(TEXT(WEEKDAY(B320),"dddd"))</f>
        <v>Quarta-Feira</v>
      </c>
      <c r="D320" s="11" t="n">
        <v>0.800694444444445</v>
      </c>
      <c r="E320" s="3" t="n">
        <v>319</v>
      </c>
      <c r="F320" s="3" t="n">
        <v>319</v>
      </c>
      <c r="G320" s="3" t="n">
        <v>2</v>
      </c>
      <c r="H320" s="3" t="n">
        <v>1</v>
      </c>
      <c r="I320" s="3" t="n">
        <v>1</v>
      </c>
      <c r="J320" s="3" t="n">
        <v>1</v>
      </c>
      <c r="K320" s="6" t="n">
        <v>13.3</v>
      </c>
      <c r="L320" s="7"/>
      <c r="M320" s="7"/>
      <c r="N320" s="7"/>
      <c r="O320" s="7"/>
      <c r="P320" s="7"/>
      <c r="Q320" s="8"/>
      <c r="Z320" s="9"/>
    </row>
    <row r="321" customFormat="false" ht="15.75" hidden="false" customHeight="false" outlineLevel="0" collapsed="false">
      <c r="A321" s="3" t="n">
        <v>320</v>
      </c>
      <c r="B321" s="4" t="n">
        <v>45582</v>
      </c>
      <c r="C321" s="10" t="str">
        <f aca="false">PROPER(TEXT(WEEKDAY(B321),"dddd"))</f>
        <v>Quinta-Feira</v>
      </c>
      <c r="D321" s="11" t="n">
        <v>0.735416666666667</v>
      </c>
      <c r="E321" s="3" t="n">
        <v>320</v>
      </c>
      <c r="F321" s="3" t="n">
        <v>320</v>
      </c>
      <c r="G321" s="3" t="n">
        <v>1</v>
      </c>
      <c r="H321" s="3" t="n">
        <v>1</v>
      </c>
      <c r="I321" s="3" t="n">
        <v>1</v>
      </c>
      <c r="J321" s="3" t="n">
        <v>1</v>
      </c>
      <c r="K321" s="6" t="n">
        <v>26.3</v>
      </c>
      <c r="L321" s="7"/>
      <c r="M321" s="7"/>
      <c r="N321" s="7"/>
      <c r="O321" s="7"/>
      <c r="P321" s="7"/>
      <c r="Q321" s="8"/>
      <c r="Z321" s="9"/>
    </row>
    <row r="322" customFormat="false" ht="15.75" hidden="false" customHeight="false" outlineLevel="0" collapsed="false">
      <c r="A322" s="3" t="n">
        <v>321</v>
      </c>
      <c r="B322" s="4" t="n">
        <v>45582</v>
      </c>
      <c r="C322" s="10" t="str">
        <f aca="false">PROPER(TEXT(WEEKDAY(B322),"dddd"))</f>
        <v>Quinta-Feira</v>
      </c>
      <c r="D322" s="11" t="n">
        <v>0.760416666666667</v>
      </c>
      <c r="E322" s="3" t="n">
        <v>321</v>
      </c>
      <c r="F322" s="3" t="n">
        <v>321</v>
      </c>
      <c r="G322" s="3" t="n">
        <v>2</v>
      </c>
      <c r="H322" s="3" t="n">
        <v>1</v>
      </c>
      <c r="I322" s="3" t="n">
        <v>1</v>
      </c>
      <c r="J322" s="3" t="n">
        <v>1</v>
      </c>
      <c r="K322" s="6" t="n">
        <v>19.65</v>
      </c>
      <c r="L322" s="7"/>
      <c r="M322" s="7"/>
      <c r="N322" s="7"/>
      <c r="O322" s="7"/>
      <c r="P322" s="7"/>
      <c r="Q322" s="8"/>
      <c r="Z322" s="9"/>
    </row>
    <row r="323" customFormat="false" ht="15.75" hidden="false" customHeight="false" outlineLevel="0" collapsed="false">
      <c r="A323" s="3" t="n">
        <v>322</v>
      </c>
      <c r="B323" s="4" t="n">
        <v>45582</v>
      </c>
      <c r="C323" s="10" t="str">
        <f aca="false">PROPER(TEXT(WEEKDAY(B323),"dddd"))</f>
        <v>Quinta-Feira</v>
      </c>
      <c r="D323" s="11" t="n">
        <v>0.780555555555556</v>
      </c>
      <c r="E323" s="3" t="n">
        <v>322</v>
      </c>
      <c r="F323" s="3" t="n">
        <v>322</v>
      </c>
      <c r="G323" s="3" t="n">
        <v>1</v>
      </c>
      <c r="H323" s="3" t="n">
        <v>1</v>
      </c>
      <c r="I323" s="3" t="n">
        <v>1</v>
      </c>
      <c r="J323" s="3" t="n">
        <v>1</v>
      </c>
      <c r="K323" s="6" t="n">
        <v>7.1</v>
      </c>
      <c r="L323" s="7"/>
      <c r="M323" s="7"/>
      <c r="N323" s="7"/>
      <c r="O323" s="7"/>
      <c r="P323" s="7"/>
      <c r="Q323" s="8"/>
      <c r="Z323" s="9"/>
    </row>
    <row r="324" customFormat="false" ht="15.75" hidden="false" customHeight="false" outlineLevel="0" collapsed="false">
      <c r="A324" s="3" t="n">
        <v>323</v>
      </c>
      <c r="B324" s="4" t="n">
        <v>45582</v>
      </c>
      <c r="C324" s="10" t="str">
        <f aca="false">PROPER(TEXT(WEEKDAY(B324),"dddd"))</f>
        <v>Quinta-Feira</v>
      </c>
      <c r="D324" s="11" t="n">
        <v>0.793055555555556</v>
      </c>
      <c r="E324" s="3" t="n">
        <v>323</v>
      </c>
      <c r="F324" s="3" t="n">
        <v>323</v>
      </c>
      <c r="G324" s="3" t="n">
        <v>1</v>
      </c>
      <c r="H324" s="3" t="n">
        <v>1</v>
      </c>
      <c r="I324" s="3" t="n">
        <v>1</v>
      </c>
      <c r="J324" s="3" t="n">
        <v>1</v>
      </c>
      <c r="K324" s="6" t="n">
        <v>9.75</v>
      </c>
      <c r="L324" s="7"/>
      <c r="M324" s="7"/>
      <c r="N324" s="7"/>
      <c r="O324" s="7"/>
      <c r="P324" s="7"/>
      <c r="Q324" s="8"/>
      <c r="Z324" s="9"/>
    </row>
    <row r="325" customFormat="false" ht="15.75" hidden="false" customHeight="false" outlineLevel="0" collapsed="false">
      <c r="A325" s="3" t="n">
        <v>324</v>
      </c>
      <c r="B325" s="4" t="n">
        <v>45583</v>
      </c>
      <c r="C325" s="10" t="str">
        <f aca="false">PROPER(TEXT(WEEKDAY(B325),"dddd"))</f>
        <v>Sexta-Feira</v>
      </c>
      <c r="D325" s="11" t="n">
        <v>0.753472222222222</v>
      </c>
      <c r="E325" s="3" t="n">
        <v>324</v>
      </c>
      <c r="F325" s="3" t="n">
        <v>324</v>
      </c>
      <c r="G325" s="3" t="n">
        <v>1</v>
      </c>
      <c r="H325" s="3" t="n">
        <v>1</v>
      </c>
      <c r="I325" s="3" t="n">
        <v>1</v>
      </c>
      <c r="J325" s="3" t="n">
        <v>1</v>
      </c>
      <c r="K325" s="6" t="n">
        <v>21.75</v>
      </c>
      <c r="L325" s="7"/>
      <c r="M325" s="7"/>
      <c r="N325" s="7"/>
      <c r="O325" s="7"/>
      <c r="P325" s="7"/>
      <c r="Q325" s="8"/>
      <c r="Z325" s="9"/>
    </row>
    <row r="326" customFormat="false" ht="15.75" hidden="false" customHeight="false" outlineLevel="0" collapsed="false">
      <c r="A326" s="3" t="n">
        <v>325</v>
      </c>
      <c r="B326" s="4" t="n">
        <v>45583</v>
      </c>
      <c r="C326" s="10" t="str">
        <f aca="false">PROPER(TEXT(WEEKDAY(B326),"dddd"))</f>
        <v>Sexta-Feira</v>
      </c>
      <c r="D326" s="11" t="n">
        <v>0.772222222222222</v>
      </c>
      <c r="E326" s="3" t="n">
        <v>325</v>
      </c>
      <c r="F326" s="3" t="n">
        <v>325</v>
      </c>
      <c r="G326" s="3" t="n">
        <v>1</v>
      </c>
      <c r="H326" s="3" t="n">
        <v>1</v>
      </c>
      <c r="I326" s="3" t="n">
        <v>1</v>
      </c>
      <c r="J326" s="3" t="n">
        <v>1</v>
      </c>
      <c r="K326" s="6" t="n">
        <v>29.8</v>
      </c>
      <c r="L326" s="7"/>
      <c r="M326" s="7"/>
      <c r="N326" s="7"/>
      <c r="O326" s="7"/>
      <c r="P326" s="7"/>
      <c r="Q326" s="8"/>
      <c r="Z326" s="9"/>
    </row>
    <row r="327" customFormat="false" ht="15.75" hidden="false" customHeight="false" outlineLevel="0" collapsed="false">
      <c r="A327" s="3" t="n">
        <v>326</v>
      </c>
      <c r="B327" s="4" t="n">
        <v>45583</v>
      </c>
      <c r="C327" s="10" t="str">
        <f aca="false">PROPER(TEXT(WEEKDAY(B327),"dddd"))</f>
        <v>Sexta-Feira</v>
      </c>
      <c r="D327" s="11" t="n">
        <v>0.801388888888889</v>
      </c>
      <c r="E327" s="3" t="n">
        <v>326</v>
      </c>
      <c r="F327" s="3" t="n">
        <v>326</v>
      </c>
      <c r="G327" s="3" t="n">
        <v>1</v>
      </c>
      <c r="H327" s="3" t="n">
        <v>1</v>
      </c>
      <c r="I327" s="3" t="n">
        <v>1</v>
      </c>
      <c r="J327" s="3" t="n">
        <v>1</v>
      </c>
      <c r="K327" s="6" t="n">
        <v>9.7</v>
      </c>
      <c r="L327" s="7"/>
      <c r="M327" s="7"/>
      <c r="N327" s="7"/>
      <c r="O327" s="7"/>
      <c r="P327" s="7"/>
      <c r="Q327" s="8"/>
      <c r="Z327" s="9"/>
    </row>
    <row r="328" customFormat="false" ht="15.75" hidden="false" customHeight="false" outlineLevel="0" collapsed="false">
      <c r="A328" s="3" t="n">
        <v>327</v>
      </c>
      <c r="B328" s="4" t="n">
        <v>45584</v>
      </c>
      <c r="C328" s="10" t="str">
        <f aca="false">PROPER(TEXT(WEEKDAY(B328),"dddd"))</f>
        <v>Sábado</v>
      </c>
      <c r="D328" s="11" t="n">
        <v>0.521527777777778</v>
      </c>
      <c r="E328" s="3" t="n">
        <v>327</v>
      </c>
      <c r="F328" s="3" t="n">
        <v>327</v>
      </c>
      <c r="G328" s="3" t="n">
        <v>2</v>
      </c>
      <c r="H328" s="3" t="n">
        <v>1</v>
      </c>
      <c r="I328" s="3" t="n">
        <v>1</v>
      </c>
      <c r="J328" s="3" t="n">
        <v>1</v>
      </c>
      <c r="K328" s="6" t="n">
        <v>9.9</v>
      </c>
      <c r="L328" s="7"/>
      <c r="M328" s="7"/>
      <c r="N328" s="7"/>
      <c r="O328" s="7"/>
      <c r="P328" s="7"/>
      <c r="Q328" s="8"/>
      <c r="Z328" s="9"/>
    </row>
    <row r="329" customFormat="false" ht="15.75" hidden="false" customHeight="false" outlineLevel="0" collapsed="false">
      <c r="A329" s="3" t="n">
        <v>328</v>
      </c>
      <c r="B329" s="4" t="n">
        <v>45584</v>
      </c>
      <c r="C329" s="10" t="str">
        <f aca="false">PROPER(TEXT(WEEKDAY(B329),"dddd"))</f>
        <v>Sábado</v>
      </c>
      <c r="D329" s="11" t="n">
        <v>0.530555555555556</v>
      </c>
      <c r="E329" s="3" t="n">
        <v>328</v>
      </c>
      <c r="F329" s="3" t="n">
        <v>328</v>
      </c>
      <c r="G329" s="3" t="n">
        <v>1</v>
      </c>
      <c r="H329" s="3" t="n">
        <v>1</v>
      </c>
      <c r="I329" s="3" t="n">
        <v>1</v>
      </c>
      <c r="J329" s="3" t="n">
        <v>1</v>
      </c>
      <c r="K329" s="6" t="n">
        <v>14.95</v>
      </c>
      <c r="L329" s="7"/>
      <c r="M329" s="7"/>
      <c r="N329" s="7"/>
      <c r="O329" s="7"/>
      <c r="P329" s="7"/>
      <c r="Q329" s="8"/>
      <c r="Z329" s="9"/>
    </row>
    <row r="330" customFormat="false" ht="15.75" hidden="false" customHeight="false" outlineLevel="0" collapsed="false">
      <c r="A330" s="3" t="n">
        <v>329</v>
      </c>
      <c r="B330" s="4" t="n">
        <v>45584</v>
      </c>
      <c r="C330" s="10" t="str">
        <f aca="false">PROPER(TEXT(WEEKDAY(B330),"dddd"))</f>
        <v>Sábado</v>
      </c>
      <c r="D330" s="11" t="n">
        <v>0.54375</v>
      </c>
      <c r="E330" s="3" t="n">
        <v>329</v>
      </c>
      <c r="F330" s="3" t="n">
        <v>329</v>
      </c>
      <c r="G330" s="3" t="n">
        <v>2</v>
      </c>
      <c r="H330" s="3" t="n">
        <v>1</v>
      </c>
      <c r="I330" s="3" t="n">
        <v>1</v>
      </c>
      <c r="J330" s="3" t="n">
        <v>1</v>
      </c>
      <c r="K330" s="6" t="n">
        <v>19.5</v>
      </c>
      <c r="L330" s="7"/>
      <c r="M330" s="7"/>
      <c r="N330" s="7"/>
      <c r="O330" s="7"/>
      <c r="P330" s="7"/>
      <c r="Q330" s="8"/>
      <c r="Z330" s="9"/>
    </row>
    <row r="331" customFormat="false" ht="15.75" hidden="false" customHeight="false" outlineLevel="0" collapsed="false">
      <c r="A331" s="3" t="n">
        <v>330</v>
      </c>
      <c r="B331" s="4" t="n">
        <v>45584</v>
      </c>
      <c r="C331" s="10" t="str">
        <f aca="false">PROPER(TEXT(WEEKDAY(B331),"dddd"))</f>
        <v>Sábado</v>
      </c>
      <c r="D331" s="11" t="n">
        <v>0.564583333333333</v>
      </c>
      <c r="E331" s="3" t="n">
        <v>330</v>
      </c>
      <c r="F331" s="3" t="n">
        <v>330</v>
      </c>
      <c r="G331" s="3" t="n">
        <v>1</v>
      </c>
      <c r="H331" s="3" t="n">
        <v>1</v>
      </c>
      <c r="I331" s="3" t="n">
        <v>1</v>
      </c>
      <c r="J331" s="3" t="n">
        <v>1</v>
      </c>
      <c r="K331" s="6" t="n">
        <v>6.85</v>
      </c>
      <c r="L331" s="7"/>
      <c r="M331" s="7"/>
      <c r="N331" s="7"/>
      <c r="O331" s="7"/>
      <c r="P331" s="7"/>
      <c r="Q331" s="8"/>
      <c r="Z331" s="9"/>
    </row>
    <row r="332" customFormat="false" ht="15.75" hidden="false" customHeight="false" outlineLevel="0" collapsed="false">
      <c r="A332" s="3" t="n">
        <v>331</v>
      </c>
      <c r="B332" s="4" t="n">
        <v>45584</v>
      </c>
      <c r="C332" s="10" t="str">
        <f aca="false">PROPER(TEXT(WEEKDAY(B332),"dddd"))</f>
        <v>Sábado</v>
      </c>
      <c r="D332" s="11" t="n">
        <v>0.572916666666667</v>
      </c>
      <c r="E332" s="3" t="n">
        <v>331</v>
      </c>
      <c r="F332" s="3" t="n">
        <v>331</v>
      </c>
      <c r="G332" s="3" t="n">
        <v>2</v>
      </c>
      <c r="H332" s="3" t="n">
        <v>1</v>
      </c>
      <c r="I332" s="3" t="n">
        <v>1</v>
      </c>
      <c r="J332" s="3" t="n">
        <v>1</v>
      </c>
      <c r="K332" s="6" t="n">
        <v>5.35</v>
      </c>
      <c r="L332" s="7"/>
      <c r="M332" s="7"/>
      <c r="N332" s="7"/>
      <c r="O332" s="7"/>
      <c r="P332" s="7"/>
      <c r="Q332" s="8"/>
      <c r="Z332" s="9"/>
    </row>
    <row r="333" customFormat="false" ht="15.75" hidden="false" customHeight="false" outlineLevel="0" collapsed="false">
      <c r="A333" s="3" t="n">
        <v>332</v>
      </c>
      <c r="B333" s="4" t="n">
        <v>45584</v>
      </c>
      <c r="C333" s="10" t="str">
        <f aca="false">PROPER(TEXT(WEEKDAY(B333),"dddd"))</f>
        <v>Sábado</v>
      </c>
      <c r="D333" s="11" t="n">
        <v>0.597222222222222</v>
      </c>
      <c r="E333" s="3" t="n">
        <v>332</v>
      </c>
      <c r="F333" s="3" t="n">
        <v>332</v>
      </c>
      <c r="G333" s="3" t="n">
        <v>3</v>
      </c>
      <c r="H333" s="3" t="n">
        <v>1</v>
      </c>
      <c r="I333" s="3" t="n">
        <v>1</v>
      </c>
      <c r="J333" s="3" t="n">
        <v>1</v>
      </c>
      <c r="K333" s="6" t="n">
        <v>0</v>
      </c>
      <c r="L333" s="7"/>
      <c r="M333" s="7"/>
      <c r="N333" s="7"/>
      <c r="O333" s="7"/>
      <c r="P333" s="7"/>
      <c r="Q333" s="8"/>
      <c r="Z333" s="9"/>
    </row>
    <row r="334" customFormat="false" ht="15.75" hidden="false" customHeight="false" outlineLevel="0" collapsed="false">
      <c r="A334" s="3" t="n">
        <v>333</v>
      </c>
      <c r="B334" s="4" t="n">
        <v>45586</v>
      </c>
      <c r="C334" s="10" t="str">
        <f aca="false">PROPER(TEXT(WEEKDAY(B334),"dddd"))</f>
        <v>Segunda-Feira</v>
      </c>
      <c r="D334" s="11" t="n">
        <v>0.736111111111111</v>
      </c>
      <c r="E334" s="3" t="n">
        <v>333</v>
      </c>
      <c r="F334" s="3" t="n">
        <v>333</v>
      </c>
      <c r="G334" s="3" t="n">
        <v>1</v>
      </c>
      <c r="H334" s="3" t="n">
        <v>1</v>
      </c>
      <c r="I334" s="3" t="n">
        <v>1</v>
      </c>
      <c r="J334" s="3" t="n">
        <v>1</v>
      </c>
      <c r="K334" s="6" t="n">
        <v>18.65</v>
      </c>
      <c r="L334" s="7"/>
      <c r="M334" s="7"/>
      <c r="N334" s="7"/>
      <c r="O334" s="7"/>
      <c r="P334" s="7"/>
      <c r="Q334" s="8"/>
      <c r="Z334" s="9"/>
    </row>
    <row r="335" customFormat="false" ht="15.75" hidden="false" customHeight="false" outlineLevel="0" collapsed="false">
      <c r="A335" s="3" t="n">
        <v>334</v>
      </c>
      <c r="B335" s="4" t="n">
        <v>45586</v>
      </c>
      <c r="C335" s="10" t="str">
        <f aca="false">PROPER(TEXT(WEEKDAY(B335),"dddd"))</f>
        <v>Segunda-Feira</v>
      </c>
      <c r="D335" s="11" t="n">
        <v>0.752083333333333</v>
      </c>
      <c r="E335" s="3" t="n">
        <v>334</v>
      </c>
      <c r="F335" s="3" t="n">
        <v>334</v>
      </c>
      <c r="G335" s="3" t="n">
        <v>2</v>
      </c>
      <c r="H335" s="3" t="n">
        <v>1</v>
      </c>
      <c r="I335" s="3" t="n">
        <v>1</v>
      </c>
      <c r="J335" s="3" t="n">
        <v>1</v>
      </c>
      <c r="K335" s="6" t="n">
        <v>22.2</v>
      </c>
      <c r="L335" s="7"/>
      <c r="M335" s="7"/>
      <c r="N335" s="7"/>
      <c r="O335" s="7"/>
      <c r="P335" s="7"/>
      <c r="Q335" s="8"/>
      <c r="Z335" s="9"/>
    </row>
    <row r="336" customFormat="false" ht="15.75" hidden="false" customHeight="false" outlineLevel="0" collapsed="false">
      <c r="A336" s="3" t="n">
        <v>335</v>
      </c>
      <c r="B336" s="4" t="n">
        <v>45586</v>
      </c>
      <c r="C336" s="10" t="str">
        <f aca="false">PROPER(TEXT(WEEKDAY(B336),"dddd"))</f>
        <v>Segunda-Feira</v>
      </c>
      <c r="D336" s="11" t="n">
        <v>0.777777777777778</v>
      </c>
      <c r="E336" s="3" t="n">
        <v>335</v>
      </c>
      <c r="F336" s="3" t="n">
        <v>335</v>
      </c>
      <c r="G336" s="3" t="n">
        <v>2</v>
      </c>
      <c r="H336" s="3" t="n">
        <v>1</v>
      </c>
      <c r="I336" s="3" t="n">
        <v>1</v>
      </c>
      <c r="J336" s="3" t="n">
        <v>1</v>
      </c>
      <c r="K336" s="6" t="n">
        <v>7.35</v>
      </c>
      <c r="L336" s="7"/>
      <c r="M336" s="7"/>
      <c r="N336" s="7"/>
      <c r="O336" s="7"/>
      <c r="P336" s="7"/>
      <c r="Q336" s="8"/>
      <c r="Z336" s="9"/>
    </row>
    <row r="337" customFormat="false" ht="15.75" hidden="false" customHeight="false" outlineLevel="0" collapsed="false">
      <c r="A337" s="3" t="n">
        <v>336</v>
      </c>
      <c r="B337" s="4" t="n">
        <v>45586</v>
      </c>
      <c r="C337" s="10" t="str">
        <f aca="false">PROPER(TEXT(WEEKDAY(B337),"dddd"))</f>
        <v>Segunda-Feira</v>
      </c>
      <c r="D337" s="11" t="n">
        <v>0.782638888888889</v>
      </c>
      <c r="E337" s="3" t="n">
        <v>336</v>
      </c>
      <c r="F337" s="3" t="n">
        <v>336</v>
      </c>
      <c r="G337" s="3" t="n">
        <v>1</v>
      </c>
      <c r="H337" s="3" t="n">
        <v>1</v>
      </c>
      <c r="I337" s="3" t="n">
        <v>1</v>
      </c>
      <c r="J337" s="3" t="n">
        <v>1</v>
      </c>
      <c r="K337" s="6" t="n">
        <v>6.3</v>
      </c>
      <c r="L337" s="7"/>
      <c r="M337" s="7"/>
      <c r="N337" s="7"/>
      <c r="O337" s="7"/>
      <c r="P337" s="7"/>
      <c r="Q337" s="8"/>
      <c r="Z337" s="9"/>
    </row>
    <row r="338" customFormat="false" ht="15.75" hidden="false" customHeight="false" outlineLevel="0" collapsed="false">
      <c r="A338" s="3" t="n">
        <v>337</v>
      </c>
      <c r="B338" s="4" t="n">
        <v>45586</v>
      </c>
      <c r="C338" s="10" t="str">
        <f aca="false">PROPER(TEXT(WEEKDAY(B338),"dddd"))</f>
        <v>Segunda-Feira</v>
      </c>
      <c r="D338" s="11" t="n">
        <v>0.793055555555556</v>
      </c>
      <c r="E338" s="3" t="n">
        <v>337</v>
      </c>
      <c r="F338" s="3" t="n">
        <v>337</v>
      </c>
      <c r="G338" s="3" t="n">
        <v>1</v>
      </c>
      <c r="H338" s="3" t="n">
        <v>1</v>
      </c>
      <c r="I338" s="3" t="n">
        <v>1</v>
      </c>
      <c r="J338" s="3" t="n">
        <v>1</v>
      </c>
      <c r="K338" s="6" t="n">
        <v>12.8</v>
      </c>
      <c r="L338" s="7"/>
      <c r="M338" s="7"/>
      <c r="N338" s="7"/>
      <c r="O338" s="7"/>
      <c r="P338" s="7"/>
      <c r="Q338" s="8"/>
      <c r="Z338" s="9"/>
    </row>
    <row r="339" customFormat="false" ht="15.75" hidden="false" customHeight="false" outlineLevel="0" collapsed="false">
      <c r="A339" s="3" t="n">
        <v>338</v>
      </c>
      <c r="B339" s="4" t="n">
        <v>45586</v>
      </c>
      <c r="C339" s="10" t="str">
        <f aca="false">PROPER(TEXT(WEEKDAY(B339),"dddd"))</f>
        <v>Segunda-Feira</v>
      </c>
      <c r="D339" s="11" t="n">
        <v>0.805555555555556</v>
      </c>
      <c r="E339" s="3" t="n">
        <v>338</v>
      </c>
      <c r="F339" s="3" t="n">
        <v>338</v>
      </c>
      <c r="G339" s="3" t="n">
        <v>2</v>
      </c>
      <c r="H339" s="3" t="n">
        <v>1</v>
      </c>
      <c r="I339" s="3" t="n">
        <v>1</v>
      </c>
      <c r="J339" s="3" t="n">
        <v>1</v>
      </c>
      <c r="K339" s="6" t="n">
        <v>11.35</v>
      </c>
      <c r="L339" s="7"/>
      <c r="M339" s="7"/>
      <c r="N339" s="7"/>
      <c r="O339" s="7"/>
      <c r="P339" s="7"/>
      <c r="Q339" s="8"/>
      <c r="Z339" s="9"/>
    </row>
    <row r="340" customFormat="false" ht="15.75" hidden="false" customHeight="false" outlineLevel="0" collapsed="false">
      <c r="A340" s="3" t="n">
        <v>339</v>
      </c>
      <c r="B340" s="4" t="n">
        <v>45586</v>
      </c>
      <c r="C340" s="10" t="str">
        <f aca="false">PROPER(TEXT(WEEKDAY(B340),"dddd"))</f>
        <v>Segunda-Feira</v>
      </c>
      <c r="D340" s="11" t="n">
        <v>0.813888888888889</v>
      </c>
      <c r="E340" s="3" t="n">
        <v>339</v>
      </c>
      <c r="F340" s="3" t="n">
        <v>339</v>
      </c>
      <c r="G340" s="3" t="n">
        <v>2</v>
      </c>
      <c r="H340" s="3" t="n">
        <v>1</v>
      </c>
      <c r="I340" s="3" t="n">
        <v>1</v>
      </c>
      <c r="J340" s="3" t="n">
        <v>1</v>
      </c>
      <c r="K340" s="6" t="n">
        <v>6.75</v>
      </c>
      <c r="L340" s="7"/>
      <c r="M340" s="7"/>
      <c r="N340" s="7"/>
      <c r="O340" s="7"/>
      <c r="P340" s="7"/>
      <c r="Q340" s="8"/>
      <c r="Z340" s="9"/>
    </row>
    <row r="341" customFormat="false" ht="15.75" hidden="false" customHeight="false" outlineLevel="0" collapsed="false">
      <c r="A341" s="3" t="n">
        <v>340</v>
      </c>
      <c r="B341" s="4" t="n">
        <v>45587</v>
      </c>
      <c r="C341" s="10" t="str">
        <f aca="false">PROPER(TEXT(WEEKDAY(B341),"dddd"))</f>
        <v>Terça-Feira</v>
      </c>
      <c r="D341" s="11" t="n">
        <v>0.73125</v>
      </c>
      <c r="E341" s="3" t="n">
        <v>340</v>
      </c>
      <c r="F341" s="3" t="n">
        <v>340</v>
      </c>
      <c r="G341" s="3" t="n">
        <v>2</v>
      </c>
      <c r="H341" s="3" t="n">
        <v>1</v>
      </c>
      <c r="I341" s="3" t="n">
        <v>1</v>
      </c>
      <c r="J341" s="3" t="n">
        <v>1</v>
      </c>
      <c r="K341" s="6" t="n">
        <v>14.65</v>
      </c>
      <c r="L341" s="7"/>
      <c r="M341" s="7"/>
      <c r="N341" s="7"/>
      <c r="O341" s="7"/>
      <c r="P341" s="7"/>
      <c r="Q341" s="8"/>
      <c r="Z341" s="9"/>
    </row>
    <row r="342" customFormat="false" ht="15.75" hidden="false" customHeight="false" outlineLevel="0" collapsed="false">
      <c r="A342" s="3" t="n">
        <v>341</v>
      </c>
      <c r="B342" s="4" t="n">
        <v>45587</v>
      </c>
      <c r="C342" s="10" t="str">
        <f aca="false">PROPER(TEXT(WEEKDAY(B342),"dddd"))</f>
        <v>Terça-Feira</v>
      </c>
      <c r="D342" s="11" t="n">
        <v>0.745138888888889</v>
      </c>
      <c r="E342" s="3" t="n">
        <v>341</v>
      </c>
      <c r="F342" s="3" t="n">
        <v>341</v>
      </c>
      <c r="G342" s="3" t="n">
        <v>2</v>
      </c>
      <c r="H342" s="3" t="n">
        <v>1</v>
      </c>
      <c r="I342" s="3" t="n">
        <v>1</v>
      </c>
      <c r="J342" s="3" t="n">
        <v>1</v>
      </c>
      <c r="K342" s="6" t="n">
        <v>11.3</v>
      </c>
      <c r="L342" s="7"/>
      <c r="M342" s="7"/>
      <c r="N342" s="7"/>
      <c r="O342" s="7"/>
      <c r="P342" s="7"/>
      <c r="Q342" s="8"/>
      <c r="Z342" s="9"/>
    </row>
    <row r="343" customFormat="false" ht="15.75" hidden="false" customHeight="false" outlineLevel="0" collapsed="false">
      <c r="A343" s="3" t="n">
        <v>342</v>
      </c>
      <c r="B343" s="4" t="n">
        <v>45587</v>
      </c>
      <c r="C343" s="10" t="str">
        <f aca="false">PROPER(TEXT(WEEKDAY(B343),"dddd"))</f>
        <v>Terça-Feira</v>
      </c>
      <c r="D343" s="11" t="n">
        <v>0.747916666666667</v>
      </c>
      <c r="E343" s="3" t="n">
        <v>342</v>
      </c>
      <c r="F343" s="3" t="n">
        <v>342</v>
      </c>
      <c r="G343" s="3" t="n">
        <v>2</v>
      </c>
      <c r="H343" s="3" t="n">
        <v>1</v>
      </c>
      <c r="I343" s="3" t="n">
        <v>1</v>
      </c>
      <c r="J343" s="3" t="n">
        <v>1</v>
      </c>
      <c r="K343" s="6" t="n">
        <v>34.85</v>
      </c>
      <c r="L343" s="7"/>
      <c r="M343" s="7"/>
      <c r="N343" s="7"/>
      <c r="O343" s="7"/>
      <c r="P343" s="7"/>
      <c r="Q343" s="8"/>
      <c r="Z343" s="9"/>
    </row>
    <row r="344" customFormat="false" ht="15.75" hidden="false" customHeight="false" outlineLevel="0" collapsed="false">
      <c r="A344" s="3" t="n">
        <v>343</v>
      </c>
      <c r="B344" s="4" t="n">
        <v>45587</v>
      </c>
      <c r="C344" s="10" t="str">
        <f aca="false">PROPER(TEXT(WEEKDAY(B344),"dddd"))</f>
        <v>Terça-Feira</v>
      </c>
      <c r="D344" s="11" t="n">
        <v>0.775694444444445</v>
      </c>
      <c r="E344" s="3" t="n">
        <v>343</v>
      </c>
      <c r="F344" s="3" t="n">
        <v>343</v>
      </c>
      <c r="G344" s="3" t="n">
        <v>1</v>
      </c>
      <c r="H344" s="3" t="n">
        <v>1</v>
      </c>
      <c r="I344" s="3" t="n">
        <v>1</v>
      </c>
      <c r="J344" s="3" t="n">
        <v>1</v>
      </c>
      <c r="K344" s="6" t="n">
        <v>4.4</v>
      </c>
      <c r="L344" s="7"/>
      <c r="M344" s="7"/>
      <c r="N344" s="7"/>
      <c r="O344" s="7"/>
      <c r="P344" s="7"/>
      <c r="Q344" s="8"/>
      <c r="Z344" s="9"/>
    </row>
    <row r="345" customFormat="false" ht="15.75" hidden="false" customHeight="false" outlineLevel="0" collapsed="false">
      <c r="A345" s="3" t="n">
        <v>344</v>
      </c>
      <c r="B345" s="4" t="n">
        <v>45587</v>
      </c>
      <c r="C345" s="10" t="str">
        <f aca="false">PROPER(TEXT(WEEKDAY(B345),"dddd"))</f>
        <v>Terça-Feira</v>
      </c>
      <c r="D345" s="11" t="n">
        <v>0.789583333333333</v>
      </c>
      <c r="E345" s="3" t="n">
        <v>344</v>
      </c>
      <c r="F345" s="3" t="n">
        <v>344</v>
      </c>
      <c r="G345" s="3" t="n">
        <v>2</v>
      </c>
      <c r="H345" s="3" t="n">
        <v>1</v>
      </c>
      <c r="I345" s="3" t="n">
        <v>1</v>
      </c>
      <c r="J345" s="3" t="n">
        <v>1</v>
      </c>
      <c r="K345" s="6" t="n">
        <v>5.2</v>
      </c>
      <c r="L345" s="7"/>
      <c r="M345" s="7"/>
      <c r="N345" s="7"/>
      <c r="O345" s="7"/>
      <c r="P345" s="7"/>
      <c r="Q345" s="8"/>
      <c r="Z345" s="9"/>
    </row>
    <row r="346" customFormat="false" ht="15.75" hidden="false" customHeight="false" outlineLevel="0" collapsed="false">
      <c r="A346" s="3" t="n">
        <v>345</v>
      </c>
      <c r="B346" s="4" t="n">
        <v>45587</v>
      </c>
      <c r="C346" s="10" t="str">
        <f aca="false">PROPER(TEXT(WEEKDAY(B346),"dddd"))</f>
        <v>Terça-Feira</v>
      </c>
      <c r="D346" s="11" t="n">
        <v>0.793055555555556</v>
      </c>
      <c r="E346" s="3" t="n">
        <v>345</v>
      </c>
      <c r="F346" s="3" t="n">
        <v>345</v>
      </c>
      <c r="G346" s="3" t="n">
        <v>2</v>
      </c>
      <c r="H346" s="3" t="n">
        <v>1</v>
      </c>
      <c r="I346" s="3" t="n">
        <v>1</v>
      </c>
      <c r="J346" s="3" t="n">
        <v>1</v>
      </c>
      <c r="K346" s="6" t="n">
        <v>5</v>
      </c>
      <c r="L346" s="7"/>
      <c r="M346" s="7"/>
      <c r="N346" s="7"/>
      <c r="O346" s="7"/>
      <c r="P346" s="7"/>
      <c r="Q346" s="8"/>
      <c r="Z346" s="9"/>
    </row>
    <row r="347" customFormat="false" ht="15.75" hidden="false" customHeight="false" outlineLevel="0" collapsed="false">
      <c r="A347" s="3" t="n">
        <v>346</v>
      </c>
      <c r="B347" s="4" t="n">
        <v>45587</v>
      </c>
      <c r="C347" s="10" t="str">
        <f aca="false">PROPER(TEXT(WEEKDAY(B347),"dddd"))</f>
        <v>Terça-Feira</v>
      </c>
      <c r="D347" s="11" t="n">
        <v>0.800694444444445</v>
      </c>
      <c r="E347" s="3" t="n">
        <v>346</v>
      </c>
      <c r="F347" s="3" t="n">
        <v>346</v>
      </c>
      <c r="G347" s="3" t="n">
        <v>2</v>
      </c>
      <c r="H347" s="3" t="n">
        <v>1</v>
      </c>
      <c r="I347" s="3" t="n">
        <v>1</v>
      </c>
      <c r="J347" s="3" t="n">
        <v>1</v>
      </c>
      <c r="K347" s="6" t="n">
        <v>27.25</v>
      </c>
      <c r="L347" s="7"/>
      <c r="M347" s="7"/>
      <c r="N347" s="7"/>
      <c r="O347" s="7"/>
      <c r="P347" s="7"/>
      <c r="Q347" s="8"/>
      <c r="Z347" s="9"/>
    </row>
    <row r="348" customFormat="false" ht="15.75" hidden="false" customHeight="false" outlineLevel="0" collapsed="false">
      <c r="A348" s="3" t="n">
        <v>347</v>
      </c>
      <c r="B348" s="4" t="n">
        <v>45590</v>
      </c>
      <c r="C348" s="10" t="str">
        <f aca="false">PROPER(TEXT(WEEKDAY(B348),"dddd"))</f>
        <v>Sexta-Feira</v>
      </c>
      <c r="D348" s="11" t="n">
        <v>0.711111111111111</v>
      </c>
      <c r="E348" s="3" t="n">
        <v>347</v>
      </c>
      <c r="F348" s="3" t="n">
        <v>347</v>
      </c>
      <c r="G348" s="3" t="n">
        <v>2</v>
      </c>
      <c r="H348" s="3" t="n">
        <v>1</v>
      </c>
      <c r="I348" s="3" t="n">
        <v>1</v>
      </c>
      <c r="J348" s="3" t="n">
        <v>1</v>
      </c>
      <c r="K348" s="6" t="n">
        <v>9.75</v>
      </c>
      <c r="L348" s="7"/>
      <c r="M348" s="7"/>
      <c r="N348" s="7"/>
      <c r="O348" s="7"/>
      <c r="P348" s="7"/>
      <c r="Q348" s="8"/>
      <c r="Z348" s="9"/>
    </row>
    <row r="349" customFormat="false" ht="15.75" hidden="false" customHeight="false" outlineLevel="0" collapsed="false">
      <c r="A349" s="3" t="n">
        <v>348</v>
      </c>
      <c r="B349" s="4" t="n">
        <v>45590</v>
      </c>
      <c r="C349" s="10" t="str">
        <f aca="false">PROPER(TEXT(WEEKDAY(B349),"dddd"))</f>
        <v>Sexta-Feira</v>
      </c>
      <c r="D349" s="11" t="n">
        <v>0.746527777777778</v>
      </c>
      <c r="E349" s="3" t="n">
        <v>348</v>
      </c>
      <c r="F349" s="3" t="n">
        <v>348</v>
      </c>
      <c r="G349" s="3" t="n">
        <v>1</v>
      </c>
      <c r="H349" s="3" t="n">
        <v>1</v>
      </c>
      <c r="I349" s="3" t="n">
        <v>1</v>
      </c>
      <c r="J349" s="3" t="n">
        <v>1</v>
      </c>
      <c r="K349" s="6" t="n">
        <v>18.4</v>
      </c>
      <c r="L349" s="7"/>
      <c r="M349" s="7"/>
      <c r="N349" s="7"/>
      <c r="O349" s="7"/>
      <c r="P349" s="7"/>
      <c r="Q349" s="8"/>
      <c r="Z349" s="9"/>
    </row>
    <row r="350" customFormat="false" ht="15.75" hidden="false" customHeight="false" outlineLevel="0" collapsed="false">
      <c r="A350" s="3" t="n">
        <v>349</v>
      </c>
      <c r="B350" s="4" t="n">
        <v>45590</v>
      </c>
      <c r="C350" s="10" t="str">
        <f aca="false">PROPER(TEXT(WEEKDAY(B350),"dddd"))</f>
        <v>Sexta-Feira</v>
      </c>
      <c r="D350" s="11" t="n">
        <v>0.7625</v>
      </c>
      <c r="E350" s="3" t="n">
        <v>349</v>
      </c>
      <c r="F350" s="3" t="n">
        <v>349</v>
      </c>
      <c r="G350" s="3" t="n">
        <v>2</v>
      </c>
      <c r="H350" s="3" t="n">
        <v>1</v>
      </c>
      <c r="I350" s="3" t="n">
        <v>1</v>
      </c>
      <c r="J350" s="3" t="n">
        <v>1</v>
      </c>
      <c r="K350" s="6" t="n">
        <v>26.4</v>
      </c>
      <c r="L350" s="7"/>
      <c r="M350" s="7"/>
      <c r="N350" s="7"/>
      <c r="O350" s="7"/>
      <c r="P350" s="7"/>
      <c r="Q350" s="8"/>
      <c r="Z350" s="9"/>
    </row>
    <row r="351" customFormat="false" ht="15.75" hidden="false" customHeight="false" outlineLevel="0" collapsed="false">
      <c r="A351" s="3" t="n">
        <v>350</v>
      </c>
      <c r="B351" s="4" t="n">
        <v>45593</v>
      </c>
      <c r="C351" s="10" t="str">
        <f aca="false">PROPER(TEXT(WEEKDAY(B351),"dddd"))</f>
        <v>Segunda-Feira</v>
      </c>
      <c r="D351" s="11" t="n">
        <v>0.707638888888889</v>
      </c>
      <c r="E351" s="3" t="n">
        <v>350</v>
      </c>
      <c r="F351" s="3" t="n">
        <v>350</v>
      </c>
      <c r="G351" s="3" t="n">
        <v>1</v>
      </c>
      <c r="H351" s="3" t="n">
        <v>1</v>
      </c>
      <c r="I351" s="3" t="n">
        <v>1</v>
      </c>
      <c r="J351" s="3" t="n">
        <v>1</v>
      </c>
      <c r="K351" s="6" t="n">
        <v>5</v>
      </c>
      <c r="L351" s="7"/>
      <c r="M351" s="7"/>
      <c r="N351" s="7"/>
      <c r="O351" s="7"/>
      <c r="P351" s="7"/>
      <c r="Q351" s="8"/>
      <c r="Z351" s="9"/>
    </row>
    <row r="352" customFormat="false" ht="15.75" hidden="false" customHeight="false" outlineLevel="0" collapsed="false">
      <c r="A352" s="3" t="n">
        <v>351</v>
      </c>
      <c r="B352" s="4" t="n">
        <v>45593</v>
      </c>
      <c r="C352" s="10" t="str">
        <f aca="false">PROPER(TEXT(WEEKDAY(B352),"dddd"))</f>
        <v>Segunda-Feira</v>
      </c>
      <c r="D352" s="11" t="n">
        <v>0.717361111111111</v>
      </c>
      <c r="E352" s="3" t="n">
        <v>351</v>
      </c>
      <c r="F352" s="3" t="n">
        <v>351</v>
      </c>
      <c r="G352" s="3" t="n">
        <v>2</v>
      </c>
      <c r="H352" s="3" t="n">
        <v>1</v>
      </c>
      <c r="I352" s="3" t="n">
        <v>1</v>
      </c>
      <c r="J352" s="3" t="n">
        <v>1</v>
      </c>
      <c r="K352" s="6" t="n">
        <v>16.45</v>
      </c>
      <c r="L352" s="7"/>
      <c r="M352" s="7"/>
      <c r="N352" s="7"/>
      <c r="O352" s="7"/>
      <c r="P352" s="7"/>
      <c r="Q352" s="8"/>
      <c r="Z352" s="9"/>
    </row>
    <row r="353" customFormat="false" ht="15.75" hidden="false" customHeight="false" outlineLevel="0" collapsed="false">
      <c r="A353" s="3" t="n">
        <v>352</v>
      </c>
      <c r="B353" s="4" t="n">
        <v>45593</v>
      </c>
      <c r="C353" s="10" t="str">
        <f aca="false">PROPER(TEXT(WEEKDAY(B353),"dddd"))</f>
        <v>Segunda-Feira</v>
      </c>
      <c r="D353" s="11" t="n">
        <v>0.734722222222222</v>
      </c>
      <c r="E353" s="3" t="n">
        <v>352</v>
      </c>
      <c r="F353" s="3" t="n">
        <v>352</v>
      </c>
      <c r="G353" s="3" t="n">
        <v>1</v>
      </c>
      <c r="H353" s="3" t="n">
        <v>1</v>
      </c>
      <c r="I353" s="3" t="n">
        <v>1</v>
      </c>
      <c r="J353" s="3" t="n">
        <v>1</v>
      </c>
      <c r="K353" s="6" t="n">
        <v>8.25</v>
      </c>
      <c r="L353" s="7"/>
      <c r="M353" s="7"/>
      <c r="N353" s="7"/>
      <c r="O353" s="7"/>
      <c r="P353" s="7"/>
      <c r="Q353" s="8"/>
      <c r="Z353" s="9"/>
    </row>
    <row r="354" customFormat="false" ht="15.75" hidden="false" customHeight="false" outlineLevel="0" collapsed="false">
      <c r="A354" s="3" t="n">
        <v>353</v>
      </c>
      <c r="B354" s="4" t="n">
        <v>45593</v>
      </c>
      <c r="C354" s="10" t="str">
        <f aca="false">PROPER(TEXT(WEEKDAY(B354),"dddd"))</f>
        <v>Segunda-Feira</v>
      </c>
      <c r="D354" s="11" t="n">
        <v>0.741666666666667</v>
      </c>
      <c r="E354" s="3" t="n">
        <v>353</v>
      </c>
      <c r="F354" s="3" t="n">
        <v>353</v>
      </c>
      <c r="G354" s="3" t="n">
        <v>2</v>
      </c>
      <c r="H354" s="3" t="n">
        <v>1</v>
      </c>
      <c r="I354" s="3" t="n">
        <v>1</v>
      </c>
      <c r="J354" s="3" t="n">
        <v>1</v>
      </c>
      <c r="K354" s="6" t="n">
        <v>8.9</v>
      </c>
      <c r="L354" s="7"/>
      <c r="M354" s="7"/>
      <c r="N354" s="7"/>
      <c r="O354" s="7"/>
      <c r="P354" s="7"/>
      <c r="Q354" s="8"/>
      <c r="Z354" s="9"/>
    </row>
    <row r="355" customFormat="false" ht="15.75" hidden="false" customHeight="false" outlineLevel="0" collapsed="false">
      <c r="A355" s="3" t="n">
        <v>354</v>
      </c>
      <c r="B355" s="4" t="n">
        <v>45593</v>
      </c>
      <c r="C355" s="10" t="str">
        <f aca="false">PROPER(TEXT(WEEKDAY(B355),"dddd"))</f>
        <v>Segunda-Feira</v>
      </c>
      <c r="D355" s="11" t="n">
        <v>0.772222222222222</v>
      </c>
      <c r="E355" s="3" t="n">
        <v>354</v>
      </c>
      <c r="F355" s="3" t="n">
        <v>354</v>
      </c>
      <c r="G355" s="3" t="n">
        <v>2</v>
      </c>
      <c r="H355" s="3" t="n">
        <v>1</v>
      </c>
      <c r="I355" s="3" t="n">
        <v>1</v>
      </c>
      <c r="J355" s="3" t="n">
        <v>1</v>
      </c>
      <c r="K355" s="6" t="n">
        <v>5.05</v>
      </c>
      <c r="L355" s="7"/>
      <c r="M355" s="7"/>
      <c r="N355" s="7"/>
      <c r="O355" s="7"/>
      <c r="P355" s="7"/>
      <c r="Q355" s="8"/>
      <c r="Z355" s="9"/>
    </row>
    <row r="356" customFormat="false" ht="15.75" hidden="false" customHeight="false" outlineLevel="0" collapsed="false">
      <c r="A356" s="3" t="n">
        <v>355</v>
      </c>
      <c r="B356" s="4" t="n">
        <v>45593</v>
      </c>
      <c r="C356" s="10" t="str">
        <f aca="false">PROPER(TEXT(WEEKDAY(B356),"dddd"))</f>
        <v>Segunda-Feira</v>
      </c>
      <c r="D356" s="11" t="n">
        <v>0.774305555555556</v>
      </c>
      <c r="E356" s="3" t="n">
        <v>355</v>
      </c>
      <c r="F356" s="3" t="n">
        <v>355</v>
      </c>
      <c r="G356" s="3" t="n">
        <v>2</v>
      </c>
      <c r="H356" s="3" t="n">
        <v>1</v>
      </c>
      <c r="I356" s="3" t="n">
        <v>1</v>
      </c>
      <c r="J356" s="3" t="n">
        <v>1</v>
      </c>
      <c r="K356" s="6" t="n">
        <v>10</v>
      </c>
      <c r="L356" s="7"/>
      <c r="M356" s="7"/>
      <c r="N356" s="7"/>
      <c r="O356" s="7"/>
      <c r="P356" s="7"/>
      <c r="Q356" s="8"/>
      <c r="Z356" s="9"/>
    </row>
    <row r="357" customFormat="false" ht="15.75" hidden="false" customHeight="false" outlineLevel="0" collapsed="false">
      <c r="A357" s="3" t="n">
        <v>356</v>
      </c>
      <c r="B357" s="4" t="n">
        <v>45593</v>
      </c>
      <c r="C357" s="10" t="str">
        <f aca="false">PROPER(TEXT(WEEKDAY(B357),"dddd"))</f>
        <v>Segunda-Feira</v>
      </c>
      <c r="D357" s="11" t="n">
        <v>0.782638888888889</v>
      </c>
      <c r="E357" s="3" t="n">
        <v>356</v>
      </c>
      <c r="F357" s="3" t="n">
        <v>356</v>
      </c>
      <c r="G357" s="3" t="n">
        <v>2</v>
      </c>
      <c r="H357" s="3" t="n">
        <v>1</v>
      </c>
      <c r="I357" s="3" t="n">
        <v>1</v>
      </c>
      <c r="J357" s="3" t="n">
        <v>1</v>
      </c>
      <c r="K357" s="6" t="n">
        <v>16.8</v>
      </c>
      <c r="L357" s="7"/>
      <c r="M357" s="7"/>
      <c r="N357" s="7"/>
      <c r="O357" s="7"/>
      <c r="P357" s="7"/>
      <c r="Q357" s="8"/>
      <c r="Z357" s="9"/>
    </row>
    <row r="358" customFormat="false" ht="15.75" hidden="false" customHeight="false" outlineLevel="0" collapsed="false">
      <c r="A358" s="3" t="n">
        <v>357</v>
      </c>
      <c r="B358" s="4" t="n">
        <v>45593</v>
      </c>
      <c r="C358" s="10" t="str">
        <f aca="false">PROPER(TEXT(WEEKDAY(B358),"dddd"))</f>
        <v>Segunda-Feira</v>
      </c>
      <c r="D358" s="11" t="n">
        <v>0.814583333333333</v>
      </c>
      <c r="E358" s="3" t="n">
        <v>357</v>
      </c>
      <c r="F358" s="3" t="n">
        <v>357</v>
      </c>
      <c r="G358" s="3" t="n">
        <v>1</v>
      </c>
      <c r="H358" s="3" t="n">
        <v>1</v>
      </c>
      <c r="I358" s="3" t="n">
        <v>1</v>
      </c>
      <c r="J358" s="3" t="n">
        <v>1</v>
      </c>
      <c r="K358" s="6" t="n">
        <v>18.1</v>
      </c>
      <c r="L358" s="7"/>
      <c r="M358" s="7"/>
      <c r="N358" s="7"/>
      <c r="O358" s="7"/>
      <c r="P358" s="7"/>
      <c r="Q358" s="8"/>
      <c r="Z358" s="9"/>
    </row>
    <row r="359" customFormat="false" ht="15.75" hidden="false" customHeight="false" outlineLevel="0" collapsed="false">
      <c r="A359" s="3" t="n">
        <v>358</v>
      </c>
      <c r="B359" s="4" t="n">
        <v>45593</v>
      </c>
      <c r="C359" s="10" t="str">
        <f aca="false">PROPER(TEXT(WEEKDAY(B359),"dddd"))</f>
        <v>Segunda-Feira</v>
      </c>
      <c r="D359" s="11" t="n">
        <v>0.830555555555556</v>
      </c>
      <c r="E359" s="3" t="n">
        <v>358</v>
      </c>
      <c r="F359" s="3" t="n">
        <v>358</v>
      </c>
      <c r="G359" s="3" t="n">
        <v>1</v>
      </c>
      <c r="H359" s="3" t="n">
        <v>1</v>
      </c>
      <c r="I359" s="3" t="n">
        <v>1</v>
      </c>
      <c r="J359" s="3" t="n">
        <v>1</v>
      </c>
      <c r="K359" s="6" t="n">
        <v>8.9</v>
      </c>
      <c r="L359" s="7"/>
      <c r="M359" s="7"/>
      <c r="N359" s="7"/>
      <c r="O359" s="7"/>
      <c r="P359" s="7"/>
      <c r="Q359" s="8"/>
      <c r="Z359" s="9"/>
    </row>
    <row r="360" customFormat="false" ht="15.75" hidden="false" customHeight="false" outlineLevel="0" collapsed="false">
      <c r="A360" s="3" t="n">
        <v>359</v>
      </c>
      <c r="B360" s="4" t="n">
        <v>45595</v>
      </c>
      <c r="C360" s="10" t="str">
        <f aca="false">PROPER(TEXT(WEEKDAY(B360),"dddd"))</f>
        <v>Quarta-Feira</v>
      </c>
      <c r="D360" s="11" t="n">
        <v>0.725694444444444</v>
      </c>
      <c r="E360" s="3" t="n">
        <v>359</v>
      </c>
      <c r="F360" s="3" t="n">
        <v>359</v>
      </c>
      <c r="G360" s="3" t="n">
        <v>1</v>
      </c>
      <c r="H360" s="3" t="n">
        <v>1</v>
      </c>
      <c r="I360" s="3" t="n">
        <v>1</v>
      </c>
      <c r="J360" s="3" t="n">
        <v>1</v>
      </c>
      <c r="K360" s="6" t="n">
        <v>9.6</v>
      </c>
      <c r="L360" s="7"/>
      <c r="M360" s="7"/>
      <c r="N360" s="7"/>
      <c r="O360" s="7"/>
      <c r="P360" s="7"/>
      <c r="Q360" s="8"/>
      <c r="Z360" s="9"/>
    </row>
    <row r="361" customFormat="false" ht="15.75" hidden="false" customHeight="false" outlineLevel="0" collapsed="false">
      <c r="A361" s="3" t="n">
        <v>360</v>
      </c>
      <c r="B361" s="4" t="n">
        <v>45595</v>
      </c>
      <c r="C361" s="10" t="str">
        <f aca="false">PROPER(TEXT(WEEKDAY(B361),"dddd"))</f>
        <v>Quarta-Feira</v>
      </c>
      <c r="D361" s="11" t="n">
        <v>0.730555555555556</v>
      </c>
      <c r="E361" s="3" t="n">
        <v>360</v>
      </c>
      <c r="F361" s="3" t="n">
        <v>360</v>
      </c>
      <c r="G361" s="3" t="n">
        <v>2</v>
      </c>
      <c r="H361" s="3" t="n">
        <v>1</v>
      </c>
      <c r="I361" s="3" t="n">
        <v>1</v>
      </c>
      <c r="J361" s="3" t="n">
        <v>1</v>
      </c>
      <c r="K361" s="6" t="n">
        <v>6.7</v>
      </c>
      <c r="L361" s="7"/>
      <c r="M361" s="7"/>
      <c r="N361" s="7"/>
      <c r="O361" s="7"/>
      <c r="P361" s="7"/>
      <c r="Q361" s="8"/>
      <c r="Z361" s="9"/>
    </row>
    <row r="362" customFormat="false" ht="15.75" hidden="false" customHeight="false" outlineLevel="0" collapsed="false">
      <c r="A362" s="3" t="n">
        <v>361</v>
      </c>
      <c r="B362" s="4" t="n">
        <v>45595</v>
      </c>
      <c r="C362" s="10" t="str">
        <f aca="false">PROPER(TEXT(WEEKDAY(B362),"dddd"))</f>
        <v>Quarta-Feira</v>
      </c>
      <c r="D362" s="11" t="n">
        <v>0.74375</v>
      </c>
      <c r="E362" s="3" t="n">
        <v>361</v>
      </c>
      <c r="F362" s="3" t="n">
        <v>361</v>
      </c>
      <c r="G362" s="3" t="n">
        <v>1</v>
      </c>
      <c r="H362" s="3" t="n">
        <v>1</v>
      </c>
      <c r="I362" s="3" t="n">
        <v>1</v>
      </c>
      <c r="J362" s="3" t="n">
        <v>1</v>
      </c>
      <c r="K362" s="6" t="n">
        <v>33.25</v>
      </c>
      <c r="L362" s="7"/>
      <c r="M362" s="7"/>
      <c r="N362" s="7"/>
      <c r="O362" s="7"/>
      <c r="P362" s="7"/>
      <c r="Q362" s="8"/>
      <c r="Z362" s="9"/>
    </row>
    <row r="363" customFormat="false" ht="15.75" hidden="false" customHeight="false" outlineLevel="0" collapsed="false">
      <c r="A363" s="3" t="n">
        <v>362</v>
      </c>
      <c r="B363" s="4" t="n">
        <v>45595</v>
      </c>
      <c r="C363" s="10" t="str">
        <f aca="false">PROPER(TEXT(WEEKDAY(B363),"dddd"))</f>
        <v>Quarta-Feira</v>
      </c>
      <c r="D363" s="11" t="n">
        <v>0.772222222222222</v>
      </c>
      <c r="E363" s="3" t="n">
        <v>362</v>
      </c>
      <c r="F363" s="3" t="n">
        <v>362</v>
      </c>
      <c r="G363" s="3" t="n">
        <v>2</v>
      </c>
      <c r="H363" s="3" t="n">
        <v>1</v>
      </c>
      <c r="I363" s="3" t="n">
        <v>1</v>
      </c>
      <c r="J363" s="3" t="n">
        <v>1</v>
      </c>
      <c r="K363" s="6" t="n">
        <v>31.85</v>
      </c>
      <c r="L363" s="7"/>
      <c r="M363" s="7"/>
      <c r="N363" s="7"/>
      <c r="O363" s="7"/>
      <c r="P363" s="7"/>
      <c r="Q363" s="8"/>
      <c r="Z363" s="9"/>
    </row>
    <row r="364" customFormat="false" ht="15.75" hidden="false" customHeight="false" outlineLevel="0" collapsed="false">
      <c r="A364" s="3" t="n">
        <v>363</v>
      </c>
      <c r="B364" s="4" t="n">
        <v>45595</v>
      </c>
      <c r="C364" s="10" t="str">
        <f aca="false">PROPER(TEXT(WEEKDAY(B364),"dddd"))</f>
        <v>Quarta-Feira</v>
      </c>
      <c r="D364" s="11" t="n">
        <v>0.802777777777778</v>
      </c>
      <c r="E364" s="3" t="n">
        <v>363</v>
      </c>
      <c r="F364" s="3" t="n">
        <v>363</v>
      </c>
      <c r="G364" s="3" t="n">
        <v>4</v>
      </c>
      <c r="H364" s="3" t="n">
        <v>1</v>
      </c>
      <c r="I364" s="3" t="n">
        <v>1</v>
      </c>
      <c r="J364" s="3" t="n">
        <v>1</v>
      </c>
      <c r="K364" s="6" t="n">
        <v>2</v>
      </c>
      <c r="L364" s="7"/>
      <c r="M364" s="7"/>
      <c r="N364" s="7"/>
      <c r="O364" s="7"/>
      <c r="P364" s="7"/>
      <c r="Q364" s="8"/>
      <c r="Z364" s="9"/>
    </row>
    <row r="365" customFormat="false" ht="15.75" hidden="false" customHeight="false" outlineLevel="0" collapsed="false">
      <c r="A365" s="3" t="n">
        <v>364</v>
      </c>
      <c r="B365" s="4" t="n">
        <v>45595</v>
      </c>
      <c r="C365" s="10" t="str">
        <f aca="false">PROPER(TEXT(WEEKDAY(B365),"dddd"))</f>
        <v>Quarta-Feira</v>
      </c>
      <c r="D365" s="11" t="n">
        <v>0.810416666666667</v>
      </c>
      <c r="E365" s="3" t="n">
        <v>364</v>
      </c>
      <c r="F365" s="3" t="n">
        <v>364</v>
      </c>
      <c r="G365" s="3" t="n">
        <v>1</v>
      </c>
      <c r="H365" s="3" t="n">
        <v>1</v>
      </c>
      <c r="I365" s="3" t="n">
        <v>1</v>
      </c>
      <c r="J365" s="3" t="n">
        <v>1</v>
      </c>
      <c r="K365" s="6" t="n">
        <v>14.85</v>
      </c>
      <c r="L365" s="7"/>
      <c r="M365" s="7"/>
      <c r="N365" s="7"/>
      <c r="O365" s="7"/>
      <c r="P365" s="7"/>
      <c r="Q365" s="8"/>
      <c r="Z365" s="9"/>
    </row>
    <row r="366" customFormat="false" ht="15.75" hidden="false" customHeight="false" outlineLevel="0" collapsed="false">
      <c r="A366" s="3" t="n">
        <v>365</v>
      </c>
      <c r="B366" s="4" t="n">
        <v>45596</v>
      </c>
      <c r="C366" s="10" t="str">
        <f aca="false">PROPER(TEXT(WEEKDAY(B366),"dddd"))</f>
        <v>Quinta-Feira</v>
      </c>
      <c r="D366" s="11" t="n">
        <v>0.711805555555556</v>
      </c>
      <c r="E366" s="3" t="n">
        <v>365</v>
      </c>
      <c r="F366" s="3" t="n">
        <v>365</v>
      </c>
      <c r="G366" s="3" t="n">
        <v>2</v>
      </c>
      <c r="H366" s="3" t="n">
        <v>1</v>
      </c>
      <c r="I366" s="3" t="n">
        <v>1</v>
      </c>
      <c r="J366" s="3" t="n">
        <v>1</v>
      </c>
      <c r="K366" s="6" t="n">
        <v>3.9</v>
      </c>
      <c r="L366" s="7"/>
      <c r="M366" s="7"/>
      <c r="N366" s="7"/>
      <c r="O366" s="7"/>
      <c r="P366" s="7"/>
      <c r="Q366" s="8"/>
      <c r="Z366" s="9"/>
    </row>
    <row r="367" customFormat="false" ht="15.75" hidden="false" customHeight="false" outlineLevel="0" collapsed="false">
      <c r="A367" s="3" t="n">
        <v>366</v>
      </c>
      <c r="B367" s="4" t="n">
        <v>45596</v>
      </c>
      <c r="C367" s="10" t="str">
        <f aca="false">PROPER(TEXT(WEEKDAY(B367),"dddd"))</f>
        <v>Quinta-Feira</v>
      </c>
      <c r="D367" s="11" t="n">
        <v>0.720833333333333</v>
      </c>
      <c r="E367" s="3" t="n">
        <v>366</v>
      </c>
      <c r="F367" s="3" t="n">
        <v>366</v>
      </c>
      <c r="G367" s="3" t="n">
        <v>1</v>
      </c>
      <c r="H367" s="3" t="n">
        <v>1</v>
      </c>
      <c r="I367" s="3" t="n">
        <v>1</v>
      </c>
      <c r="J367" s="3" t="n">
        <v>1</v>
      </c>
      <c r="K367" s="6" t="n">
        <v>26.55</v>
      </c>
      <c r="L367" s="7"/>
      <c r="M367" s="7"/>
      <c r="N367" s="7"/>
      <c r="O367" s="7"/>
      <c r="P367" s="7"/>
      <c r="Q367" s="8"/>
      <c r="Z367" s="9"/>
    </row>
    <row r="368" customFormat="false" ht="15.75" hidden="false" customHeight="false" outlineLevel="0" collapsed="false">
      <c r="A368" s="3" t="n">
        <v>367</v>
      </c>
      <c r="B368" s="4" t="n">
        <v>45596</v>
      </c>
      <c r="C368" s="10" t="str">
        <f aca="false">PROPER(TEXT(WEEKDAY(B368),"dddd"))</f>
        <v>Quinta-Feira</v>
      </c>
      <c r="D368" s="11" t="n">
        <v>0.751388888888889</v>
      </c>
      <c r="E368" s="3" t="n">
        <v>367</v>
      </c>
      <c r="F368" s="3" t="n">
        <v>367</v>
      </c>
      <c r="G368" s="3" t="n">
        <v>2</v>
      </c>
      <c r="H368" s="3" t="n">
        <v>1</v>
      </c>
      <c r="I368" s="3" t="n">
        <v>1</v>
      </c>
      <c r="J368" s="3" t="n">
        <v>1</v>
      </c>
      <c r="K368" s="6" t="n">
        <v>28.2</v>
      </c>
      <c r="L368" s="7"/>
      <c r="M368" s="7"/>
      <c r="N368" s="7"/>
      <c r="O368" s="7"/>
      <c r="P368" s="7"/>
      <c r="Q368" s="8"/>
      <c r="Z368" s="9"/>
    </row>
    <row r="369" customFormat="false" ht="15.75" hidden="false" customHeight="false" outlineLevel="0" collapsed="false">
      <c r="A369" s="3" t="n">
        <v>368</v>
      </c>
      <c r="B369" s="4" t="n">
        <v>45596</v>
      </c>
      <c r="C369" s="10" t="str">
        <f aca="false">PROPER(TEXT(WEEKDAY(B369),"dddd"))</f>
        <v>Quinta-Feira</v>
      </c>
      <c r="D369" s="11" t="n">
        <v>0.777777777777778</v>
      </c>
      <c r="E369" s="3" t="n">
        <v>368</v>
      </c>
      <c r="F369" s="3" t="n">
        <v>368</v>
      </c>
      <c r="G369" s="3" t="n">
        <v>2</v>
      </c>
      <c r="H369" s="3" t="n">
        <v>1</v>
      </c>
      <c r="I369" s="3" t="n">
        <v>1</v>
      </c>
      <c r="J369" s="3" t="n">
        <v>1</v>
      </c>
      <c r="K369" s="6" t="n">
        <v>15.9</v>
      </c>
      <c r="L369" s="7"/>
      <c r="M369" s="7"/>
      <c r="N369" s="7"/>
      <c r="O369" s="7"/>
      <c r="P369" s="7"/>
      <c r="Q369" s="8"/>
      <c r="Z369" s="9"/>
    </row>
    <row r="370" customFormat="false" ht="15.75" hidden="false" customHeight="false" outlineLevel="0" collapsed="false">
      <c r="A370" s="3" t="n">
        <v>369</v>
      </c>
      <c r="B370" s="4" t="n">
        <v>45596</v>
      </c>
      <c r="C370" s="10" t="str">
        <f aca="false">PROPER(TEXT(WEEKDAY(B370),"dddd"))</f>
        <v>Quinta-Feira</v>
      </c>
      <c r="D370" s="11" t="n">
        <v>0.790277777777778</v>
      </c>
      <c r="E370" s="3" t="n">
        <v>369</v>
      </c>
      <c r="F370" s="3" t="n">
        <v>369</v>
      </c>
      <c r="G370" s="3" t="n">
        <v>2</v>
      </c>
      <c r="H370" s="3" t="n">
        <v>1</v>
      </c>
      <c r="I370" s="3" t="n">
        <v>1</v>
      </c>
      <c r="J370" s="3" t="n">
        <v>1</v>
      </c>
      <c r="K370" s="6" t="n">
        <v>17.8</v>
      </c>
      <c r="L370" s="7"/>
      <c r="M370" s="7"/>
      <c r="N370" s="7"/>
      <c r="O370" s="7"/>
      <c r="P370" s="7"/>
      <c r="Q370" s="8"/>
      <c r="Z370" s="9"/>
    </row>
    <row r="371" customFormat="false" ht="15.75" hidden="false" customHeight="false" outlineLevel="0" collapsed="false">
      <c r="A371" s="3" t="n">
        <v>370</v>
      </c>
      <c r="B371" s="4" t="n">
        <v>45597</v>
      </c>
      <c r="C371" s="10" t="str">
        <f aca="false">PROPER(TEXT(WEEKDAY(B371),"dddd"))</f>
        <v>Sexta-Feira</v>
      </c>
      <c r="D371" s="11" t="n">
        <v>0.740972222222222</v>
      </c>
      <c r="E371" s="3" t="n">
        <v>370</v>
      </c>
      <c r="F371" s="3" t="n">
        <v>370</v>
      </c>
      <c r="G371" s="3" t="n">
        <v>1</v>
      </c>
      <c r="H371" s="3" t="n">
        <v>1</v>
      </c>
      <c r="I371" s="3" t="n">
        <v>1</v>
      </c>
      <c r="J371" s="3" t="n">
        <v>1</v>
      </c>
      <c r="K371" s="6" t="n">
        <v>35.05</v>
      </c>
      <c r="L371" s="7"/>
      <c r="M371" s="7"/>
      <c r="N371" s="7"/>
      <c r="O371" s="7"/>
      <c r="P371" s="7"/>
      <c r="Q371" s="8"/>
      <c r="Z371" s="9"/>
    </row>
    <row r="372" customFormat="false" ht="15.75" hidden="false" customHeight="false" outlineLevel="0" collapsed="false">
      <c r="A372" s="3" t="n">
        <v>371</v>
      </c>
      <c r="B372" s="4" t="n">
        <v>45597</v>
      </c>
      <c r="C372" s="10" t="str">
        <f aca="false">PROPER(TEXT(WEEKDAY(B372),"dddd"))</f>
        <v>Sexta-Feira</v>
      </c>
      <c r="D372" s="11" t="n">
        <v>0.770138888888889</v>
      </c>
      <c r="E372" s="3" t="n">
        <v>371</v>
      </c>
      <c r="F372" s="3" t="n">
        <v>371</v>
      </c>
      <c r="G372" s="3" t="n">
        <v>1</v>
      </c>
      <c r="H372" s="3" t="n">
        <v>1</v>
      </c>
      <c r="I372" s="3" t="n">
        <v>1</v>
      </c>
      <c r="J372" s="3" t="n">
        <v>1</v>
      </c>
      <c r="K372" s="6" t="n">
        <v>10.2</v>
      </c>
      <c r="L372" s="7"/>
      <c r="M372" s="7"/>
      <c r="N372" s="7"/>
      <c r="O372" s="7"/>
      <c r="P372" s="7"/>
      <c r="Q372" s="8"/>
      <c r="Z372" s="9"/>
    </row>
    <row r="373" customFormat="false" ht="15.75" hidden="false" customHeight="false" outlineLevel="0" collapsed="false">
      <c r="A373" s="3" t="n">
        <v>372</v>
      </c>
      <c r="B373" s="4" t="n">
        <v>45597</v>
      </c>
      <c r="C373" s="10" t="str">
        <f aca="false">PROPER(TEXT(WEEKDAY(B373),"dddd"))</f>
        <v>Sexta-Feira</v>
      </c>
      <c r="D373" s="11" t="n">
        <v>0.78125</v>
      </c>
      <c r="E373" s="3" t="n">
        <v>372</v>
      </c>
      <c r="F373" s="3" t="n">
        <v>372</v>
      </c>
      <c r="G373" s="3" t="n">
        <v>2</v>
      </c>
      <c r="H373" s="3" t="n">
        <v>1</v>
      </c>
      <c r="I373" s="3" t="n">
        <v>1</v>
      </c>
      <c r="J373" s="3" t="n">
        <v>1</v>
      </c>
      <c r="K373" s="6" t="n">
        <v>10.85</v>
      </c>
      <c r="L373" s="7"/>
      <c r="M373" s="7"/>
      <c r="N373" s="7"/>
      <c r="O373" s="7"/>
      <c r="P373" s="7"/>
      <c r="Q373" s="8"/>
      <c r="Z373" s="9"/>
    </row>
    <row r="374" customFormat="false" ht="15.75" hidden="false" customHeight="false" outlineLevel="0" collapsed="false">
      <c r="A374" s="3" t="n">
        <v>373</v>
      </c>
      <c r="B374" s="4" t="n">
        <v>45597</v>
      </c>
      <c r="C374" s="10" t="str">
        <f aca="false">PROPER(TEXT(WEEKDAY(B374),"dddd"))</f>
        <v>Sexta-Feira</v>
      </c>
      <c r="D374" s="11" t="n">
        <v>0.795833333333333</v>
      </c>
      <c r="E374" s="3" t="n">
        <v>373</v>
      </c>
      <c r="F374" s="3" t="n">
        <v>373</v>
      </c>
      <c r="G374" s="3" t="n">
        <v>2</v>
      </c>
      <c r="H374" s="3" t="n">
        <v>1</v>
      </c>
      <c r="I374" s="3" t="n">
        <v>1</v>
      </c>
      <c r="J374" s="3" t="n">
        <v>1</v>
      </c>
      <c r="K374" s="6" t="n">
        <v>8.7</v>
      </c>
      <c r="L374" s="7"/>
      <c r="M374" s="7"/>
      <c r="N374" s="7"/>
      <c r="O374" s="7"/>
      <c r="P374" s="7"/>
      <c r="Q374" s="8"/>
      <c r="Z374" s="9"/>
    </row>
    <row r="375" customFormat="false" ht="15.75" hidden="false" customHeight="false" outlineLevel="0" collapsed="false">
      <c r="A375" s="3" t="n">
        <v>374</v>
      </c>
      <c r="B375" s="4" t="n">
        <v>45598</v>
      </c>
      <c r="C375" s="10" t="str">
        <f aca="false">PROPER(TEXT(WEEKDAY(B375),"dddd"))</f>
        <v>Sábado</v>
      </c>
      <c r="D375" s="11" t="n">
        <v>0.463194444444444</v>
      </c>
      <c r="E375" s="3" t="n">
        <v>374</v>
      </c>
      <c r="F375" s="3" t="n">
        <v>374</v>
      </c>
      <c r="G375" s="3" t="n">
        <v>2</v>
      </c>
      <c r="H375" s="3" t="n">
        <v>1</v>
      </c>
      <c r="I375" s="3" t="n">
        <v>1</v>
      </c>
      <c r="J375" s="3" t="n">
        <v>1</v>
      </c>
      <c r="K375" s="6" t="n">
        <v>12</v>
      </c>
      <c r="L375" s="7"/>
      <c r="M375" s="7"/>
      <c r="N375" s="7"/>
      <c r="O375" s="7"/>
      <c r="P375" s="7"/>
      <c r="Q375" s="8"/>
      <c r="Z375" s="9"/>
    </row>
    <row r="376" customFormat="false" ht="15.75" hidden="false" customHeight="false" outlineLevel="0" collapsed="false">
      <c r="A376" s="3" t="n">
        <v>375</v>
      </c>
      <c r="B376" s="4" t="n">
        <v>45598</v>
      </c>
      <c r="C376" s="10" t="str">
        <f aca="false">PROPER(TEXT(WEEKDAY(B376),"dddd"))</f>
        <v>Sábado</v>
      </c>
      <c r="D376" s="11" t="n">
        <v>0.449305555555556</v>
      </c>
      <c r="E376" s="3" t="n">
        <v>375</v>
      </c>
      <c r="F376" s="3" t="n">
        <v>375</v>
      </c>
      <c r="G376" s="3" t="n">
        <v>1</v>
      </c>
      <c r="H376" s="3" t="n">
        <v>1</v>
      </c>
      <c r="I376" s="3" t="n">
        <v>1</v>
      </c>
      <c r="J376" s="3" t="n">
        <v>1</v>
      </c>
      <c r="K376" s="6" t="n">
        <v>17.1</v>
      </c>
      <c r="L376" s="7"/>
      <c r="M376" s="7"/>
      <c r="N376" s="7"/>
      <c r="O376" s="7"/>
      <c r="P376" s="7"/>
      <c r="Q376" s="8"/>
      <c r="Z376" s="9"/>
    </row>
    <row r="377" customFormat="false" ht="15.75" hidden="false" customHeight="false" outlineLevel="0" collapsed="false">
      <c r="A377" s="3" t="n">
        <v>376</v>
      </c>
      <c r="B377" s="4" t="n">
        <v>45598</v>
      </c>
      <c r="C377" s="10" t="str">
        <f aca="false">PROPER(TEXT(WEEKDAY(B377),"dddd"))</f>
        <v>Sábado</v>
      </c>
      <c r="D377" s="11" t="n">
        <v>0.471527777777778</v>
      </c>
      <c r="E377" s="3" t="n">
        <v>376</v>
      </c>
      <c r="F377" s="3" t="n">
        <v>376</v>
      </c>
      <c r="G377" s="3" t="n">
        <v>1</v>
      </c>
      <c r="H377" s="3" t="n">
        <v>1</v>
      </c>
      <c r="I377" s="3" t="n">
        <v>1</v>
      </c>
      <c r="J377" s="3" t="n">
        <v>1</v>
      </c>
      <c r="K377" s="6" t="n">
        <v>29.6</v>
      </c>
      <c r="L377" s="7"/>
      <c r="M377" s="7"/>
      <c r="N377" s="7"/>
      <c r="O377" s="7"/>
      <c r="P377" s="7"/>
      <c r="Q377" s="8"/>
      <c r="Z377" s="9"/>
    </row>
    <row r="378" customFormat="false" ht="15.75" hidden="false" customHeight="false" outlineLevel="0" collapsed="false">
      <c r="A378" s="3" t="n">
        <v>377</v>
      </c>
      <c r="B378" s="4" t="n">
        <v>45598</v>
      </c>
      <c r="C378" s="10" t="str">
        <f aca="false">PROPER(TEXT(WEEKDAY(B378),"dddd"))</f>
        <v>Sábado</v>
      </c>
      <c r="D378" s="11" t="n">
        <v>0.494444444444444</v>
      </c>
      <c r="E378" s="3" t="n">
        <v>377</v>
      </c>
      <c r="F378" s="3" t="n">
        <v>377</v>
      </c>
      <c r="G378" s="3" t="n">
        <v>1</v>
      </c>
      <c r="H378" s="3" t="n">
        <v>1</v>
      </c>
      <c r="I378" s="3" t="n">
        <v>1</v>
      </c>
      <c r="J378" s="3" t="n">
        <v>1</v>
      </c>
      <c r="K378" s="6" t="n">
        <v>29.8</v>
      </c>
      <c r="L378" s="7"/>
      <c r="M378" s="7"/>
      <c r="N378" s="7"/>
      <c r="O378" s="7"/>
      <c r="P378" s="7"/>
      <c r="Q378" s="8"/>
      <c r="Z378" s="9"/>
    </row>
    <row r="379" customFormat="false" ht="15.75" hidden="false" customHeight="false" outlineLevel="0" collapsed="false">
      <c r="A379" s="3" t="n">
        <v>378</v>
      </c>
      <c r="B379" s="4" t="n">
        <v>45598</v>
      </c>
      <c r="C379" s="10" t="str">
        <f aca="false">PROPER(TEXT(WEEKDAY(B379),"dddd"))</f>
        <v>Sábado</v>
      </c>
      <c r="D379" s="11" t="n">
        <v>0.527777777777778</v>
      </c>
      <c r="E379" s="3" t="n">
        <v>378</v>
      </c>
      <c r="F379" s="3" t="n">
        <v>378</v>
      </c>
      <c r="G379" s="3" t="n">
        <v>2</v>
      </c>
      <c r="H379" s="3" t="n">
        <v>1</v>
      </c>
      <c r="I379" s="3" t="n">
        <v>1</v>
      </c>
      <c r="J379" s="3" t="n">
        <v>1</v>
      </c>
      <c r="K379" s="6" t="n">
        <v>27.4</v>
      </c>
      <c r="L379" s="7"/>
      <c r="M379" s="7"/>
      <c r="N379" s="7"/>
      <c r="O379" s="7"/>
      <c r="P379" s="7"/>
      <c r="Q379" s="8"/>
      <c r="Z379" s="9"/>
    </row>
    <row r="380" customFormat="false" ht="15.75" hidden="false" customHeight="false" outlineLevel="0" collapsed="false">
      <c r="A380" s="3" t="n">
        <v>379</v>
      </c>
      <c r="B380" s="4" t="n">
        <v>45598</v>
      </c>
      <c r="C380" s="10" t="str">
        <f aca="false">PROPER(TEXT(WEEKDAY(B380),"dddd"))</f>
        <v>Sábado</v>
      </c>
      <c r="D380" s="11" t="n">
        <v>0.615277777777778</v>
      </c>
      <c r="E380" s="3" t="n">
        <v>379</v>
      </c>
      <c r="F380" s="3" t="n">
        <v>379</v>
      </c>
      <c r="G380" s="3" t="n">
        <v>2</v>
      </c>
      <c r="H380" s="3" t="n">
        <v>1</v>
      </c>
      <c r="I380" s="3" t="n">
        <v>1</v>
      </c>
      <c r="J380" s="3" t="n">
        <v>1</v>
      </c>
      <c r="K380" s="6" t="n">
        <v>20.1</v>
      </c>
      <c r="L380" s="7"/>
      <c r="M380" s="7"/>
      <c r="N380" s="7"/>
      <c r="O380" s="7"/>
      <c r="P380" s="7"/>
      <c r="Q380" s="8"/>
      <c r="Z380" s="9"/>
    </row>
    <row r="381" customFormat="false" ht="15.75" hidden="false" customHeight="false" outlineLevel="0" collapsed="false">
      <c r="A381" s="3" t="n">
        <v>380</v>
      </c>
      <c r="B381" s="4" t="n">
        <v>45598</v>
      </c>
      <c r="C381" s="10" t="str">
        <f aca="false">PROPER(TEXT(WEEKDAY(B381),"dddd"))</f>
        <v>Sábado</v>
      </c>
      <c r="D381" s="11" t="n">
        <v>0.63125</v>
      </c>
      <c r="E381" s="3" t="n">
        <v>380</v>
      </c>
      <c r="F381" s="3" t="n">
        <v>380</v>
      </c>
      <c r="G381" s="3" t="n">
        <v>2</v>
      </c>
      <c r="H381" s="3" t="n">
        <v>1</v>
      </c>
      <c r="I381" s="3" t="n">
        <v>1</v>
      </c>
      <c r="J381" s="3" t="n">
        <v>1</v>
      </c>
      <c r="K381" s="6" t="n">
        <v>25.6</v>
      </c>
      <c r="L381" s="7"/>
      <c r="M381" s="7"/>
      <c r="N381" s="7"/>
      <c r="O381" s="7"/>
      <c r="P381" s="7"/>
      <c r="Q381" s="8"/>
      <c r="Z381" s="9"/>
    </row>
    <row r="382" customFormat="false" ht="15.75" hidden="false" customHeight="false" outlineLevel="0" collapsed="false">
      <c r="A382" s="3" t="n">
        <v>381</v>
      </c>
      <c r="B382" s="4" t="n">
        <v>45598</v>
      </c>
      <c r="C382" s="10" t="str">
        <f aca="false">PROPER(TEXT(WEEKDAY(B382),"dddd"))</f>
        <v>Sábado</v>
      </c>
      <c r="D382" s="11" t="n">
        <v>0.652083333333333</v>
      </c>
      <c r="E382" s="3" t="n">
        <v>381</v>
      </c>
      <c r="F382" s="3" t="n">
        <v>381</v>
      </c>
      <c r="G382" s="3" t="n">
        <v>2</v>
      </c>
      <c r="H382" s="3" t="n">
        <v>1</v>
      </c>
      <c r="I382" s="3" t="n">
        <v>1</v>
      </c>
      <c r="J382" s="3" t="n">
        <v>1</v>
      </c>
      <c r="K382" s="6" t="n">
        <v>37.8</v>
      </c>
      <c r="L382" s="7"/>
      <c r="M382" s="7"/>
      <c r="N382" s="7"/>
      <c r="O382" s="7"/>
      <c r="P382" s="7"/>
      <c r="Q382" s="8"/>
      <c r="Z382" s="9"/>
    </row>
    <row r="383" customFormat="false" ht="15.75" hidden="false" customHeight="false" outlineLevel="0" collapsed="false">
      <c r="A383" s="3" t="n">
        <v>382</v>
      </c>
      <c r="B383" s="4" t="n">
        <v>45598</v>
      </c>
      <c r="C383" s="10" t="str">
        <f aca="false">PROPER(TEXT(WEEKDAY(B383),"dddd"))</f>
        <v>Sábado</v>
      </c>
      <c r="D383" s="11" t="n">
        <v>0.730555555555556</v>
      </c>
      <c r="E383" s="3" t="n">
        <v>382</v>
      </c>
      <c r="F383" s="3" t="n">
        <v>382</v>
      </c>
      <c r="G383" s="3" t="n">
        <v>2</v>
      </c>
      <c r="H383" s="3" t="n">
        <v>1</v>
      </c>
      <c r="I383" s="3" t="n">
        <v>1</v>
      </c>
      <c r="J383" s="3" t="n">
        <v>1</v>
      </c>
      <c r="K383" s="6" t="n">
        <v>8.6</v>
      </c>
      <c r="L383" s="7"/>
      <c r="M383" s="7"/>
      <c r="N383" s="7"/>
      <c r="O383" s="7"/>
      <c r="P383" s="7"/>
      <c r="Q383" s="8"/>
      <c r="Z383" s="9"/>
    </row>
    <row r="384" customFormat="false" ht="15.75" hidden="false" customHeight="false" outlineLevel="0" collapsed="false">
      <c r="A384" s="3" t="n">
        <v>383</v>
      </c>
      <c r="B384" s="4" t="n">
        <v>45599</v>
      </c>
      <c r="C384" s="10" t="str">
        <f aca="false">PROPER(TEXT(WEEKDAY(B384),"dddd"))</f>
        <v>Domingo</v>
      </c>
      <c r="D384" s="11" t="n">
        <v>0.415277777777778</v>
      </c>
      <c r="E384" s="3" t="n">
        <v>383</v>
      </c>
      <c r="F384" s="3" t="n">
        <v>383</v>
      </c>
      <c r="G384" s="3" t="n">
        <v>2</v>
      </c>
      <c r="H384" s="3" t="n">
        <v>1</v>
      </c>
      <c r="I384" s="3" t="n">
        <v>1</v>
      </c>
      <c r="J384" s="3" t="n">
        <v>1</v>
      </c>
      <c r="K384" s="6" t="n">
        <v>37.4</v>
      </c>
      <c r="L384" s="7"/>
      <c r="M384" s="7"/>
      <c r="N384" s="7"/>
      <c r="O384" s="7"/>
      <c r="P384" s="7"/>
      <c r="Q384" s="8"/>
      <c r="Z384" s="9"/>
    </row>
    <row r="385" customFormat="false" ht="15.75" hidden="false" customHeight="false" outlineLevel="0" collapsed="false">
      <c r="A385" s="3" t="n">
        <v>384</v>
      </c>
      <c r="B385" s="4" t="n">
        <v>45599</v>
      </c>
      <c r="C385" s="10" t="str">
        <f aca="false">PROPER(TEXT(WEEKDAY(B385),"dddd"))</f>
        <v>Domingo</v>
      </c>
      <c r="D385" s="11" t="n">
        <v>0.442361111111111</v>
      </c>
      <c r="E385" s="3" t="n">
        <v>384</v>
      </c>
      <c r="F385" s="3" t="n">
        <v>384</v>
      </c>
      <c r="G385" s="3" t="n">
        <v>1</v>
      </c>
      <c r="H385" s="3" t="n">
        <v>1</v>
      </c>
      <c r="I385" s="3" t="n">
        <v>1</v>
      </c>
      <c r="J385" s="3" t="n">
        <v>1</v>
      </c>
      <c r="K385" s="6" t="n">
        <v>22.45</v>
      </c>
      <c r="L385" s="7"/>
      <c r="M385" s="7"/>
      <c r="N385" s="7"/>
      <c r="O385" s="7"/>
      <c r="P385" s="7"/>
      <c r="Q385" s="8"/>
      <c r="Z385" s="9"/>
    </row>
    <row r="386" customFormat="false" ht="15.75" hidden="false" customHeight="false" outlineLevel="0" collapsed="false">
      <c r="A386" s="3" t="n">
        <v>385</v>
      </c>
      <c r="B386" s="4" t="n">
        <v>45599</v>
      </c>
      <c r="C386" s="10" t="str">
        <f aca="false">PROPER(TEXT(WEEKDAY(B386),"dddd"))</f>
        <v>Domingo</v>
      </c>
      <c r="D386" s="11" t="n">
        <v>0.467361111111111</v>
      </c>
      <c r="E386" s="3" t="n">
        <v>385</v>
      </c>
      <c r="F386" s="3" t="n">
        <v>385</v>
      </c>
      <c r="G386" s="3" t="n">
        <v>2</v>
      </c>
      <c r="H386" s="3" t="n">
        <v>1</v>
      </c>
      <c r="I386" s="3" t="n">
        <v>1</v>
      </c>
      <c r="J386" s="3" t="n">
        <v>1</v>
      </c>
      <c r="K386" s="6" t="n">
        <v>22.6</v>
      </c>
      <c r="L386" s="7"/>
      <c r="M386" s="7"/>
      <c r="N386" s="7"/>
      <c r="O386" s="7"/>
      <c r="P386" s="7"/>
      <c r="Q386" s="8"/>
      <c r="Z386" s="9"/>
    </row>
    <row r="387" customFormat="false" ht="15.75" hidden="false" customHeight="false" outlineLevel="0" collapsed="false">
      <c r="A387" s="3" t="n">
        <v>386</v>
      </c>
      <c r="B387" s="4" t="n">
        <v>45599</v>
      </c>
      <c r="C387" s="10" t="str">
        <f aca="false">PROPER(TEXT(WEEKDAY(B387),"dddd"))</f>
        <v>Domingo</v>
      </c>
      <c r="D387" s="11" t="n">
        <v>0.515972222222222</v>
      </c>
      <c r="E387" s="3" t="n">
        <v>386</v>
      </c>
      <c r="F387" s="3" t="n">
        <v>386</v>
      </c>
      <c r="G387" s="3" t="n">
        <v>4</v>
      </c>
      <c r="H387" s="3" t="n">
        <v>1</v>
      </c>
      <c r="I387" s="3" t="n">
        <v>1</v>
      </c>
      <c r="J387" s="3" t="n">
        <v>1</v>
      </c>
      <c r="K387" s="6" t="n">
        <v>2</v>
      </c>
      <c r="L387" s="7"/>
      <c r="M387" s="7"/>
      <c r="N387" s="7"/>
      <c r="O387" s="7"/>
      <c r="P387" s="7"/>
      <c r="Q387" s="8"/>
      <c r="Z387" s="9"/>
    </row>
    <row r="388" customFormat="false" ht="15.75" hidden="false" customHeight="false" outlineLevel="0" collapsed="false">
      <c r="A388" s="3" t="n">
        <v>387</v>
      </c>
      <c r="B388" s="4" t="n">
        <v>45601</v>
      </c>
      <c r="C388" s="10" t="str">
        <f aca="false">PROPER(TEXT(WEEKDAY(B388),"dddd"))</f>
        <v>Terça-Feira</v>
      </c>
      <c r="D388" s="11" t="n">
        <v>0.756944444444444</v>
      </c>
      <c r="E388" s="3" t="n">
        <v>387</v>
      </c>
      <c r="F388" s="3" t="n">
        <v>387</v>
      </c>
      <c r="G388" s="3" t="n">
        <v>2</v>
      </c>
      <c r="H388" s="3" t="n">
        <v>1</v>
      </c>
      <c r="I388" s="3" t="n">
        <v>1</v>
      </c>
      <c r="J388" s="3" t="n">
        <v>1</v>
      </c>
      <c r="K388" s="6" t="n">
        <v>22.7</v>
      </c>
      <c r="L388" s="7"/>
      <c r="M388" s="7"/>
      <c r="N388" s="7"/>
      <c r="O388" s="7"/>
      <c r="P388" s="7"/>
      <c r="Q388" s="8"/>
      <c r="Z388" s="9"/>
    </row>
    <row r="389" customFormat="false" ht="15.75" hidden="false" customHeight="false" outlineLevel="0" collapsed="false">
      <c r="A389" s="3" t="n">
        <v>388</v>
      </c>
      <c r="B389" s="4" t="n">
        <v>45603</v>
      </c>
      <c r="C389" s="10" t="str">
        <f aca="false">PROPER(TEXT(WEEKDAY(B389),"dddd"))</f>
        <v>Quinta-Feira</v>
      </c>
      <c r="D389" s="11" t="n">
        <v>0.722222222222222</v>
      </c>
      <c r="E389" s="3" t="n">
        <v>388</v>
      </c>
      <c r="F389" s="3" t="n">
        <v>388</v>
      </c>
      <c r="G389" s="3" t="n">
        <v>4</v>
      </c>
      <c r="H389" s="3" t="n">
        <v>1</v>
      </c>
      <c r="I389" s="3" t="n">
        <v>1</v>
      </c>
      <c r="J389" s="3" t="n">
        <v>1</v>
      </c>
      <c r="K389" s="6" t="n">
        <v>2</v>
      </c>
      <c r="L389" s="7"/>
      <c r="M389" s="7"/>
      <c r="N389" s="7"/>
      <c r="O389" s="7"/>
      <c r="P389" s="7"/>
      <c r="Q389" s="8"/>
      <c r="Z389" s="9"/>
    </row>
    <row r="390" customFormat="false" ht="15.75" hidden="false" customHeight="false" outlineLevel="0" collapsed="false">
      <c r="A390" s="3" t="n">
        <v>389</v>
      </c>
      <c r="B390" s="4" t="n">
        <v>45603</v>
      </c>
      <c r="C390" s="10" t="str">
        <f aca="false">PROPER(TEXT(WEEKDAY(B390),"dddd"))</f>
        <v>Quinta-Feira</v>
      </c>
      <c r="D390" s="11" t="n">
        <v>0.729861111111111</v>
      </c>
      <c r="E390" s="3" t="n">
        <v>389</v>
      </c>
      <c r="F390" s="3" t="n">
        <v>389</v>
      </c>
      <c r="G390" s="3" t="n">
        <v>1</v>
      </c>
      <c r="H390" s="3" t="n">
        <v>1</v>
      </c>
      <c r="I390" s="3" t="n">
        <v>1</v>
      </c>
      <c r="J390" s="3" t="n">
        <v>1</v>
      </c>
      <c r="K390" s="6" t="n">
        <v>36.7</v>
      </c>
      <c r="L390" s="7"/>
      <c r="M390" s="7"/>
      <c r="N390" s="7"/>
      <c r="O390" s="7"/>
      <c r="P390" s="7"/>
      <c r="Q390" s="8"/>
      <c r="Z390" s="9"/>
    </row>
    <row r="391" customFormat="false" ht="15.75" hidden="false" customHeight="false" outlineLevel="0" collapsed="false">
      <c r="A391" s="3" t="n">
        <v>390</v>
      </c>
      <c r="B391" s="4" t="n">
        <v>45603</v>
      </c>
      <c r="C391" s="10" t="str">
        <f aca="false">PROPER(TEXT(WEEKDAY(B391),"dddd"))</f>
        <v>Quinta-Feira</v>
      </c>
      <c r="D391" s="11" t="n">
        <v>0.763194444444444</v>
      </c>
      <c r="E391" s="3" t="n">
        <v>390</v>
      </c>
      <c r="F391" s="3" t="n">
        <v>390</v>
      </c>
      <c r="G391" s="3" t="n">
        <v>2</v>
      </c>
      <c r="H391" s="3" t="n">
        <v>1</v>
      </c>
      <c r="I391" s="3" t="n">
        <v>1</v>
      </c>
      <c r="J391" s="3" t="n">
        <v>1</v>
      </c>
      <c r="K391" s="6" t="n">
        <v>26</v>
      </c>
      <c r="L391" s="7"/>
      <c r="M391" s="7"/>
      <c r="N391" s="7"/>
      <c r="O391" s="7"/>
      <c r="P391" s="7"/>
      <c r="Q391" s="8"/>
      <c r="Z391" s="9"/>
    </row>
    <row r="392" customFormat="false" ht="15.75" hidden="false" customHeight="false" outlineLevel="0" collapsed="false">
      <c r="A392" s="3" t="n">
        <v>391</v>
      </c>
      <c r="B392" s="4" t="n">
        <v>45603</v>
      </c>
      <c r="C392" s="10" t="str">
        <f aca="false">PROPER(TEXT(WEEKDAY(B392),"dddd"))</f>
        <v>Quinta-Feira</v>
      </c>
      <c r="D392" s="11" t="n">
        <v>0.765277777777778</v>
      </c>
      <c r="E392" s="3" t="n">
        <v>391</v>
      </c>
      <c r="F392" s="3" t="n">
        <v>391</v>
      </c>
      <c r="G392" s="3" t="n">
        <v>3</v>
      </c>
      <c r="H392" s="3" t="n">
        <v>1</v>
      </c>
      <c r="I392" s="3" t="n">
        <v>1</v>
      </c>
      <c r="J392" s="3" t="n">
        <v>1</v>
      </c>
      <c r="K392" s="6" t="n">
        <v>0</v>
      </c>
      <c r="L392" s="7"/>
      <c r="M392" s="7"/>
      <c r="N392" s="7"/>
      <c r="O392" s="7"/>
      <c r="P392" s="7"/>
      <c r="Q392" s="8"/>
      <c r="Z392" s="9"/>
    </row>
    <row r="393" customFormat="false" ht="15.75" hidden="false" customHeight="false" outlineLevel="0" collapsed="false">
      <c r="A393" s="3" t="n">
        <v>392</v>
      </c>
      <c r="B393" s="4" t="n">
        <v>45603</v>
      </c>
      <c r="C393" s="10" t="str">
        <f aca="false">PROPER(TEXT(WEEKDAY(B393),"dddd"))</f>
        <v>Quinta-Feira</v>
      </c>
      <c r="D393" s="11" t="n">
        <v>0.781944444444444</v>
      </c>
      <c r="E393" s="3" t="n">
        <v>392</v>
      </c>
      <c r="F393" s="3" t="n">
        <v>392</v>
      </c>
      <c r="G393" s="3" t="n">
        <v>1</v>
      </c>
      <c r="H393" s="3" t="n">
        <v>1</v>
      </c>
      <c r="I393" s="3" t="n">
        <v>1</v>
      </c>
      <c r="J393" s="3" t="n">
        <v>1</v>
      </c>
      <c r="K393" s="6" t="n">
        <v>12.6</v>
      </c>
      <c r="L393" s="7"/>
      <c r="M393" s="7"/>
      <c r="N393" s="7"/>
      <c r="O393" s="7"/>
      <c r="P393" s="7"/>
      <c r="Q393" s="8"/>
      <c r="Z393" s="9"/>
    </row>
    <row r="394" customFormat="false" ht="15.75" hidden="false" customHeight="false" outlineLevel="0" collapsed="false">
      <c r="A394" s="3" t="n">
        <v>393</v>
      </c>
      <c r="B394" s="4" t="n">
        <v>45603</v>
      </c>
      <c r="C394" s="10" t="str">
        <f aca="false">PROPER(TEXT(WEEKDAY(B394),"dddd"))</f>
        <v>Quinta-Feira</v>
      </c>
      <c r="D394" s="11" t="n">
        <v>0.824305555555556</v>
      </c>
      <c r="E394" s="3" t="n">
        <v>393</v>
      </c>
      <c r="F394" s="3" t="n">
        <v>393</v>
      </c>
      <c r="G394" s="3" t="n">
        <v>1</v>
      </c>
      <c r="H394" s="3" t="n">
        <v>1</v>
      </c>
      <c r="I394" s="3" t="n">
        <v>1</v>
      </c>
      <c r="J394" s="3" t="n">
        <v>1</v>
      </c>
      <c r="K394" s="6" t="n">
        <v>3.6</v>
      </c>
      <c r="L394" s="7"/>
      <c r="M394" s="7"/>
      <c r="N394" s="7"/>
      <c r="O394" s="7"/>
      <c r="P394" s="7"/>
      <c r="Q394" s="8"/>
      <c r="Z394" s="9"/>
    </row>
    <row r="395" customFormat="false" ht="15.75" hidden="false" customHeight="false" outlineLevel="0" collapsed="false">
      <c r="A395" s="3" t="n">
        <v>394</v>
      </c>
      <c r="B395" s="4" t="n">
        <v>45608</v>
      </c>
      <c r="C395" s="10" t="str">
        <f aca="false">PROPER(TEXT(WEEKDAY(B395),"dddd"))</f>
        <v>Terça-Feira</v>
      </c>
      <c r="D395" s="11" t="n">
        <v>0.719444444444444</v>
      </c>
      <c r="E395" s="3" t="n">
        <v>394</v>
      </c>
      <c r="F395" s="3" t="n">
        <v>394</v>
      </c>
      <c r="G395" s="3" t="n">
        <v>1</v>
      </c>
      <c r="H395" s="3" t="n">
        <v>1</v>
      </c>
      <c r="I395" s="3" t="n">
        <v>1</v>
      </c>
      <c r="J395" s="3" t="n">
        <v>1</v>
      </c>
      <c r="K395" s="6" t="n">
        <v>17.31</v>
      </c>
      <c r="L395" s="7"/>
      <c r="M395" s="7"/>
      <c r="N395" s="7"/>
      <c r="O395" s="7"/>
      <c r="P395" s="7"/>
      <c r="Q395" s="8"/>
      <c r="Z395" s="9"/>
    </row>
    <row r="396" customFormat="false" ht="15.75" hidden="false" customHeight="false" outlineLevel="0" collapsed="false">
      <c r="A396" s="3" t="n">
        <v>395</v>
      </c>
      <c r="B396" s="4" t="n">
        <v>45608</v>
      </c>
      <c r="C396" s="10" t="str">
        <f aca="false">PROPER(TEXT(WEEKDAY(B396),"dddd"))</f>
        <v>Terça-Feira</v>
      </c>
      <c r="D396" s="11" t="n">
        <v>0.758333333333333</v>
      </c>
      <c r="E396" s="3" t="n">
        <v>395</v>
      </c>
      <c r="F396" s="3" t="n">
        <v>395</v>
      </c>
      <c r="G396" s="3" t="n">
        <v>2</v>
      </c>
      <c r="H396" s="3" t="n">
        <v>1</v>
      </c>
      <c r="I396" s="3" t="n">
        <v>1</v>
      </c>
      <c r="J396" s="3" t="n">
        <v>1</v>
      </c>
      <c r="K396" s="6" t="n">
        <v>23.05</v>
      </c>
      <c r="L396" s="7"/>
      <c r="M396" s="7"/>
      <c r="N396" s="7"/>
      <c r="O396" s="7"/>
      <c r="P396" s="7"/>
      <c r="Q396" s="8"/>
      <c r="Z396" s="9"/>
    </row>
    <row r="397" customFormat="false" ht="15.75" hidden="false" customHeight="false" outlineLevel="0" collapsed="false">
      <c r="A397" s="3" t="n">
        <v>396</v>
      </c>
      <c r="B397" s="4" t="n">
        <v>45608</v>
      </c>
      <c r="C397" s="10" t="str">
        <f aca="false">PROPER(TEXT(WEEKDAY(B397),"dddd"))</f>
        <v>Terça-Feira</v>
      </c>
      <c r="D397" s="11" t="n">
        <v>0.791666666666667</v>
      </c>
      <c r="E397" s="3" t="n">
        <v>396</v>
      </c>
      <c r="F397" s="3" t="n">
        <v>396</v>
      </c>
      <c r="G397" s="3" t="n">
        <v>2</v>
      </c>
      <c r="H397" s="3" t="n">
        <v>1</v>
      </c>
      <c r="I397" s="3" t="n">
        <v>1</v>
      </c>
      <c r="J397" s="3" t="n">
        <v>1</v>
      </c>
      <c r="K397" s="6" t="n">
        <v>21.9</v>
      </c>
      <c r="L397" s="7"/>
      <c r="M397" s="7"/>
      <c r="N397" s="7"/>
      <c r="O397" s="7"/>
      <c r="P397" s="7"/>
      <c r="Q397" s="8"/>
      <c r="Z397" s="9"/>
    </row>
    <row r="398" customFormat="false" ht="15.75" hidden="false" customHeight="false" outlineLevel="0" collapsed="false">
      <c r="A398" s="3" t="n">
        <v>397</v>
      </c>
      <c r="B398" s="4" t="n">
        <v>45609</v>
      </c>
      <c r="C398" s="10" t="str">
        <f aca="false">PROPER(TEXT(WEEKDAY(B398),"dddd"))</f>
        <v>Quarta-Feira</v>
      </c>
      <c r="D398" s="11" t="n">
        <v>0.731944444444444</v>
      </c>
      <c r="E398" s="3" t="n">
        <v>397</v>
      </c>
      <c r="F398" s="3" t="n">
        <v>397</v>
      </c>
      <c r="G398" s="3" t="n">
        <v>2</v>
      </c>
      <c r="H398" s="3" t="n">
        <v>1</v>
      </c>
      <c r="I398" s="3" t="n">
        <v>1</v>
      </c>
      <c r="J398" s="3" t="n">
        <v>1</v>
      </c>
      <c r="K398" s="6" t="n">
        <v>18.3</v>
      </c>
      <c r="L398" s="7"/>
      <c r="M398" s="7"/>
      <c r="N398" s="7"/>
      <c r="O398" s="7"/>
      <c r="P398" s="7"/>
      <c r="Q398" s="8"/>
      <c r="Z398" s="9"/>
    </row>
    <row r="399" customFormat="false" ht="15.75" hidden="false" customHeight="false" outlineLevel="0" collapsed="false">
      <c r="A399" s="3" t="n">
        <v>398</v>
      </c>
      <c r="B399" s="4" t="n">
        <v>45609</v>
      </c>
      <c r="C399" s="10" t="str">
        <f aca="false">PROPER(TEXT(WEEKDAY(B399),"dddd"))</f>
        <v>Quarta-Feira</v>
      </c>
      <c r="D399" s="11" t="n">
        <v>0.755555555555556</v>
      </c>
      <c r="E399" s="3" t="n">
        <v>398</v>
      </c>
      <c r="F399" s="3" t="n">
        <v>398</v>
      </c>
      <c r="G399" s="3" t="n">
        <v>1</v>
      </c>
      <c r="H399" s="3" t="n">
        <v>1</v>
      </c>
      <c r="I399" s="3" t="n">
        <v>1</v>
      </c>
      <c r="J399" s="3" t="n">
        <v>1</v>
      </c>
      <c r="K399" s="6" t="n">
        <v>7.05</v>
      </c>
      <c r="L399" s="7"/>
      <c r="M399" s="7"/>
      <c r="N399" s="7"/>
      <c r="O399" s="7"/>
      <c r="P399" s="7"/>
      <c r="Q399" s="8"/>
      <c r="Z399" s="9"/>
    </row>
    <row r="400" customFormat="false" ht="15.75" hidden="false" customHeight="false" outlineLevel="0" collapsed="false">
      <c r="A400" s="3" t="n">
        <v>399</v>
      </c>
      <c r="B400" s="4" t="n">
        <v>45609</v>
      </c>
      <c r="C400" s="10" t="str">
        <f aca="false">PROPER(TEXT(WEEKDAY(B400),"dddd"))</f>
        <v>Quarta-Feira</v>
      </c>
      <c r="D400" s="11" t="n">
        <v>0.765972222222222</v>
      </c>
      <c r="E400" s="3" t="n">
        <v>399</v>
      </c>
      <c r="F400" s="3" t="n">
        <v>399</v>
      </c>
      <c r="G400" s="3" t="n">
        <v>2</v>
      </c>
      <c r="H400" s="3" t="n">
        <v>1</v>
      </c>
      <c r="I400" s="3" t="n">
        <v>1</v>
      </c>
      <c r="J400" s="3" t="n">
        <v>1</v>
      </c>
      <c r="K400" s="6" t="n">
        <v>20</v>
      </c>
      <c r="L400" s="7"/>
      <c r="M400" s="7"/>
      <c r="N400" s="7"/>
      <c r="O400" s="7"/>
      <c r="P400" s="7"/>
      <c r="Q400" s="8"/>
      <c r="Z400" s="9"/>
    </row>
    <row r="401" customFormat="false" ht="15.75" hidden="false" customHeight="false" outlineLevel="0" collapsed="false">
      <c r="A401" s="3" t="n">
        <v>400</v>
      </c>
      <c r="B401" s="4" t="n">
        <v>45609</v>
      </c>
      <c r="C401" s="10" t="str">
        <f aca="false">PROPER(TEXT(WEEKDAY(B401),"dddd"))</f>
        <v>Quarta-Feira</v>
      </c>
      <c r="D401" s="11" t="n">
        <v>0.777777777777778</v>
      </c>
      <c r="E401" s="3" t="n">
        <v>400</v>
      </c>
      <c r="F401" s="3" t="n">
        <v>400</v>
      </c>
      <c r="G401" s="3" t="n">
        <v>1</v>
      </c>
      <c r="H401" s="3" t="n">
        <v>1</v>
      </c>
      <c r="I401" s="3" t="n">
        <v>1</v>
      </c>
      <c r="J401" s="3" t="n">
        <v>1</v>
      </c>
      <c r="K401" s="6" t="n">
        <v>11.6</v>
      </c>
      <c r="L401" s="7"/>
      <c r="M401" s="7"/>
      <c r="N401" s="7"/>
      <c r="O401" s="7"/>
      <c r="P401" s="7"/>
      <c r="Q401" s="8"/>
      <c r="Z401" s="9"/>
    </row>
    <row r="402" customFormat="false" ht="15.75" hidden="false" customHeight="false" outlineLevel="0" collapsed="false">
      <c r="A402" s="3" t="n">
        <v>401</v>
      </c>
      <c r="B402" s="4" t="n">
        <v>45609</v>
      </c>
      <c r="C402" s="10" t="str">
        <f aca="false">PROPER(TEXT(WEEKDAY(B402),"dddd"))</f>
        <v>Quarta-Feira</v>
      </c>
      <c r="D402" s="11" t="n">
        <v>0.794444444444444</v>
      </c>
      <c r="E402" s="3" t="n">
        <v>401</v>
      </c>
      <c r="F402" s="3" t="n">
        <v>401</v>
      </c>
      <c r="G402" s="3" t="n">
        <v>1</v>
      </c>
      <c r="H402" s="3" t="n">
        <v>1</v>
      </c>
      <c r="I402" s="3" t="n">
        <v>1</v>
      </c>
      <c r="J402" s="3" t="n">
        <v>1</v>
      </c>
      <c r="K402" s="6" t="n">
        <v>22.35</v>
      </c>
      <c r="L402" s="7"/>
      <c r="M402" s="7"/>
      <c r="N402" s="7"/>
      <c r="O402" s="7"/>
      <c r="P402" s="7"/>
      <c r="Q402" s="8"/>
      <c r="Z402" s="9"/>
    </row>
    <row r="403" customFormat="false" ht="15.75" hidden="false" customHeight="false" outlineLevel="0" collapsed="false">
      <c r="A403" s="3" t="n">
        <v>402</v>
      </c>
      <c r="B403" s="4" t="n">
        <v>45610</v>
      </c>
      <c r="C403" s="10" t="str">
        <f aca="false">PROPER(TEXT(WEEKDAY(B403),"dddd"))</f>
        <v>Quinta-Feira</v>
      </c>
      <c r="D403" s="11" t="n">
        <v>0.744444444444445</v>
      </c>
      <c r="E403" s="3" t="n">
        <v>402</v>
      </c>
      <c r="F403" s="3" t="n">
        <v>402</v>
      </c>
      <c r="G403" s="3" t="n">
        <v>1</v>
      </c>
      <c r="H403" s="3" t="n">
        <v>1</v>
      </c>
      <c r="I403" s="3" t="n">
        <v>1</v>
      </c>
      <c r="J403" s="3" t="n">
        <v>1</v>
      </c>
      <c r="K403" s="6" t="n">
        <v>6</v>
      </c>
      <c r="L403" s="7"/>
      <c r="M403" s="7"/>
      <c r="N403" s="7"/>
      <c r="O403" s="7"/>
      <c r="P403" s="7"/>
      <c r="Q403" s="8"/>
      <c r="Z403" s="9"/>
    </row>
    <row r="404" customFormat="false" ht="15.75" hidden="false" customHeight="false" outlineLevel="0" collapsed="false">
      <c r="A404" s="3" t="n">
        <v>403</v>
      </c>
      <c r="B404" s="4" t="n">
        <v>45610</v>
      </c>
      <c r="C404" s="10" t="str">
        <f aca="false">PROPER(TEXT(WEEKDAY(B404),"dddd"))</f>
        <v>Quinta-Feira</v>
      </c>
      <c r="D404" s="11" t="n">
        <v>0.746527777777778</v>
      </c>
      <c r="E404" s="3" t="n">
        <v>403</v>
      </c>
      <c r="F404" s="3" t="n">
        <v>403</v>
      </c>
      <c r="G404" s="3" t="n">
        <v>1</v>
      </c>
      <c r="H404" s="3" t="n">
        <v>1</v>
      </c>
      <c r="I404" s="3" t="n">
        <v>1</v>
      </c>
      <c r="J404" s="3" t="n">
        <v>1</v>
      </c>
      <c r="K404" s="6" t="n">
        <v>25.85</v>
      </c>
      <c r="L404" s="7"/>
      <c r="M404" s="7"/>
      <c r="N404" s="7"/>
      <c r="O404" s="7"/>
      <c r="P404" s="7"/>
      <c r="Q404" s="8"/>
      <c r="Z404" s="9"/>
    </row>
    <row r="405" customFormat="false" ht="15.75" hidden="false" customHeight="false" outlineLevel="0" collapsed="false">
      <c r="A405" s="3" t="n">
        <v>404</v>
      </c>
      <c r="B405" s="4" t="n">
        <v>45610</v>
      </c>
      <c r="C405" s="10" t="str">
        <f aca="false">PROPER(TEXT(WEEKDAY(B405),"dddd"))</f>
        <v>Quinta-Feira</v>
      </c>
      <c r="D405" s="11" t="n">
        <v>0.776388888888889</v>
      </c>
      <c r="E405" s="3" t="n">
        <v>404</v>
      </c>
      <c r="F405" s="3" t="n">
        <v>404</v>
      </c>
      <c r="G405" s="3" t="n">
        <v>1</v>
      </c>
      <c r="H405" s="3" t="n">
        <v>1</v>
      </c>
      <c r="I405" s="3" t="n">
        <v>1</v>
      </c>
      <c r="J405" s="3" t="n">
        <v>1</v>
      </c>
      <c r="K405" s="6" t="n">
        <v>8.85</v>
      </c>
      <c r="L405" s="7"/>
      <c r="M405" s="7"/>
      <c r="N405" s="7"/>
      <c r="O405" s="7"/>
      <c r="P405" s="7"/>
      <c r="Q405" s="8"/>
      <c r="Z405" s="9"/>
    </row>
    <row r="406" customFormat="false" ht="15.75" hidden="false" customHeight="false" outlineLevel="0" collapsed="false">
      <c r="A406" s="3" t="n">
        <v>405</v>
      </c>
      <c r="B406" s="4" t="n">
        <v>45610</v>
      </c>
      <c r="C406" s="10" t="str">
        <f aca="false">PROPER(TEXT(WEEKDAY(B406),"dddd"))</f>
        <v>Quinta-Feira</v>
      </c>
      <c r="D406" s="11" t="n">
        <v>0.780555555555556</v>
      </c>
      <c r="E406" s="3" t="n">
        <v>405</v>
      </c>
      <c r="F406" s="3" t="n">
        <v>405</v>
      </c>
      <c r="G406" s="3" t="n">
        <v>3</v>
      </c>
      <c r="H406" s="3" t="n">
        <v>1</v>
      </c>
      <c r="I406" s="3" t="n">
        <v>1</v>
      </c>
      <c r="J406" s="3" t="n">
        <v>1</v>
      </c>
      <c r="K406" s="6" t="n">
        <v>0</v>
      </c>
      <c r="L406" s="7"/>
      <c r="M406" s="7"/>
      <c r="N406" s="7"/>
      <c r="O406" s="7"/>
      <c r="P406" s="7"/>
      <c r="Q406" s="8"/>
      <c r="Z406" s="9"/>
    </row>
    <row r="407" customFormat="false" ht="15.75" hidden="false" customHeight="false" outlineLevel="0" collapsed="false">
      <c r="A407" s="3" t="n">
        <v>406</v>
      </c>
      <c r="B407" s="4" t="n">
        <v>45610</v>
      </c>
      <c r="C407" s="10" t="str">
        <f aca="false">PROPER(TEXT(WEEKDAY(B407),"dddd"))</f>
        <v>Quinta-Feira</v>
      </c>
      <c r="D407" s="11" t="n">
        <v>0.781944444444444</v>
      </c>
      <c r="E407" s="3" t="n">
        <v>406</v>
      </c>
      <c r="F407" s="3" t="n">
        <v>406</v>
      </c>
      <c r="G407" s="3" t="n">
        <v>2</v>
      </c>
      <c r="H407" s="3" t="n">
        <v>1</v>
      </c>
      <c r="I407" s="3" t="n">
        <v>1</v>
      </c>
      <c r="J407" s="3" t="n">
        <v>1</v>
      </c>
      <c r="K407" s="6" t="n">
        <v>14.6</v>
      </c>
      <c r="L407" s="7"/>
      <c r="M407" s="7"/>
      <c r="N407" s="7"/>
      <c r="O407" s="7"/>
      <c r="P407" s="7"/>
      <c r="Q407" s="8"/>
      <c r="Z407" s="9"/>
    </row>
    <row r="408" customFormat="false" ht="15.75" hidden="false" customHeight="false" outlineLevel="0" collapsed="false">
      <c r="A408" s="3" t="n">
        <v>407</v>
      </c>
      <c r="B408" s="4" t="n">
        <v>45610</v>
      </c>
      <c r="C408" s="10" t="str">
        <f aca="false">PROPER(TEXT(WEEKDAY(B408),"dddd"))</f>
        <v>Quinta-Feira</v>
      </c>
      <c r="D408" s="11" t="n">
        <v>0.789583333333333</v>
      </c>
      <c r="E408" s="3" t="n">
        <v>407</v>
      </c>
      <c r="F408" s="3" t="n">
        <v>407</v>
      </c>
      <c r="G408" s="3" t="n">
        <v>1</v>
      </c>
      <c r="H408" s="3" t="n">
        <v>1</v>
      </c>
      <c r="I408" s="3" t="n">
        <v>1</v>
      </c>
      <c r="J408" s="3" t="n">
        <v>1</v>
      </c>
      <c r="K408" s="6" t="n">
        <v>7.85</v>
      </c>
      <c r="L408" s="7"/>
      <c r="M408" s="7"/>
      <c r="N408" s="7"/>
      <c r="O408" s="7"/>
      <c r="P408" s="7"/>
      <c r="Q408" s="8"/>
      <c r="Z408" s="9"/>
    </row>
    <row r="409" customFormat="false" ht="15.75" hidden="false" customHeight="false" outlineLevel="0" collapsed="false">
      <c r="A409" s="3" t="n">
        <v>408</v>
      </c>
      <c r="B409" s="4" t="n">
        <v>45610</v>
      </c>
      <c r="C409" s="10" t="str">
        <f aca="false">PROPER(TEXT(WEEKDAY(B409),"dddd"))</f>
        <v>Quinta-Feira</v>
      </c>
      <c r="D409" s="11" t="n">
        <v>0.803472222222222</v>
      </c>
      <c r="E409" s="3" t="n">
        <v>408</v>
      </c>
      <c r="F409" s="3" t="n">
        <v>408</v>
      </c>
      <c r="G409" s="3" t="n">
        <v>1</v>
      </c>
      <c r="H409" s="3" t="n">
        <v>1</v>
      </c>
      <c r="I409" s="3" t="n">
        <v>1</v>
      </c>
      <c r="J409" s="3" t="n">
        <v>1</v>
      </c>
      <c r="K409" s="6" t="n">
        <v>10.1</v>
      </c>
      <c r="L409" s="7"/>
      <c r="M409" s="7"/>
      <c r="N409" s="7"/>
      <c r="O409" s="7"/>
      <c r="P409" s="7"/>
      <c r="Q409" s="8"/>
      <c r="Z409" s="9"/>
    </row>
    <row r="410" customFormat="false" ht="15.75" hidden="false" customHeight="false" outlineLevel="0" collapsed="false">
      <c r="A410" s="3" t="n">
        <v>409</v>
      </c>
      <c r="B410" s="4" t="n">
        <v>45613</v>
      </c>
      <c r="C410" s="10" t="str">
        <f aca="false">PROPER(TEXT(WEEKDAY(B410),"dddd"))</f>
        <v>Domingo</v>
      </c>
      <c r="D410" s="11" t="n">
        <v>0.477777777777778</v>
      </c>
      <c r="E410" s="3" t="n">
        <v>409</v>
      </c>
      <c r="F410" s="3" t="n">
        <v>409</v>
      </c>
      <c r="G410" s="3" t="n">
        <v>1</v>
      </c>
      <c r="H410" s="3" t="n">
        <v>1</v>
      </c>
      <c r="I410" s="3" t="n">
        <v>1</v>
      </c>
      <c r="J410" s="3" t="n">
        <v>1</v>
      </c>
      <c r="K410" s="6" t="n">
        <v>17.55</v>
      </c>
      <c r="L410" s="7"/>
      <c r="M410" s="7"/>
      <c r="N410" s="7"/>
      <c r="O410" s="7"/>
      <c r="P410" s="7"/>
      <c r="Q410" s="8"/>
      <c r="Z410" s="9"/>
    </row>
    <row r="411" customFormat="false" ht="15.75" hidden="false" customHeight="false" outlineLevel="0" collapsed="false">
      <c r="A411" s="3" t="n">
        <v>410</v>
      </c>
      <c r="B411" s="4" t="n">
        <v>45613</v>
      </c>
      <c r="C411" s="10" t="str">
        <f aca="false">PROPER(TEXT(WEEKDAY(B411),"dddd"))</f>
        <v>Domingo</v>
      </c>
      <c r="D411" s="11" t="n">
        <v>0.497916666666667</v>
      </c>
      <c r="E411" s="3" t="n">
        <v>410</v>
      </c>
      <c r="F411" s="3" t="n">
        <v>410</v>
      </c>
      <c r="G411" s="3" t="n">
        <v>2</v>
      </c>
      <c r="H411" s="3" t="n">
        <v>1</v>
      </c>
      <c r="I411" s="3" t="n">
        <v>1</v>
      </c>
      <c r="J411" s="3" t="n">
        <v>1</v>
      </c>
      <c r="K411" s="6" t="n">
        <v>24.2</v>
      </c>
      <c r="L411" s="7"/>
      <c r="M411" s="7"/>
      <c r="N411" s="7"/>
      <c r="O411" s="7"/>
      <c r="P411" s="7"/>
      <c r="Q411" s="8"/>
      <c r="Z411" s="9"/>
    </row>
    <row r="412" customFormat="false" ht="15.75" hidden="false" customHeight="false" outlineLevel="0" collapsed="false">
      <c r="A412" s="3" t="n">
        <v>411</v>
      </c>
      <c r="B412" s="4" t="n">
        <v>45613</v>
      </c>
      <c r="C412" s="10" t="str">
        <f aca="false">PROPER(TEXT(WEEKDAY(B412),"dddd"))</f>
        <v>Domingo</v>
      </c>
      <c r="D412" s="11" t="n">
        <v>0.513194444444444</v>
      </c>
      <c r="E412" s="3" t="n">
        <v>411</v>
      </c>
      <c r="F412" s="3" t="n">
        <v>411</v>
      </c>
      <c r="G412" s="3" t="n">
        <v>2</v>
      </c>
      <c r="H412" s="3" t="n">
        <v>1</v>
      </c>
      <c r="I412" s="3" t="n">
        <v>1</v>
      </c>
      <c r="J412" s="3" t="n">
        <v>1</v>
      </c>
      <c r="K412" s="6" t="n">
        <v>15.5</v>
      </c>
      <c r="L412" s="7"/>
      <c r="M412" s="7"/>
      <c r="N412" s="7"/>
      <c r="O412" s="7"/>
      <c r="P412" s="7"/>
      <c r="Q412" s="8"/>
      <c r="Z412" s="9"/>
    </row>
    <row r="413" customFormat="false" ht="15.75" hidden="false" customHeight="false" outlineLevel="0" collapsed="false">
      <c r="A413" s="3" t="n">
        <v>412</v>
      </c>
      <c r="B413" s="4" t="n">
        <v>45613</v>
      </c>
      <c r="C413" s="10" t="str">
        <f aca="false">PROPER(TEXT(WEEKDAY(B413),"dddd"))</f>
        <v>Domingo</v>
      </c>
      <c r="D413" s="11" t="n">
        <v>0.528472222222222</v>
      </c>
      <c r="E413" s="3" t="n">
        <v>412</v>
      </c>
      <c r="F413" s="3" t="n">
        <v>412</v>
      </c>
      <c r="G413" s="3" t="n">
        <v>2</v>
      </c>
      <c r="H413" s="3" t="n">
        <v>1</v>
      </c>
      <c r="I413" s="3" t="n">
        <v>1</v>
      </c>
      <c r="J413" s="3" t="n">
        <v>1</v>
      </c>
      <c r="K413" s="6" t="n">
        <v>18.3</v>
      </c>
      <c r="L413" s="7"/>
      <c r="M413" s="7"/>
      <c r="N413" s="7"/>
      <c r="O413" s="7"/>
      <c r="P413" s="7"/>
      <c r="Q413" s="8"/>
      <c r="Z413" s="9"/>
    </row>
    <row r="414" customFormat="false" ht="15.75" hidden="false" customHeight="false" outlineLevel="0" collapsed="false">
      <c r="A414" s="3" t="n">
        <v>413</v>
      </c>
      <c r="B414" s="4" t="n">
        <v>45613</v>
      </c>
      <c r="C414" s="10" t="str">
        <f aca="false">PROPER(TEXT(WEEKDAY(B414),"dddd"))</f>
        <v>Domingo</v>
      </c>
      <c r="D414" s="11" t="n">
        <v>0.554861111111111</v>
      </c>
      <c r="E414" s="3" t="n">
        <v>413</v>
      </c>
      <c r="F414" s="3" t="n">
        <v>413</v>
      </c>
      <c r="G414" s="3" t="n">
        <v>2</v>
      </c>
      <c r="H414" s="3" t="n">
        <v>1</v>
      </c>
      <c r="I414" s="3" t="n">
        <v>1</v>
      </c>
      <c r="J414" s="3" t="n">
        <v>1</v>
      </c>
      <c r="K414" s="6" t="n">
        <v>6.8</v>
      </c>
      <c r="L414" s="7"/>
      <c r="M414" s="7"/>
      <c r="N414" s="7"/>
      <c r="O414" s="7"/>
      <c r="P414" s="7"/>
      <c r="Q414" s="8"/>
      <c r="Z414" s="9"/>
    </row>
    <row r="415" customFormat="false" ht="15.75" hidden="false" customHeight="false" outlineLevel="0" collapsed="false">
      <c r="A415" s="3" t="n">
        <v>414</v>
      </c>
      <c r="B415" s="4" t="n">
        <v>45613</v>
      </c>
      <c r="C415" s="10" t="str">
        <f aca="false">PROPER(TEXT(WEEKDAY(B415),"dddd"))</f>
        <v>Domingo</v>
      </c>
      <c r="D415" s="11" t="n">
        <v>0.561111111111111</v>
      </c>
      <c r="E415" s="3" t="n">
        <v>414</v>
      </c>
      <c r="F415" s="3" t="n">
        <v>414</v>
      </c>
      <c r="G415" s="3" t="n">
        <v>2</v>
      </c>
      <c r="H415" s="3" t="n">
        <v>1</v>
      </c>
      <c r="I415" s="3" t="n">
        <v>1</v>
      </c>
      <c r="J415" s="3" t="n">
        <v>1</v>
      </c>
      <c r="K415" s="6" t="n">
        <v>22.55</v>
      </c>
      <c r="L415" s="7"/>
      <c r="M415" s="7"/>
      <c r="N415" s="7"/>
      <c r="O415" s="7"/>
      <c r="P415" s="7"/>
      <c r="Q415" s="8"/>
      <c r="Z415" s="9"/>
    </row>
    <row r="416" customFormat="false" ht="15.75" hidden="false" customHeight="false" outlineLevel="0" collapsed="false">
      <c r="A416" s="3" t="n">
        <v>415</v>
      </c>
      <c r="B416" s="4" t="n">
        <v>45613</v>
      </c>
      <c r="C416" s="10" t="str">
        <f aca="false">PROPER(TEXT(WEEKDAY(B416),"dddd"))</f>
        <v>Domingo</v>
      </c>
      <c r="D416" s="11" t="n">
        <v>0.594444444444444</v>
      </c>
      <c r="E416" s="3" t="n">
        <v>415</v>
      </c>
      <c r="F416" s="3" t="n">
        <v>415</v>
      </c>
      <c r="G416" s="3" t="n">
        <v>1</v>
      </c>
      <c r="H416" s="3" t="n">
        <v>1</v>
      </c>
      <c r="I416" s="3" t="n">
        <v>1</v>
      </c>
      <c r="J416" s="3" t="n">
        <v>1</v>
      </c>
      <c r="K416" s="6" t="n">
        <v>24.1</v>
      </c>
      <c r="L416" s="7"/>
      <c r="M416" s="7"/>
      <c r="N416" s="7"/>
      <c r="O416" s="7"/>
      <c r="P416" s="7"/>
      <c r="Q416" s="8"/>
      <c r="Z416" s="9"/>
    </row>
    <row r="417" customFormat="false" ht="15.75" hidden="false" customHeight="false" outlineLevel="0" collapsed="false">
      <c r="A417" s="3" t="n">
        <v>416</v>
      </c>
      <c r="B417" s="4" t="n">
        <v>45616</v>
      </c>
      <c r="C417" s="10" t="str">
        <f aca="false">PROPER(TEXT(WEEKDAY(B417),"dddd"))</f>
        <v>Quarta-Feira</v>
      </c>
      <c r="D417" s="11" t="n">
        <v>0.495138888888889</v>
      </c>
      <c r="E417" s="3" t="n">
        <v>416</v>
      </c>
      <c r="F417" s="3" t="n">
        <v>416</v>
      </c>
      <c r="G417" s="3" t="n">
        <v>1</v>
      </c>
      <c r="H417" s="3" t="n">
        <v>1</v>
      </c>
      <c r="I417" s="3" t="n">
        <v>1</v>
      </c>
      <c r="J417" s="3" t="n">
        <v>1</v>
      </c>
      <c r="K417" s="6" t="n">
        <v>8.75</v>
      </c>
      <c r="L417" s="7"/>
      <c r="M417" s="7"/>
      <c r="N417" s="7"/>
      <c r="O417" s="7"/>
      <c r="P417" s="7"/>
      <c r="Q417" s="8"/>
      <c r="Z417" s="9"/>
    </row>
    <row r="418" customFormat="false" ht="15.75" hidden="false" customHeight="false" outlineLevel="0" collapsed="false">
      <c r="A418" s="3" t="n">
        <v>417</v>
      </c>
      <c r="B418" s="4" t="n">
        <v>45616</v>
      </c>
      <c r="C418" s="10" t="str">
        <f aca="false">PROPER(TEXT(WEEKDAY(B418),"dddd"))</f>
        <v>Quarta-Feira</v>
      </c>
      <c r="D418" s="11" t="n">
        <v>0.501388888888889</v>
      </c>
      <c r="E418" s="3" t="n">
        <v>417</v>
      </c>
      <c r="F418" s="3" t="n">
        <v>417</v>
      </c>
      <c r="G418" s="3" t="n">
        <v>2</v>
      </c>
      <c r="H418" s="3" t="n">
        <v>1</v>
      </c>
      <c r="I418" s="3" t="n">
        <v>1</v>
      </c>
      <c r="J418" s="3" t="n">
        <v>1</v>
      </c>
      <c r="K418" s="6" t="n">
        <v>3</v>
      </c>
      <c r="L418" s="7"/>
      <c r="M418" s="7"/>
      <c r="N418" s="7"/>
      <c r="O418" s="7"/>
      <c r="P418" s="7"/>
      <c r="Q418" s="8"/>
      <c r="Z418" s="9"/>
    </row>
    <row r="419" customFormat="false" ht="15.75" hidden="false" customHeight="false" outlineLevel="0" collapsed="false">
      <c r="A419" s="3" t="n">
        <v>418</v>
      </c>
      <c r="B419" s="4" t="n">
        <v>45616</v>
      </c>
      <c r="C419" s="10" t="str">
        <f aca="false">PROPER(TEXT(WEEKDAY(B419),"dddd"))</f>
        <v>Quarta-Feira</v>
      </c>
      <c r="D419" s="11" t="n">
        <v>0.509027777777778</v>
      </c>
      <c r="E419" s="3" t="n">
        <v>418</v>
      </c>
      <c r="F419" s="3" t="n">
        <v>418</v>
      </c>
      <c r="G419" s="3" t="n">
        <v>2</v>
      </c>
      <c r="H419" s="3" t="n">
        <v>1</v>
      </c>
      <c r="I419" s="3" t="n">
        <v>1</v>
      </c>
      <c r="J419" s="3" t="n">
        <v>1</v>
      </c>
      <c r="K419" s="6" t="n">
        <v>30.55</v>
      </c>
      <c r="L419" s="7"/>
      <c r="M419" s="7"/>
      <c r="N419" s="7"/>
      <c r="O419" s="7"/>
      <c r="P419" s="7"/>
      <c r="Q419" s="8"/>
      <c r="Z419" s="9"/>
    </row>
    <row r="420" customFormat="false" ht="15.75" hidden="false" customHeight="false" outlineLevel="0" collapsed="false">
      <c r="A420" s="3" t="n">
        <v>419</v>
      </c>
      <c r="B420" s="4" t="n">
        <v>45616</v>
      </c>
      <c r="C420" s="10" t="str">
        <f aca="false">PROPER(TEXT(WEEKDAY(B420),"dddd"))</f>
        <v>Quarta-Feira</v>
      </c>
      <c r="D420" s="11" t="n">
        <v>0.539583333333333</v>
      </c>
      <c r="E420" s="3" t="n">
        <v>419</v>
      </c>
      <c r="F420" s="3" t="n">
        <v>419</v>
      </c>
      <c r="G420" s="3" t="n">
        <v>2</v>
      </c>
      <c r="H420" s="3" t="n">
        <v>1</v>
      </c>
      <c r="I420" s="3" t="n">
        <v>1</v>
      </c>
      <c r="J420" s="3" t="n">
        <v>1</v>
      </c>
      <c r="K420" s="6" t="n">
        <v>32.4</v>
      </c>
      <c r="L420" s="7"/>
      <c r="M420" s="7"/>
      <c r="N420" s="7"/>
      <c r="O420" s="7"/>
      <c r="P420" s="7"/>
      <c r="Q420" s="8"/>
      <c r="Z420" s="9"/>
    </row>
    <row r="421" customFormat="false" ht="15.75" hidden="false" customHeight="false" outlineLevel="0" collapsed="false">
      <c r="A421" s="3" t="n">
        <v>420</v>
      </c>
      <c r="B421" s="4" t="n">
        <v>45616</v>
      </c>
      <c r="C421" s="10" t="str">
        <f aca="false">PROPER(TEXT(WEEKDAY(B421),"dddd"))</f>
        <v>Quarta-Feira</v>
      </c>
      <c r="D421" s="11" t="n">
        <v>0.559722222222222</v>
      </c>
      <c r="E421" s="3" t="n">
        <v>420</v>
      </c>
      <c r="F421" s="3" t="n">
        <v>420</v>
      </c>
      <c r="G421" s="3" t="n">
        <v>1</v>
      </c>
      <c r="H421" s="3" t="n">
        <v>1</v>
      </c>
      <c r="I421" s="3" t="n">
        <v>1</v>
      </c>
      <c r="J421" s="3" t="n">
        <v>1</v>
      </c>
      <c r="K421" s="6" t="n">
        <v>25.5</v>
      </c>
      <c r="L421" s="7"/>
      <c r="M421" s="7"/>
      <c r="N421" s="7"/>
      <c r="O421" s="7"/>
      <c r="P421" s="7"/>
      <c r="Q421" s="8"/>
      <c r="Z421" s="9"/>
    </row>
    <row r="422" customFormat="false" ht="15.75" hidden="false" customHeight="false" outlineLevel="0" collapsed="false">
      <c r="A422" s="3" t="n">
        <v>421</v>
      </c>
      <c r="B422" s="4" t="n">
        <v>45616</v>
      </c>
      <c r="C422" s="10" t="str">
        <f aca="false">PROPER(TEXT(WEEKDAY(B422),"dddd"))</f>
        <v>Quarta-Feira</v>
      </c>
      <c r="D422" s="11" t="n">
        <v>0.605555555555556</v>
      </c>
      <c r="E422" s="3" t="n">
        <v>421</v>
      </c>
      <c r="F422" s="3" t="n">
        <v>421</v>
      </c>
      <c r="G422" s="3" t="n">
        <v>1</v>
      </c>
      <c r="H422" s="3" t="n">
        <v>1</v>
      </c>
      <c r="I422" s="3" t="n">
        <v>1</v>
      </c>
      <c r="J422" s="3" t="n">
        <v>1</v>
      </c>
      <c r="K422" s="6" t="n">
        <v>17.2</v>
      </c>
      <c r="L422" s="7"/>
      <c r="M422" s="7"/>
      <c r="N422" s="7"/>
      <c r="O422" s="7"/>
      <c r="P422" s="7"/>
      <c r="Q422" s="8"/>
      <c r="Z422" s="9"/>
    </row>
    <row r="423" customFormat="false" ht="15.75" hidden="false" customHeight="false" outlineLevel="0" collapsed="false">
      <c r="A423" s="3" t="n">
        <v>422</v>
      </c>
      <c r="B423" s="4" t="n">
        <v>45616</v>
      </c>
      <c r="C423" s="10" t="str">
        <f aca="false">PROPER(TEXT(WEEKDAY(B423),"dddd"))</f>
        <v>Quarta-Feira</v>
      </c>
      <c r="D423" s="11" t="n">
        <v>0.606944444444444</v>
      </c>
      <c r="E423" s="3" t="n">
        <v>422</v>
      </c>
      <c r="F423" s="3" t="n">
        <v>422</v>
      </c>
      <c r="G423" s="3" t="n">
        <v>2</v>
      </c>
      <c r="H423" s="3" t="n">
        <v>1</v>
      </c>
      <c r="I423" s="3" t="n">
        <v>1</v>
      </c>
      <c r="J423" s="3" t="n">
        <v>1</v>
      </c>
      <c r="K423" s="6" t="n">
        <v>10.7</v>
      </c>
      <c r="L423" s="7"/>
      <c r="M423" s="7"/>
      <c r="N423" s="7"/>
      <c r="O423" s="7"/>
      <c r="P423" s="7"/>
      <c r="Q423" s="8"/>
      <c r="Z423" s="9"/>
    </row>
    <row r="424" customFormat="false" ht="15.75" hidden="false" customHeight="false" outlineLevel="0" collapsed="false">
      <c r="A424" s="3" t="n">
        <v>423</v>
      </c>
      <c r="B424" s="4" t="n">
        <v>45616</v>
      </c>
      <c r="C424" s="10" t="str">
        <f aca="false">PROPER(TEXT(WEEKDAY(B424),"dddd"))</f>
        <v>Quarta-Feira</v>
      </c>
      <c r="D424" s="11" t="n">
        <v>0.631944444444444</v>
      </c>
      <c r="E424" s="3" t="n">
        <v>423</v>
      </c>
      <c r="F424" s="3" t="n">
        <v>423</v>
      </c>
      <c r="G424" s="3" t="n">
        <v>1</v>
      </c>
      <c r="H424" s="3" t="n">
        <v>1</v>
      </c>
      <c r="I424" s="3" t="n">
        <v>1</v>
      </c>
      <c r="J424" s="3" t="n">
        <v>1</v>
      </c>
      <c r="K424" s="6" t="n">
        <v>11.55</v>
      </c>
      <c r="L424" s="7"/>
      <c r="M424" s="7"/>
      <c r="N424" s="7"/>
      <c r="O424" s="7"/>
      <c r="P424" s="7"/>
      <c r="Q424" s="8"/>
      <c r="Z424" s="9"/>
    </row>
    <row r="425" customFormat="false" ht="15.75" hidden="false" customHeight="false" outlineLevel="0" collapsed="false">
      <c r="A425" s="3" t="n">
        <v>424</v>
      </c>
      <c r="B425" s="4" t="n">
        <v>45618</v>
      </c>
      <c r="C425" s="10" t="str">
        <f aca="false">PROPER(TEXT(WEEKDAY(B425),"dddd"))</f>
        <v>Sexta-Feira</v>
      </c>
      <c r="D425" s="11" t="n">
        <v>0.75625</v>
      </c>
      <c r="E425" s="3" t="n">
        <v>424</v>
      </c>
      <c r="F425" s="3" t="n">
        <v>424</v>
      </c>
      <c r="G425" s="3" t="n">
        <v>1</v>
      </c>
      <c r="H425" s="3" t="n">
        <v>1</v>
      </c>
      <c r="I425" s="3" t="n">
        <v>1</v>
      </c>
      <c r="J425" s="3" t="n">
        <v>1</v>
      </c>
      <c r="K425" s="6" t="n">
        <v>23.45</v>
      </c>
      <c r="L425" s="7"/>
      <c r="M425" s="7"/>
      <c r="N425" s="7"/>
      <c r="O425" s="7"/>
      <c r="P425" s="7"/>
      <c r="Q425" s="8"/>
      <c r="Z425" s="9"/>
    </row>
    <row r="426" customFormat="false" ht="15.75" hidden="false" customHeight="false" outlineLevel="0" collapsed="false">
      <c r="A426" s="3" t="n">
        <v>425</v>
      </c>
      <c r="B426" s="4" t="n">
        <v>45618</v>
      </c>
      <c r="C426" s="10" t="str">
        <f aca="false">PROPER(TEXT(WEEKDAY(B426),"dddd"))</f>
        <v>Sexta-Feira</v>
      </c>
      <c r="D426" s="11" t="n">
        <v>0.780555555555556</v>
      </c>
      <c r="E426" s="3" t="n">
        <v>425</v>
      </c>
      <c r="F426" s="3" t="n">
        <v>425</v>
      </c>
      <c r="G426" s="3" t="n">
        <v>1</v>
      </c>
      <c r="H426" s="3" t="n">
        <v>1</v>
      </c>
      <c r="I426" s="3" t="n">
        <v>1</v>
      </c>
      <c r="J426" s="3" t="n">
        <v>1</v>
      </c>
      <c r="K426" s="6" t="n">
        <v>4.9</v>
      </c>
      <c r="L426" s="7"/>
      <c r="M426" s="7"/>
      <c r="N426" s="7"/>
      <c r="O426" s="7"/>
      <c r="P426" s="7"/>
      <c r="Q426" s="8"/>
      <c r="Z426" s="9"/>
    </row>
    <row r="427" customFormat="false" ht="15.75" hidden="false" customHeight="false" outlineLevel="0" collapsed="false">
      <c r="A427" s="3" t="n">
        <v>426</v>
      </c>
      <c r="B427" s="4" t="n">
        <v>45618</v>
      </c>
      <c r="C427" s="10" t="str">
        <f aca="false">PROPER(TEXT(WEEKDAY(B427),"dddd"))</f>
        <v>Sexta-Feira</v>
      </c>
      <c r="D427" s="11" t="n">
        <v>0.788888888888889</v>
      </c>
      <c r="E427" s="3" t="n">
        <v>426</v>
      </c>
      <c r="F427" s="3" t="n">
        <v>426</v>
      </c>
      <c r="G427" s="3" t="n">
        <v>2</v>
      </c>
      <c r="H427" s="3" t="n">
        <v>1</v>
      </c>
      <c r="I427" s="3" t="n">
        <v>1</v>
      </c>
      <c r="J427" s="3" t="n">
        <v>1</v>
      </c>
      <c r="K427" s="6" t="n">
        <v>2.95</v>
      </c>
      <c r="L427" s="7"/>
      <c r="M427" s="7"/>
      <c r="N427" s="7"/>
      <c r="O427" s="7"/>
      <c r="P427" s="7"/>
      <c r="Q427" s="8"/>
      <c r="Z427" s="9"/>
    </row>
    <row r="428" customFormat="false" ht="15.75" hidden="false" customHeight="false" outlineLevel="0" collapsed="false">
      <c r="A428" s="3" t="n">
        <v>427</v>
      </c>
      <c r="B428" s="4" t="n">
        <v>45619</v>
      </c>
      <c r="C428" s="10" t="str">
        <f aca="false">PROPER(TEXT(WEEKDAY(B428),"dddd"))</f>
        <v>Sábado</v>
      </c>
      <c r="D428" s="11" t="n">
        <v>0.60625</v>
      </c>
      <c r="E428" s="3" t="n">
        <v>427</v>
      </c>
      <c r="F428" s="3" t="n">
        <v>427</v>
      </c>
      <c r="G428" s="3" t="n">
        <v>2</v>
      </c>
      <c r="H428" s="3" t="n">
        <v>1</v>
      </c>
      <c r="I428" s="3" t="n">
        <v>1</v>
      </c>
      <c r="J428" s="3" t="n">
        <v>1</v>
      </c>
      <c r="K428" s="6" t="n">
        <v>25.35</v>
      </c>
      <c r="L428" s="7"/>
      <c r="M428" s="7"/>
      <c r="N428" s="7"/>
      <c r="O428" s="7"/>
      <c r="P428" s="7"/>
      <c r="Q428" s="8"/>
      <c r="Z428" s="9"/>
    </row>
    <row r="429" customFormat="false" ht="15.75" hidden="false" customHeight="false" outlineLevel="0" collapsed="false">
      <c r="A429" s="3" t="n">
        <v>428</v>
      </c>
      <c r="B429" s="4" t="n">
        <v>45619</v>
      </c>
      <c r="C429" s="10" t="str">
        <f aca="false">PROPER(TEXT(WEEKDAY(B429),"dddd"))</f>
        <v>Sábado</v>
      </c>
      <c r="D429" s="11" t="n">
        <v>0.629861111111111</v>
      </c>
      <c r="E429" s="3" t="n">
        <v>428</v>
      </c>
      <c r="F429" s="3" t="n">
        <v>428</v>
      </c>
      <c r="G429" s="3" t="n">
        <v>2</v>
      </c>
      <c r="H429" s="3" t="n">
        <v>1</v>
      </c>
      <c r="I429" s="3" t="n">
        <v>1</v>
      </c>
      <c r="J429" s="3" t="n">
        <v>1</v>
      </c>
      <c r="K429" s="6" t="n">
        <v>25.35</v>
      </c>
      <c r="L429" s="7"/>
      <c r="M429" s="7"/>
      <c r="N429" s="7"/>
      <c r="O429" s="7"/>
      <c r="P429" s="7"/>
      <c r="Q429" s="8"/>
      <c r="Z429" s="9"/>
    </row>
    <row r="430" customFormat="false" ht="15.75" hidden="false" customHeight="false" outlineLevel="0" collapsed="false">
      <c r="A430" s="3" t="n">
        <v>429</v>
      </c>
      <c r="B430" s="4" t="n">
        <v>45619</v>
      </c>
      <c r="C430" s="10" t="str">
        <f aca="false">PROPER(TEXT(WEEKDAY(B430),"dddd"))</f>
        <v>Sábado</v>
      </c>
      <c r="D430" s="11" t="n">
        <v>0.685416666666667</v>
      </c>
      <c r="E430" s="3" t="n">
        <v>429</v>
      </c>
      <c r="F430" s="3" t="n">
        <v>429</v>
      </c>
      <c r="G430" s="3" t="n">
        <v>2</v>
      </c>
      <c r="H430" s="3" t="n">
        <v>1</v>
      </c>
      <c r="I430" s="3" t="n">
        <v>1</v>
      </c>
      <c r="J430" s="3" t="n">
        <v>1</v>
      </c>
      <c r="K430" s="6" t="n">
        <v>13.5</v>
      </c>
      <c r="L430" s="7"/>
      <c r="M430" s="7"/>
      <c r="N430" s="7"/>
      <c r="O430" s="7"/>
      <c r="P430" s="7"/>
      <c r="Q430" s="8"/>
      <c r="Z430" s="9"/>
    </row>
    <row r="431" customFormat="false" ht="15.75" hidden="false" customHeight="false" outlineLevel="0" collapsed="false">
      <c r="A431" s="3" t="n">
        <v>430</v>
      </c>
      <c r="B431" s="4" t="n">
        <v>45619</v>
      </c>
      <c r="C431" s="10" t="str">
        <f aca="false">PROPER(TEXT(WEEKDAY(B431),"dddd"))</f>
        <v>Sábado</v>
      </c>
      <c r="D431" s="11" t="n">
        <v>0.697916666666667</v>
      </c>
      <c r="E431" s="3" t="n">
        <v>430</v>
      </c>
      <c r="F431" s="3" t="n">
        <v>430</v>
      </c>
      <c r="G431" s="3" t="n">
        <v>2</v>
      </c>
      <c r="H431" s="3" t="n">
        <v>1</v>
      </c>
      <c r="I431" s="3" t="n">
        <v>1</v>
      </c>
      <c r="J431" s="3" t="n">
        <v>1</v>
      </c>
      <c r="K431" s="6" t="n">
        <v>4.65</v>
      </c>
      <c r="L431" s="7"/>
      <c r="M431" s="7"/>
      <c r="N431" s="7"/>
      <c r="O431" s="7"/>
      <c r="P431" s="7"/>
      <c r="Q431" s="8"/>
      <c r="Z431" s="9"/>
    </row>
    <row r="432" customFormat="false" ht="15.75" hidden="false" customHeight="false" outlineLevel="0" collapsed="false">
      <c r="A432" s="3" t="n">
        <v>431</v>
      </c>
      <c r="B432" s="4" t="n">
        <v>45619</v>
      </c>
      <c r="C432" s="10" t="str">
        <f aca="false">PROPER(TEXT(WEEKDAY(B432),"dddd"))</f>
        <v>Sábado</v>
      </c>
      <c r="D432" s="11" t="n">
        <v>0.713194444444445</v>
      </c>
      <c r="E432" s="3" t="n">
        <v>431</v>
      </c>
      <c r="F432" s="3" t="n">
        <v>431</v>
      </c>
      <c r="G432" s="3" t="n">
        <v>1</v>
      </c>
      <c r="H432" s="3" t="n">
        <v>1</v>
      </c>
      <c r="I432" s="3" t="n">
        <v>1</v>
      </c>
      <c r="J432" s="3" t="n">
        <v>1</v>
      </c>
      <c r="K432" s="6" t="n">
        <v>6.7</v>
      </c>
      <c r="L432" s="7"/>
      <c r="M432" s="7"/>
      <c r="N432" s="7"/>
      <c r="O432" s="7"/>
      <c r="P432" s="7"/>
      <c r="Q432" s="8"/>
      <c r="Z432" s="9"/>
    </row>
    <row r="433" customFormat="false" ht="15.75" hidden="false" customHeight="false" outlineLevel="0" collapsed="false">
      <c r="A433" s="3" t="n">
        <v>432</v>
      </c>
      <c r="B433" s="4" t="n">
        <v>45619</v>
      </c>
      <c r="C433" s="10" t="str">
        <f aca="false">PROPER(TEXT(WEEKDAY(B433),"dddd"))</f>
        <v>Sábado</v>
      </c>
      <c r="D433" s="11" t="n">
        <v>0.734027777777778</v>
      </c>
      <c r="E433" s="3" t="n">
        <v>432</v>
      </c>
      <c r="F433" s="3" t="n">
        <v>432</v>
      </c>
      <c r="G433" s="3" t="n">
        <v>2</v>
      </c>
      <c r="H433" s="3" t="n">
        <v>1</v>
      </c>
      <c r="I433" s="3" t="n">
        <v>1</v>
      </c>
      <c r="J433" s="3" t="n">
        <v>1</v>
      </c>
      <c r="K433" s="6" t="n">
        <v>20.05</v>
      </c>
      <c r="L433" s="7"/>
      <c r="M433" s="7"/>
      <c r="N433" s="7"/>
      <c r="O433" s="7"/>
      <c r="P433" s="7"/>
      <c r="Q433" s="8"/>
      <c r="Z433" s="9"/>
    </row>
    <row r="434" customFormat="false" ht="15.75" hidden="false" customHeight="false" outlineLevel="0" collapsed="false">
      <c r="A434" s="3" t="n">
        <v>433</v>
      </c>
      <c r="B434" s="4" t="n">
        <v>45619</v>
      </c>
      <c r="C434" s="10" t="str">
        <f aca="false">PROPER(TEXT(WEEKDAY(B434),"dddd"))</f>
        <v>Sábado</v>
      </c>
      <c r="D434" s="11" t="n">
        <v>0.788888888888889</v>
      </c>
      <c r="E434" s="3" t="n">
        <v>433</v>
      </c>
      <c r="F434" s="3" t="n">
        <v>433</v>
      </c>
      <c r="G434" s="3" t="n">
        <v>1</v>
      </c>
      <c r="H434" s="3" t="n">
        <v>1</v>
      </c>
      <c r="I434" s="3" t="n">
        <v>1</v>
      </c>
      <c r="J434" s="3" t="n">
        <v>1</v>
      </c>
      <c r="K434" s="6" t="n">
        <v>18.3</v>
      </c>
      <c r="L434" s="7"/>
      <c r="M434" s="7"/>
      <c r="N434" s="7"/>
      <c r="O434" s="7"/>
      <c r="P434" s="7"/>
      <c r="Q434" s="8"/>
      <c r="Z434" s="9"/>
    </row>
    <row r="435" customFormat="false" ht="15.75" hidden="false" customHeight="false" outlineLevel="0" collapsed="false">
      <c r="A435" s="3" t="n">
        <v>434</v>
      </c>
      <c r="B435" s="4" t="n">
        <v>45620</v>
      </c>
      <c r="C435" s="10" t="str">
        <f aca="false">PROPER(TEXT(WEEKDAY(B435),"dddd"))</f>
        <v>Domingo</v>
      </c>
      <c r="D435" s="11" t="n">
        <v>0.529166666666667</v>
      </c>
      <c r="E435" s="3" t="n">
        <v>434</v>
      </c>
      <c r="F435" s="3" t="n">
        <v>434</v>
      </c>
      <c r="G435" s="3" t="n">
        <v>2</v>
      </c>
      <c r="H435" s="3" t="n">
        <v>1</v>
      </c>
      <c r="I435" s="3" t="n">
        <v>1</v>
      </c>
      <c r="J435" s="3" t="n">
        <v>1</v>
      </c>
      <c r="K435" s="6" t="n">
        <v>20.95</v>
      </c>
      <c r="L435" s="7"/>
      <c r="M435" s="7"/>
      <c r="N435" s="7"/>
      <c r="O435" s="7"/>
      <c r="P435" s="7"/>
      <c r="Q435" s="8"/>
      <c r="Z435" s="9"/>
    </row>
    <row r="436" customFormat="false" ht="15.75" hidden="false" customHeight="false" outlineLevel="0" collapsed="false">
      <c r="A436" s="3" t="n">
        <v>435</v>
      </c>
      <c r="B436" s="4" t="n">
        <v>45620</v>
      </c>
      <c r="C436" s="10" t="str">
        <f aca="false">PROPER(TEXT(WEEKDAY(B436),"dddd"))</f>
        <v>Domingo</v>
      </c>
      <c r="D436" s="11" t="n">
        <v>0.543055555555556</v>
      </c>
      <c r="E436" s="3" t="n">
        <v>435</v>
      </c>
      <c r="F436" s="3" t="n">
        <v>435</v>
      </c>
      <c r="G436" s="3" t="n">
        <v>1</v>
      </c>
      <c r="H436" s="3" t="n">
        <v>1</v>
      </c>
      <c r="I436" s="3" t="n">
        <v>1</v>
      </c>
      <c r="J436" s="3" t="n">
        <v>1</v>
      </c>
      <c r="K436" s="6" t="n">
        <v>27.3</v>
      </c>
      <c r="L436" s="7"/>
      <c r="M436" s="7"/>
      <c r="N436" s="7"/>
      <c r="O436" s="7"/>
      <c r="P436" s="7"/>
      <c r="Q436" s="8"/>
      <c r="Z436" s="9"/>
    </row>
    <row r="437" customFormat="false" ht="15.75" hidden="false" customHeight="false" outlineLevel="0" collapsed="false">
      <c r="A437" s="3" t="n">
        <v>436</v>
      </c>
      <c r="B437" s="4" t="n">
        <v>45620</v>
      </c>
      <c r="C437" s="10" t="str">
        <f aca="false">PROPER(TEXT(WEEKDAY(B437),"dddd"))</f>
        <v>Domingo</v>
      </c>
      <c r="D437" s="11" t="n">
        <v>0.572916666666667</v>
      </c>
      <c r="E437" s="3" t="n">
        <v>436</v>
      </c>
      <c r="F437" s="3" t="n">
        <v>436</v>
      </c>
      <c r="G437" s="3" t="n">
        <v>1</v>
      </c>
      <c r="H437" s="3" t="n">
        <v>1</v>
      </c>
      <c r="I437" s="3" t="n">
        <v>1</v>
      </c>
      <c r="J437" s="3" t="n">
        <v>1</v>
      </c>
      <c r="K437" s="6" t="n">
        <v>12.8</v>
      </c>
      <c r="L437" s="7"/>
      <c r="M437" s="7"/>
      <c r="N437" s="7"/>
      <c r="O437" s="7"/>
      <c r="P437" s="7"/>
      <c r="Q437" s="8"/>
      <c r="Z437" s="9"/>
    </row>
    <row r="438" customFormat="false" ht="15.75" hidden="false" customHeight="false" outlineLevel="0" collapsed="false">
      <c r="A438" s="3" t="n">
        <v>437</v>
      </c>
      <c r="B438" s="4" t="n">
        <v>45620</v>
      </c>
      <c r="C438" s="10" t="str">
        <f aca="false">PROPER(TEXT(WEEKDAY(B438),"dddd"))</f>
        <v>Domingo</v>
      </c>
      <c r="D438" s="11" t="n">
        <v>0.584722222222222</v>
      </c>
      <c r="E438" s="3" t="n">
        <v>437</v>
      </c>
      <c r="F438" s="3" t="n">
        <v>437</v>
      </c>
      <c r="G438" s="3" t="n">
        <v>2</v>
      </c>
      <c r="H438" s="3" t="n">
        <v>1</v>
      </c>
      <c r="I438" s="3" t="n">
        <v>1</v>
      </c>
      <c r="J438" s="3" t="n">
        <v>1</v>
      </c>
      <c r="K438" s="6" t="n">
        <v>11.3</v>
      </c>
      <c r="L438" s="7"/>
      <c r="M438" s="7"/>
      <c r="N438" s="7"/>
      <c r="O438" s="7"/>
      <c r="P438" s="7"/>
      <c r="Q438" s="8"/>
      <c r="Z438" s="9"/>
    </row>
    <row r="439" customFormat="false" ht="15.75" hidden="false" customHeight="false" outlineLevel="0" collapsed="false">
      <c r="A439" s="3" t="n">
        <v>438</v>
      </c>
      <c r="B439" s="4" t="n">
        <v>45620</v>
      </c>
      <c r="C439" s="10" t="str">
        <f aca="false">PROPER(TEXT(WEEKDAY(B439),"dddd"))</f>
        <v>Domingo</v>
      </c>
      <c r="D439" s="11" t="n">
        <v>0.596527777777778</v>
      </c>
      <c r="E439" s="3" t="n">
        <v>438</v>
      </c>
      <c r="F439" s="3" t="n">
        <v>438</v>
      </c>
      <c r="G439" s="3" t="n">
        <v>1</v>
      </c>
      <c r="H439" s="3" t="n">
        <v>1</v>
      </c>
      <c r="I439" s="3" t="n">
        <v>1</v>
      </c>
      <c r="J439" s="3" t="n">
        <v>1</v>
      </c>
      <c r="K439" s="6" t="n">
        <v>5.05</v>
      </c>
      <c r="L439" s="7"/>
      <c r="M439" s="7"/>
      <c r="N439" s="7"/>
      <c r="O439" s="7"/>
      <c r="P439" s="7"/>
      <c r="Q439" s="8"/>
      <c r="Z439" s="9"/>
    </row>
    <row r="440" customFormat="false" ht="15.75" hidden="false" customHeight="false" outlineLevel="0" collapsed="false">
      <c r="A440" s="3" t="n">
        <v>439</v>
      </c>
      <c r="B440" s="4" t="n">
        <v>45620</v>
      </c>
      <c r="C440" s="10" t="str">
        <f aca="false">PROPER(TEXT(WEEKDAY(B440),"dddd"))</f>
        <v>Domingo</v>
      </c>
      <c r="D440" s="11" t="n">
        <v>0.602777777777778</v>
      </c>
      <c r="E440" s="3" t="n">
        <v>439</v>
      </c>
      <c r="F440" s="3" t="n">
        <v>439</v>
      </c>
      <c r="G440" s="3" t="n">
        <v>2</v>
      </c>
      <c r="H440" s="3" t="n">
        <v>1</v>
      </c>
      <c r="I440" s="3" t="n">
        <v>1</v>
      </c>
      <c r="J440" s="3" t="n">
        <v>1</v>
      </c>
      <c r="K440" s="6" t="n">
        <v>8.6</v>
      </c>
      <c r="L440" s="7"/>
      <c r="M440" s="7"/>
      <c r="N440" s="7"/>
      <c r="O440" s="7"/>
      <c r="P440" s="7"/>
      <c r="Q440" s="8"/>
      <c r="Z440" s="9"/>
    </row>
    <row r="441" customFormat="false" ht="15.75" hidden="false" customHeight="false" outlineLevel="0" collapsed="false">
      <c r="A441" s="3" t="n">
        <v>440</v>
      </c>
      <c r="B441" s="4" t="n">
        <v>45621</v>
      </c>
      <c r="C441" s="10" t="str">
        <f aca="false">PROPER(TEXT(WEEKDAY(B441),"dddd"))</f>
        <v>Segunda-Feira</v>
      </c>
      <c r="D441" s="11" t="n">
        <v>0.257638888888889</v>
      </c>
      <c r="E441" s="3" t="n">
        <v>440</v>
      </c>
      <c r="F441" s="3" t="n">
        <v>440</v>
      </c>
      <c r="G441" s="3" t="n">
        <v>2</v>
      </c>
      <c r="H441" s="3" t="n">
        <v>1</v>
      </c>
      <c r="I441" s="3" t="n">
        <v>1</v>
      </c>
      <c r="J441" s="3" t="n">
        <v>1</v>
      </c>
      <c r="K441" s="6" t="n">
        <v>9.5</v>
      </c>
      <c r="L441" s="7"/>
      <c r="M441" s="7"/>
      <c r="N441" s="7"/>
      <c r="O441" s="7"/>
      <c r="P441" s="7"/>
      <c r="Q441" s="8"/>
      <c r="Z441" s="9"/>
    </row>
    <row r="442" customFormat="false" ht="15.75" hidden="false" customHeight="false" outlineLevel="0" collapsed="false">
      <c r="A442" s="3" t="n">
        <v>441</v>
      </c>
      <c r="B442" s="4" t="n">
        <v>45621</v>
      </c>
      <c r="C442" s="10" t="str">
        <f aca="false">PROPER(TEXT(WEEKDAY(B442),"dddd"))</f>
        <v>Segunda-Feira</v>
      </c>
      <c r="D442" s="11" t="n">
        <v>0.272916666666667</v>
      </c>
      <c r="E442" s="3" t="n">
        <v>441</v>
      </c>
      <c r="F442" s="3" t="n">
        <v>441</v>
      </c>
      <c r="G442" s="3" t="n">
        <v>2</v>
      </c>
      <c r="H442" s="3" t="n">
        <v>1</v>
      </c>
      <c r="I442" s="3" t="n">
        <v>1</v>
      </c>
      <c r="J442" s="3" t="n">
        <v>1</v>
      </c>
      <c r="K442" s="6" t="n">
        <v>6.7</v>
      </c>
      <c r="L442" s="7"/>
      <c r="M442" s="7"/>
      <c r="N442" s="7"/>
      <c r="O442" s="7"/>
      <c r="P442" s="7"/>
      <c r="Q442" s="8"/>
      <c r="Z442" s="9"/>
    </row>
    <row r="443" customFormat="false" ht="15.75" hidden="false" customHeight="false" outlineLevel="0" collapsed="false">
      <c r="A443" s="3" t="n">
        <v>442</v>
      </c>
      <c r="B443" s="4" t="n">
        <v>45621</v>
      </c>
      <c r="C443" s="10" t="str">
        <f aca="false">PROPER(TEXT(WEEKDAY(B443),"dddd"))</f>
        <v>Segunda-Feira</v>
      </c>
      <c r="D443" s="11" t="n">
        <v>0.275694444444444</v>
      </c>
      <c r="E443" s="3" t="n">
        <v>442</v>
      </c>
      <c r="F443" s="3" t="n">
        <v>442</v>
      </c>
      <c r="G443" s="3" t="n">
        <v>2</v>
      </c>
      <c r="H443" s="3" t="n">
        <v>1</v>
      </c>
      <c r="I443" s="3" t="n">
        <v>1</v>
      </c>
      <c r="J443" s="3" t="n">
        <v>1</v>
      </c>
      <c r="K443" s="6" t="n">
        <v>7</v>
      </c>
      <c r="L443" s="7"/>
      <c r="M443" s="7"/>
      <c r="N443" s="7"/>
      <c r="O443" s="7"/>
      <c r="P443" s="7"/>
      <c r="Q443" s="8"/>
      <c r="Z443" s="9"/>
    </row>
    <row r="444" customFormat="false" ht="15.75" hidden="false" customHeight="false" outlineLevel="0" collapsed="false">
      <c r="A444" s="3" t="n">
        <v>443</v>
      </c>
      <c r="B444" s="4" t="n">
        <v>45625</v>
      </c>
      <c r="C444" s="10" t="str">
        <f aca="false">PROPER(TEXT(WEEKDAY(B444),"dddd"))</f>
        <v>Sexta-Feira</v>
      </c>
      <c r="D444" s="11" t="n">
        <v>0.7375</v>
      </c>
      <c r="E444" s="3" t="n">
        <v>443</v>
      </c>
      <c r="F444" s="3" t="n">
        <v>443</v>
      </c>
      <c r="G444" s="3" t="n">
        <v>2</v>
      </c>
      <c r="H444" s="3" t="n">
        <v>1</v>
      </c>
      <c r="I444" s="3" t="n">
        <v>1</v>
      </c>
      <c r="J444" s="3" t="n">
        <v>1</v>
      </c>
      <c r="K444" s="6" t="n">
        <v>4.6</v>
      </c>
      <c r="L444" s="7"/>
      <c r="M444" s="7"/>
      <c r="N444" s="7"/>
      <c r="O444" s="7"/>
      <c r="P444" s="7"/>
      <c r="Q444" s="8"/>
      <c r="Z444" s="9"/>
    </row>
    <row r="445" customFormat="false" ht="15.75" hidden="false" customHeight="false" outlineLevel="0" collapsed="false">
      <c r="A445" s="3" t="n">
        <v>444</v>
      </c>
      <c r="B445" s="4" t="n">
        <v>45625</v>
      </c>
      <c r="C445" s="10" t="str">
        <f aca="false">PROPER(TEXT(WEEKDAY(B445),"dddd"))</f>
        <v>Sexta-Feira</v>
      </c>
      <c r="D445" s="11" t="n">
        <v>0.741666666666667</v>
      </c>
      <c r="E445" s="3" t="n">
        <v>444</v>
      </c>
      <c r="F445" s="3" t="n">
        <v>444</v>
      </c>
      <c r="G445" s="3" t="n">
        <v>4</v>
      </c>
      <c r="H445" s="3" t="n">
        <v>1</v>
      </c>
      <c r="I445" s="3" t="n">
        <v>1</v>
      </c>
      <c r="J445" s="3" t="n">
        <v>1</v>
      </c>
      <c r="K445" s="6" t="n">
        <v>2</v>
      </c>
      <c r="L445" s="7"/>
      <c r="M445" s="7"/>
      <c r="N445" s="7"/>
      <c r="O445" s="7"/>
      <c r="P445" s="7"/>
      <c r="Q445" s="8"/>
      <c r="Z445" s="9"/>
    </row>
    <row r="446" customFormat="false" ht="15.75" hidden="false" customHeight="false" outlineLevel="0" collapsed="false">
      <c r="A446" s="3" t="n">
        <v>445</v>
      </c>
      <c r="B446" s="4" t="n">
        <v>45625</v>
      </c>
      <c r="C446" s="10" t="str">
        <f aca="false">PROPER(TEXT(WEEKDAY(B446),"dddd"))</f>
        <v>Sexta-Feira</v>
      </c>
      <c r="D446" s="11" t="n">
        <v>0.745138888888889</v>
      </c>
      <c r="E446" s="3" t="n">
        <v>445</v>
      </c>
      <c r="F446" s="3" t="n">
        <v>445</v>
      </c>
      <c r="G446" s="3" t="n">
        <v>1</v>
      </c>
      <c r="H446" s="3" t="n">
        <v>1</v>
      </c>
      <c r="I446" s="3" t="n">
        <v>1</v>
      </c>
      <c r="J446" s="3" t="n">
        <v>1</v>
      </c>
      <c r="K446" s="6" t="n">
        <v>33.1</v>
      </c>
      <c r="L446" s="7"/>
      <c r="M446" s="7"/>
      <c r="N446" s="7"/>
      <c r="O446" s="7"/>
      <c r="P446" s="7"/>
      <c r="Q446" s="8"/>
      <c r="Z446" s="9"/>
    </row>
    <row r="447" customFormat="false" ht="15.75" hidden="false" customHeight="false" outlineLevel="0" collapsed="false">
      <c r="A447" s="3" t="n">
        <v>446</v>
      </c>
      <c r="B447" s="4" t="n">
        <v>45625</v>
      </c>
      <c r="C447" s="10" t="str">
        <f aca="false">PROPER(TEXT(WEEKDAY(B447),"dddd"))</f>
        <v>Sexta-Feira</v>
      </c>
      <c r="D447" s="11" t="n">
        <v>0.772916666666667</v>
      </c>
      <c r="E447" s="3" t="n">
        <v>446</v>
      </c>
      <c r="F447" s="3" t="n">
        <v>446</v>
      </c>
      <c r="G447" s="3" t="n">
        <v>2</v>
      </c>
      <c r="H447" s="3" t="n">
        <v>1</v>
      </c>
      <c r="I447" s="3" t="n">
        <v>1</v>
      </c>
      <c r="J447" s="3" t="n">
        <v>1</v>
      </c>
      <c r="K447" s="6" t="n">
        <v>9.8</v>
      </c>
      <c r="L447" s="7"/>
      <c r="M447" s="7"/>
      <c r="N447" s="7"/>
      <c r="O447" s="7"/>
      <c r="P447" s="7"/>
      <c r="Q447" s="8"/>
      <c r="Z447" s="9"/>
    </row>
    <row r="448" customFormat="false" ht="15.75" hidden="false" customHeight="false" outlineLevel="0" collapsed="false">
      <c r="A448" s="3" t="n">
        <v>447</v>
      </c>
      <c r="B448" s="4" t="n">
        <v>45625</v>
      </c>
      <c r="C448" s="10" t="str">
        <f aca="false">PROPER(TEXT(WEEKDAY(B448),"dddd"))</f>
        <v>Sexta-Feira</v>
      </c>
      <c r="D448" s="11" t="n">
        <v>0.78125</v>
      </c>
      <c r="E448" s="3" t="n">
        <v>447</v>
      </c>
      <c r="F448" s="3" t="n">
        <v>447</v>
      </c>
      <c r="G448" s="3" t="n">
        <v>1</v>
      </c>
      <c r="H448" s="3" t="n">
        <v>1</v>
      </c>
      <c r="I448" s="3" t="n">
        <v>1</v>
      </c>
      <c r="J448" s="3" t="n">
        <v>1</v>
      </c>
      <c r="K448" s="6" t="n">
        <v>7.2</v>
      </c>
      <c r="L448" s="7"/>
      <c r="M448" s="7"/>
      <c r="N448" s="7"/>
      <c r="O448" s="7"/>
      <c r="P448" s="7"/>
      <c r="Q448" s="8"/>
      <c r="Z448" s="9"/>
    </row>
    <row r="449" customFormat="false" ht="15.75" hidden="false" customHeight="false" outlineLevel="0" collapsed="false">
      <c r="A449" s="3" t="n">
        <v>448</v>
      </c>
      <c r="B449" s="4" t="n">
        <v>45626</v>
      </c>
      <c r="C449" s="10" t="str">
        <f aca="false">PROPER(TEXT(WEEKDAY(B449),"dddd"))</f>
        <v>Sábado</v>
      </c>
      <c r="D449" s="11" t="n">
        <v>0.363194444444444</v>
      </c>
      <c r="E449" s="3" t="n">
        <v>448</v>
      </c>
      <c r="F449" s="3" t="n">
        <v>448</v>
      </c>
      <c r="G449" s="3" t="n">
        <v>1</v>
      </c>
      <c r="H449" s="3" t="n">
        <v>1</v>
      </c>
      <c r="I449" s="3" t="n">
        <v>1</v>
      </c>
      <c r="J449" s="3" t="n">
        <v>1</v>
      </c>
      <c r="K449" s="6" t="n">
        <v>9.95</v>
      </c>
      <c r="L449" s="7"/>
      <c r="M449" s="7"/>
      <c r="N449" s="7"/>
      <c r="O449" s="7"/>
      <c r="P449" s="7"/>
      <c r="Q449" s="8"/>
      <c r="Z449" s="9"/>
    </row>
    <row r="450" customFormat="false" ht="15.75" hidden="false" customHeight="false" outlineLevel="0" collapsed="false">
      <c r="A450" s="3" t="n">
        <v>449</v>
      </c>
      <c r="B450" s="4" t="n">
        <v>45626</v>
      </c>
      <c r="C450" s="10" t="str">
        <f aca="false">PROPER(TEXT(WEEKDAY(B450),"dddd"))</f>
        <v>Sábado</v>
      </c>
      <c r="D450" s="11" t="n">
        <v>0.379861111111111</v>
      </c>
      <c r="E450" s="3" t="n">
        <v>449</v>
      </c>
      <c r="F450" s="3" t="n">
        <v>449</v>
      </c>
      <c r="G450" s="3" t="n">
        <v>1</v>
      </c>
      <c r="H450" s="3" t="n">
        <v>1</v>
      </c>
      <c r="I450" s="3" t="n">
        <v>1</v>
      </c>
      <c r="J450" s="3" t="n">
        <v>1</v>
      </c>
      <c r="K450" s="6" t="n">
        <v>34.1</v>
      </c>
      <c r="L450" s="7"/>
      <c r="M450" s="7"/>
      <c r="N450" s="7"/>
      <c r="O450" s="7"/>
      <c r="P450" s="7"/>
      <c r="Q450" s="8"/>
      <c r="Z450" s="9"/>
    </row>
    <row r="451" customFormat="false" ht="15.75" hidden="false" customHeight="false" outlineLevel="0" collapsed="false">
      <c r="A451" s="3" t="n">
        <v>450</v>
      </c>
      <c r="B451" s="4" t="n">
        <v>45626</v>
      </c>
      <c r="C451" s="10" t="str">
        <f aca="false">PROPER(TEXT(WEEKDAY(B451),"dddd"))</f>
        <v>Sábado</v>
      </c>
      <c r="D451" s="11" t="n">
        <v>0.411111111111111</v>
      </c>
      <c r="E451" s="3" t="n">
        <v>450</v>
      </c>
      <c r="F451" s="3" t="n">
        <v>450</v>
      </c>
      <c r="G451" s="3" t="n">
        <v>2</v>
      </c>
      <c r="H451" s="3" t="n">
        <v>1</v>
      </c>
      <c r="I451" s="3" t="n">
        <v>1</v>
      </c>
      <c r="J451" s="3" t="n">
        <v>1</v>
      </c>
      <c r="K451" s="6" t="n">
        <v>23.95</v>
      </c>
      <c r="L451" s="7"/>
      <c r="M451" s="7"/>
      <c r="N451" s="7"/>
      <c r="O451" s="7"/>
      <c r="P451" s="7"/>
      <c r="Q451" s="8"/>
      <c r="Z451" s="9"/>
    </row>
    <row r="452" customFormat="false" ht="15.75" hidden="false" customHeight="false" outlineLevel="0" collapsed="false">
      <c r="A452" s="3" t="n">
        <v>451</v>
      </c>
      <c r="B452" s="4" t="n">
        <v>45626</v>
      </c>
      <c r="C452" s="10" t="str">
        <f aca="false">PROPER(TEXT(WEEKDAY(B452),"dddd"))</f>
        <v>Sábado</v>
      </c>
      <c r="D452" s="11" t="n">
        <v>0.434027777777778</v>
      </c>
      <c r="E452" s="3" t="n">
        <v>451</v>
      </c>
      <c r="F452" s="3" t="n">
        <v>451</v>
      </c>
      <c r="G452" s="3" t="n">
        <v>4</v>
      </c>
      <c r="H452" s="3" t="n">
        <v>1</v>
      </c>
      <c r="I452" s="3" t="n">
        <v>1</v>
      </c>
      <c r="J452" s="3" t="n">
        <v>1</v>
      </c>
      <c r="K452" s="6" t="n">
        <v>2</v>
      </c>
      <c r="L452" s="7"/>
      <c r="M452" s="7"/>
      <c r="N452" s="7"/>
      <c r="O452" s="7"/>
      <c r="P452" s="7"/>
      <c r="Q452" s="8"/>
      <c r="Z452" s="9"/>
    </row>
    <row r="453" customFormat="false" ht="15.75" hidden="false" customHeight="false" outlineLevel="0" collapsed="false">
      <c r="A453" s="3" t="n">
        <v>452</v>
      </c>
      <c r="B453" s="4" t="n">
        <v>45626</v>
      </c>
      <c r="C453" s="10" t="str">
        <f aca="false">PROPER(TEXT(WEEKDAY(B453),"dddd"))</f>
        <v>Sábado</v>
      </c>
      <c r="D453" s="11" t="n">
        <v>0.477777777777778</v>
      </c>
      <c r="E453" s="3" t="n">
        <v>452</v>
      </c>
      <c r="F453" s="3" t="n">
        <v>452</v>
      </c>
      <c r="G453" s="3" t="n">
        <v>2</v>
      </c>
      <c r="H453" s="3" t="n">
        <v>1</v>
      </c>
      <c r="I453" s="3" t="n">
        <v>1</v>
      </c>
      <c r="J453" s="3" t="n">
        <v>1</v>
      </c>
      <c r="K453" s="6" t="n">
        <v>11</v>
      </c>
      <c r="L453" s="7"/>
      <c r="M453" s="7"/>
      <c r="N453" s="7"/>
      <c r="O453" s="7"/>
      <c r="P453" s="7"/>
      <c r="Q453" s="8"/>
      <c r="Z453" s="9"/>
    </row>
    <row r="454" customFormat="false" ht="15.75" hidden="false" customHeight="false" outlineLevel="0" collapsed="false">
      <c r="A454" s="3" t="n">
        <v>453</v>
      </c>
      <c r="B454" s="4" t="n">
        <v>45626</v>
      </c>
      <c r="C454" s="10" t="str">
        <f aca="false">PROPER(TEXT(WEEKDAY(B454),"dddd"))</f>
        <v>Sábado</v>
      </c>
      <c r="D454" s="11" t="n">
        <v>0.488194444444444</v>
      </c>
      <c r="E454" s="3" t="n">
        <v>453</v>
      </c>
      <c r="F454" s="3" t="n">
        <v>453</v>
      </c>
      <c r="G454" s="3" t="n">
        <v>2</v>
      </c>
      <c r="H454" s="3" t="n">
        <v>1</v>
      </c>
      <c r="I454" s="3" t="n">
        <v>1</v>
      </c>
      <c r="J454" s="3" t="n">
        <v>1</v>
      </c>
      <c r="K454" s="6" t="n">
        <v>20.7</v>
      </c>
      <c r="L454" s="7"/>
      <c r="M454" s="7"/>
      <c r="N454" s="7"/>
      <c r="O454" s="7"/>
      <c r="P454" s="7"/>
      <c r="Q454" s="8"/>
      <c r="Z454" s="9"/>
    </row>
    <row r="455" customFormat="false" ht="15.75" hidden="false" customHeight="false" outlineLevel="0" collapsed="false">
      <c r="A455" s="3" t="n">
        <v>454</v>
      </c>
      <c r="B455" s="4" t="n">
        <v>45626</v>
      </c>
      <c r="C455" s="10" t="str">
        <f aca="false">PROPER(TEXT(WEEKDAY(B455),"dddd"))</f>
        <v>Sábado</v>
      </c>
      <c r="D455" s="11" t="n">
        <v>0.511111111111111</v>
      </c>
      <c r="E455" s="3" t="n">
        <v>454</v>
      </c>
      <c r="F455" s="3" t="n">
        <v>454</v>
      </c>
      <c r="G455" s="3" t="n">
        <v>1</v>
      </c>
      <c r="H455" s="3" t="n">
        <v>1</v>
      </c>
      <c r="I455" s="3" t="n">
        <v>1</v>
      </c>
      <c r="J455" s="3" t="n">
        <v>1</v>
      </c>
      <c r="K455" s="6" t="n">
        <v>22.05</v>
      </c>
      <c r="L455" s="7"/>
      <c r="M455" s="7"/>
      <c r="N455" s="7"/>
      <c r="O455" s="7"/>
      <c r="P455" s="7"/>
      <c r="Q455" s="8"/>
      <c r="Z455" s="9"/>
    </row>
    <row r="456" customFormat="false" ht="15.75" hidden="false" customHeight="false" outlineLevel="0" collapsed="false">
      <c r="A456" s="3" t="n">
        <v>455</v>
      </c>
      <c r="B456" s="4" t="n">
        <v>45626</v>
      </c>
      <c r="C456" s="10" t="str">
        <f aca="false">PROPER(TEXT(WEEKDAY(B456),"dddd"))</f>
        <v>Sábado</v>
      </c>
      <c r="D456" s="11" t="n">
        <v>0.533333333333333</v>
      </c>
      <c r="E456" s="3" t="n">
        <v>455</v>
      </c>
      <c r="F456" s="3" t="n">
        <v>455</v>
      </c>
      <c r="G456" s="3" t="n">
        <v>2</v>
      </c>
      <c r="H456" s="3" t="n">
        <v>1</v>
      </c>
      <c r="I456" s="3" t="n">
        <v>1</v>
      </c>
      <c r="J456" s="3" t="n">
        <v>1</v>
      </c>
      <c r="K456" s="6" t="n">
        <v>19.8</v>
      </c>
      <c r="L456" s="7"/>
      <c r="M456" s="7"/>
      <c r="N456" s="7"/>
      <c r="O456" s="7"/>
      <c r="P456" s="7"/>
      <c r="Q456" s="8"/>
      <c r="Z456" s="9"/>
    </row>
    <row r="457" customFormat="false" ht="15.75" hidden="false" customHeight="false" outlineLevel="0" collapsed="false">
      <c r="A457" s="3" t="n">
        <v>456</v>
      </c>
      <c r="B457" s="4" t="n">
        <v>45626</v>
      </c>
      <c r="C457" s="10" t="str">
        <f aca="false">PROPER(TEXT(WEEKDAY(B457),"dddd"))</f>
        <v>Sábado</v>
      </c>
      <c r="D457" s="11" t="n">
        <v>0.554861111111111</v>
      </c>
      <c r="E457" s="3" t="n">
        <v>456</v>
      </c>
      <c r="F457" s="3" t="n">
        <v>456</v>
      </c>
      <c r="G457" s="3" t="n">
        <v>1</v>
      </c>
      <c r="H457" s="3" t="n">
        <v>1</v>
      </c>
      <c r="I457" s="3" t="n">
        <v>1</v>
      </c>
      <c r="J457" s="3" t="n">
        <v>1</v>
      </c>
      <c r="K457" s="6" t="n">
        <v>12.95</v>
      </c>
      <c r="L457" s="7"/>
      <c r="M457" s="7"/>
      <c r="N457" s="7"/>
      <c r="O457" s="7"/>
      <c r="P457" s="7"/>
      <c r="Q457" s="8"/>
      <c r="Z457" s="9"/>
    </row>
    <row r="458" customFormat="false" ht="15.75" hidden="false" customHeight="false" outlineLevel="0" collapsed="false">
      <c r="A458" s="3" t="n">
        <v>457</v>
      </c>
      <c r="B458" s="4" t="n">
        <v>45626</v>
      </c>
      <c r="C458" s="10" t="str">
        <f aca="false">PROPER(TEXT(WEEKDAY(B458),"dddd"))</f>
        <v>Sábado</v>
      </c>
      <c r="D458" s="11" t="n">
        <v>0.656944444444444</v>
      </c>
      <c r="E458" s="3" t="n">
        <v>457</v>
      </c>
      <c r="F458" s="3" t="n">
        <v>457</v>
      </c>
      <c r="G458" s="3" t="n">
        <v>1</v>
      </c>
      <c r="H458" s="3" t="n">
        <v>1</v>
      </c>
      <c r="I458" s="3" t="n">
        <v>1</v>
      </c>
      <c r="J458" s="3" t="n">
        <v>1</v>
      </c>
      <c r="K458" s="6" t="n">
        <v>17.1</v>
      </c>
      <c r="L458" s="7"/>
      <c r="M458" s="7"/>
      <c r="N458" s="7"/>
      <c r="O458" s="7"/>
      <c r="P458" s="7"/>
      <c r="Q458" s="8"/>
      <c r="Z458" s="9"/>
    </row>
    <row r="459" customFormat="false" ht="15.75" hidden="false" customHeight="false" outlineLevel="0" collapsed="false">
      <c r="A459" s="3" t="n">
        <v>458</v>
      </c>
      <c r="B459" s="4" t="n">
        <v>45626</v>
      </c>
      <c r="C459" s="10" t="str">
        <f aca="false">PROPER(TEXT(WEEKDAY(B459),"dddd"))</f>
        <v>Sábado</v>
      </c>
      <c r="D459" s="11" t="n">
        <v>0.665277777777778</v>
      </c>
      <c r="E459" s="3" t="n">
        <v>458</v>
      </c>
      <c r="F459" s="3" t="n">
        <v>458</v>
      </c>
      <c r="G459" s="3" t="n">
        <v>2</v>
      </c>
      <c r="H459" s="3" t="n">
        <v>1</v>
      </c>
      <c r="I459" s="3" t="n">
        <v>1</v>
      </c>
      <c r="J459" s="3" t="n">
        <v>1</v>
      </c>
      <c r="K459" s="6" t="n">
        <v>35.5</v>
      </c>
      <c r="L459" s="7"/>
      <c r="M459" s="7"/>
      <c r="N459" s="7"/>
      <c r="O459" s="7"/>
      <c r="P459" s="7"/>
      <c r="Q459" s="8"/>
      <c r="Z459" s="9"/>
    </row>
    <row r="460" customFormat="false" ht="15.75" hidden="false" customHeight="false" outlineLevel="0" collapsed="false">
      <c r="A460" s="3" t="n">
        <v>459</v>
      </c>
      <c r="B460" s="4" t="n">
        <v>45626</v>
      </c>
      <c r="C460" s="10" t="str">
        <f aca="false">PROPER(TEXT(WEEKDAY(B460),"dddd"))</f>
        <v>Sábado</v>
      </c>
      <c r="D460" s="11" t="n">
        <v>0.697916666666667</v>
      </c>
      <c r="E460" s="3" t="n">
        <v>459</v>
      </c>
      <c r="F460" s="3" t="n">
        <v>459</v>
      </c>
      <c r="G460" s="3" t="n">
        <v>1</v>
      </c>
      <c r="H460" s="3" t="n">
        <v>1</v>
      </c>
      <c r="I460" s="3" t="n">
        <v>1</v>
      </c>
      <c r="J460" s="3" t="n">
        <v>1</v>
      </c>
      <c r="K460" s="6" t="n">
        <v>4.9</v>
      </c>
      <c r="L460" s="7"/>
      <c r="M460" s="7"/>
      <c r="N460" s="7"/>
      <c r="O460" s="7"/>
      <c r="P460" s="7"/>
      <c r="Q460" s="8"/>
      <c r="Z460" s="9"/>
    </row>
    <row r="461" customFormat="false" ht="15.75" hidden="false" customHeight="false" outlineLevel="0" collapsed="false">
      <c r="A461" s="3" t="n">
        <v>460</v>
      </c>
      <c r="B461" s="4" t="n">
        <v>45626</v>
      </c>
      <c r="C461" s="10" t="str">
        <f aca="false">PROPER(TEXT(WEEKDAY(B461),"dddd"))</f>
        <v>Sábado</v>
      </c>
      <c r="D461" s="11" t="n">
        <v>0.705555555555556</v>
      </c>
      <c r="E461" s="3" t="n">
        <v>460</v>
      </c>
      <c r="F461" s="3" t="n">
        <v>460</v>
      </c>
      <c r="G461" s="3" t="n">
        <v>2</v>
      </c>
      <c r="H461" s="3" t="n">
        <v>1</v>
      </c>
      <c r="I461" s="3" t="n">
        <v>1</v>
      </c>
      <c r="J461" s="3" t="n">
        <v>1</v>
      </c>
      <c r="K461" s="6" t="n">
        <v>14.2</v>
      </c>
      <c r="L461" s="7"/>
      <c r="M461" s="7"/>
      <c r="N461" s="7"/>
      <c r="O461" s="7"/>
      <c r="P461" s="7"/>
      <c r="Q461" s="8"/>
      <c r="Z461" s="9"/>
    </row>
    <row r="462" customFormat="false" ht="15.75" hidden="false" customHeight="false" outlineLevel="0" collapsed="false">
      <c r="A462" s="3" t="n">
        <v>461</v>
      </c>
      <c r="B462" s="4" t="n">
        <v>45626</v>
      </c>
      <c r="C462" s="10" t="str">
        <f aca="false">PROPER(TEXT(WEEKDAY(B462),"dddd"))</f>
        <v>Sábado</v>
      </c>
      <c r="D462" s="11" t="n">
        <v>0.722916666666667</v>
      </c>
      <c r="E462" s="3" t="n">
        <v>461</v>
      </c>
      <c r="F462" s="3" t="n">
        <v>461</v>
      </c>
      <c r="G462" s="3" t="n">
        <v>1</v>
      </c>
      <c r="H462" s="3" t="n">
        <v>1</v>
      </c>
      <c r="I462" s="3" t="n">
        <v>1</v>
      </c>
      <c r="J462" s="3" t="n">
        <v>1</v>
      </c>
      <c r="K462" s="6" t="n">
        <v>28</v>
      </c>
      <c r="L462" s="7"/>
      <c r="M462" s="7"/>
      <c r="N462" s="7"/>
      <c r="O462" s="7"/>
      <c r="P462" s="7"/>
      <c r="Q462" s="8"/>
      <c r="Z462" s="9"/>
    </row>
    <row r="463" customFormat="false" ht="15.75" hidden="false" customHeight="false" outlineLevel="0" collapsed="false">
      <c r="A463" s="3" t="n">
        <v>462</v>
      </c>
      <c r="B463" s="4" t="n">
        <v>45626</v>
      </c>
      <c r="C463" s="10" t="str">
        <f aca="false">PROPER(TEXT(WEEKDAY(B463),"dddd"))</f>
        <v>Sábado</v>
      </c>
      <c r="D463" s="11" t="n">
        <v>0.752777777777778</v>
      </c>
      <c r="E463" s="3" t="n">
        <v>462</v>
      </c>
      <c r="F463" s="3" t="n">
        <v>462</v>
      </c>
      <c r="G463" s="3" t="n">
        <v>1</v>
      </c>
      <c r="H463" s="3" t="n">
        <v>1</v>
      </c>
      <c r="I463" s="3" t="n">
        <v>1</v>
      </c>
      <c r="J463" s="3" t="n">
        <v>1</v>
      </c>
      <c r="K463" s="6" t="n">
        <v>18.35</v>
      </c>
      <c r="L463" s="7"/>
      <c r="M463" s="7"/>
      <c r="N463" s="7"/>
      <c r="O463" s="7"/>
      <c r="P463" s="7"/>
      <c r="Q463" s="8"/>
      <c r="Z463" s="9"/>
    </row>
    <row r="464" customFormat="false" ht="15.75" hidden="false" customHeight="false" outlineLevel="0" collapsed="false">
      <c r="A464" s="3" t="n">
        <v>463</v>
      </c>
      <c r="B464" s="4" t="n">
        <v>45626</v>
      </c>
      <c r="C464" s="10" t="str">
        <f aca="false">PROPER(TEXT(WEEKDAY(B464),"dddd"))</f>
        <v>Sábado</v>
      </c>
      <c r="D464" s="11" t="n">
        <v>0.768055555555556</v>
      </c>
      <c r="E464" s="3" t="n">
        <v>463</v>
      </c>
      <c r="F464" s="3" t="n">
        <v>463</v>
      </c>
      <c r="G464" s="3" t="n">
        <v>1</v>
      </c>
      <c r="H464" s="3" t="n">
        <v>1</v>
      </c>
      <c r="I464" s="3" t="n">
        <v>1</v>
      </c>
      <c r="J464" s="3" t="n">
        <v>1</v>
      </c>
      <c r="K464" s="6" t="n">
        <v>4.25</v>
      </c>
      <c r="L464" s="7"/>
      <c r="M464" s="7"/>
      <c r="N464" s="7"/>
      <c r="O464" s="7"/>
      <c r="P464" s="7"/>
      <c r="Q464" s="8"/>
      <c r="Z464" s="9"/>
    </row>
    <row r="465" customFormat="false" ht="15.75" hidden="false" customHeight="false" outlineLevel="0" collapsed="false">
      <c r="A465" s="3" t="n">
        <v>464</v>
      </c>
      <c r="B465" s="4" t="n">
        <v>45626</v>
      </c>
      <c r="C465" s="10" t="str">
        <f aca="false">PROPER(TEXT(WEEKDAY(B465),"dddd"))</f>
        <v>Sábado</v>
      </c>
      <c r="D465" s="11" t="n">
        <v>0.777083333333333</v>
      </c>
      <c r="E465" s="3" t="n">
        <v>464</v>
      </c>
      <c r="F465" s="3" t="n">
        <v>464</v>
      </c>
      <c r="G465" s="3" t="n">
        <v>1</v>
      </c>
      <c r="H465" s="3" t="n">
        <v>1</v>
      </c>
      <c r="I465" s="3" t="n">
        <v>1</v>
      </c>
      <c r="J465" s="3" t="n">
        <v>1</v>
      </c>
      <c r="K465" s="6" t="n">
        <v>4.25</v>
      </c>
      <c r="L465" s="7"/>
      <c r="M465" s="7"/>
      <c r="N465" s="7"/>
      <c r="O465" s="7"/>
      <c r="P465" s="7"/>
      <c r="Q465" s="8"/>
      <c r="Z465" s="9"/>
    </row>
    <row r="466" customFormat="false" ht="15.75" hidden="false" customHeight="false" outlineLevel="0" collapsed="false">
      <c r="A466" s="3" t="n">
        <v>465</v>
      </c>
      <c r="B466" s="4" t="n">
        <v>45626</v>
      </c>
      <c r="C466" s="10" t="str">
        <f aca="false">PROPER(TEXT(WEEKDAY(B466),"dddd"))</f>
        <v>Sábado</v>
      </c>
      <c r="D466" s="11" t="n">
        <v>0.780555555555556</v>
      </c>
      <c r="E466" s="3" t="n">
        <v>465</v>
      </c>
      <c r="F466" s="3" t="n">
        <v>465</v>
      </c>
      <c r="G466" s="3" t="n">
        <v>2</v>
      </c>
      <c r="H466" s="3" t="n">
        <v>1</v>
      </c>
      <c r="I466" s="3" t="n">
        <v>1</v>
      </c>
      <c r="J466" s="3" t="n">
        <v>1</v>
      </c>
      <c r="K466" s="6" t="n">
        <v>16.8</v>
      </c>
      <c r="L466" s="7"/>
      <c r="M466" s="7"/>
      <c r="N466" s="7"/>
      <c r="O466" s="7"/>
      <c r="P466" s="7"/>
      <c r="Q466" s="8"/>
      <c r="Z466" s="9"/>
    </row>
    <row r="467" customFormat="false" ht="15.75" hidden="false" customHeight="false" outlineLevel="0" collapsed="false">
      <c r="A467" s="3" t="n">
        <v>466</v>
      </c>
      <c r="B467" s="4" t="n">
        <v>45626</v>
      </c>
      <c r="C467" s="10" t="str">
        <f aca="false">PROPER(TEXT(WEEKDAY(B467),"dddd"))</f>
        <v>Sábado</v>
      </c>
      <c r="D467" s="11" t="n">
        <v>0.8</v>
      </c>
      <c r="E467" s="3" t="n">
        <v>466</v>
      </c>
      <c r="F467" s="3" t="n">
        <v>466</v>
      </c>
      <c r="G467" s="3" t="n">
        <v>1</v>
      </c>
      <c r="H467" s="3" t="n">
        <v>1</v>
      </c>
      <c r="I467" s="3" t="n">
        <v>1</v>
      </c>
      <c r="J467" s="3" t="n">
        <v>1</v>
      </c>
      <c r="K467" s="6" t="n">
        <v>10.9</v>
      </c>
      <c r="L467" s="7"/>
      <c r="M467" s="7"/>
      <c r="N467" s="7"/>
      <c r="O467" s="7"/>
      <c r="P467" s="7"/>
      <c r="Q467" s="8"/>
      <c r="Z467" s="9"/>
    </row>
    <row r="468" customFormat="false" ht="15.75" hidden="false" customHeight="false" outlineLevel="0" collapsed="false">
      <c r="A468" s="3" t="n">
        <v>467</v>
      </c>
      <c r="B468" s="4" t="n">
        <v>45626</v>
      </c>
      <c r="C468" s="10" t="str">
        <f aca="false">PROPER(TEXT(WEEKDAY(B468),"dddd"))</f>
        <v>Sábado</v>
      </c>
      <c r="D468" s="11" t="n">
        <v>0.815972222222222</v>
      </c>
      <c r="E468" s="3" t="n">
        <v>467</v>
      </c>
      <c r="F468" s="3" t="n">
        <v>467</v>
      </c>
      <c r="G468" s="3" t="n">
        <v>2</v>
      </c>
      <c r="H468" s="3" t="n">
        <v>1</v>
      </c>
      <c r="I468" s="3" t="n">
        <v>1</v>
      </c>
      <c r="J468" s="3" t="n">
        <v>1</v>
      </c>
      <c r="K468" s="6" t="n">
        <v>25.8</v>
      </c>
      <c r="L468" s="7"/>
      <c r="M468" s="7"/>
      <c r="N468" s="7"/>
      <c r="O468" s="7"/>
      <c r="P468" s="7"/>
      <c r="Q468" s="8"/>
      <c r="Z468" s="9"/>
    </row>
    <row r="469" customFormat="false" ht="15.75" hidden="false" customHeight="false" outlineLevel="0" collapsed="false">
      <c r="A469" s="3" t="n">
        <v>468</v>
      </c>
      <c r="B469" s="4" t="n">
        <v>45626</v>
      </c>
      <c r="C469" s="10" t="str">
        <f aca="false">PROPER(TEXT(WEEKDAY(B469),"dddd"))</f>
        <v>Sábado</v>
      </c>
      <c r="D469" s="11" t="n">
        <v>0.838194444444445</v>
      </c>
      <c r="E469" s="3" t="n">
        <v>468</v>
      </c>
      <c r="F469" s="3" t="n">
        <v>468</v>
      </c>
      <c r="G469" s="3" t="n">
        <v>2</v>
      </c>
      <c r="H469" s="3" t="n">
        <v>1</v>
      </c>
      <c r="I469" s="3" t="n">
        <v>1</v>
      </c>
      <c r="J469" s="3" t="n">
        <v>1</v>
      </c>
      <c r="K469" s="6" t="n">
        <v>9.4</v>
      </c>
      <c r="L469" s="7"/>
      <c r="M469" s="7"/>
      <c r="N469" s="7"/>
      <c r="O469" s="7"/>
      <c r="P469" s="7"/>
      <c r="Q469" s="8"/>
      <c r="Z469" s="9"/>
    </row>
    <row r="470" customFormat="false" ht="15.75" hidden="false" customHeight="false" outlineLevel="0" collapsed="false">
      <c r="A470" s="3" t="n">
        <v>469</v>
      </c>
      <c r="B470" s="4" t="n">
        <v>45627</v>
      </c>
      <c r="C470" s="10" t="str">
        <f aca="false">PROPER(TEXT(WEEKDAY(B470),"dddd"))</f>
        <v>Domingo</v>
      </c>
      <c r="D470" s="11" t="n">
        <v>0.560416666666667</v>
      </c>
      <c r="E470" s="3" t="n">
        <v>469</v>
      </c>
      <c r="F470" s="3" t="n">
        <v>469</v>
      </c>
      <c r="G470" s="3" t="n">
        <v>2</v>
      </c>
      <c r="H470" s="3" t="n">
        <v>1</v>
      </c>
      <c r="I470" s="3" t="n">
        <v>1</v>
      </c>
      <c r="J470" s="3" t="n">
        <v>1</v>
      </c>
      <c r="K470" s="6" t="n">
        <v>19.4</v>
      </c>
      <c r="L470" s="7"/>
      <c r="M470" s="7"/>
      <c r="N470" s="7"/>
      <c r="O470" s="7"/>
      <c r="P470" s="7"/>
      <c r="Q470" s="8"/>
      <c r="Z470" s="9"/>
    </row>
    <row r="471" customFormat="false" ht="15.75" hidden="false" customHeight="false" outlineLevel="0" collapsed="false">
      <c r="A471" s="3" t="n">
        <v>470</v>
      </c>
      <c r="B471" s="4" t="n">
        <v>45627</v>
      </c>
      <c r="C471" s="10" t="str">
        <f aca="false">PROPER(TEXT(WEEKDAY(B471),"dddd"))</f>
        <v>Domingo</v>
      </c>
      <c r="D471" s="11" t="n">
        <v>0.58125</v>
      </c>
      <c r="E471" s="3" t="n">
        <v>470</v>
      </c>
      <c r="F471" s="3" t="n">
        <v>470</v>
      </c>
      <c r="G471" s="3" t="n">
        <v>2</v>
      </c>
      <c r="H471" s="3" t="n">
        <v>1</v>
      </c>
      <c r="I471" s="3" t="n">
        <v>1</v>
      </c>
      <c r="J471" s="3" t="n">
        <v>1</v>
      </c>
      <c r="K471" s="6" t="n">
        <v>14.05</v>
      </c>
      <c r="L471" s="7"/>
      <c r="M471" s="7"/>
      <c r="N471" s="7"/>
      <c r="O471" s="7"/>
      <c r="P471" s="7"/>
      <c r="Q471" s="8"/>
      <c r="Z471" s="9"/>
    </row>
    <row r="472" customFormat="false" ht="15.75" hidden="false" customHeight="false" outlineLevel="0" collapsed="false">
      <c r="A472" s="3" t="n">
        <v>471</v>
      </c>
      <c r="B472" s="4" t="n">
        <v>45627</v>
      </c>
      <c r="C472" s="10" t="str">
        <f aca="false">PROPER(TEXT(WEEKDAY(B472),"dddd"))</f>
        <v>Domingo</v>
      </c>
      <c r="D472" s="11" t="n">
        <v>0.590277777777778</v>
      </c>
      <c r="E472" s="3" t="n">
        <v>471</v>
      </c>
      <c r="F472" s="3" t="n">
        <v>471</v>
      </c>
      <c r="G472" s="3" t="n">
        <v>1</v>
      </c>
      <c r="H472" s="3" t="n">
        <v>1</v>
      </c>
      <c r="I472" s="3" t="n">
        <v>1</v>
      </c>
      <c r="J472" s="3" t="n">
        <v>1</v>
      </c>
      <c r="K472" s="6" t="n">
        <v>20.05</v>
      </c>
      <c r="L472" s="7"/>
      <c r="M472" s="7"/>
      <c r="N472" s="7"/>
      <c r="O472" s="7"/>
      <c r="P472" s="7"/>
      <c r="Q472" s="8"/>
      <c r="Z472" s="9"/>
    </row>
    <row r="473" customFormat="false" ht="15.75" hidden="false" customHeight="false" outlineLevel="0" collapsed="false">
      <c r="A473" s="3" t="n">
        <v>472</v>
      </c>
      <c r="B473" s="4" t="n">
        <v>45627</v>
      </c>
      <c r="C473" s="10" t="str">
        <f aca="false">PROPER(TEXT(WEEKDAY(B473),"dddd"))</f>
        <v>Domingo</v>
      </c>
      <c r="D473" s="11" t="n">
        <v>0.610416666666667</v>
      </c>
      <c r="E473" s="3" t="n">
        <v>472</v>
      </c>
      <c r="F473" s="3" t="n">
        <v>472</v>
      </c>
      <c r="G473" s="3" t="n">
        <v>2</v>
      </c>
      <c r="H473" s="3" t="n">
        <v>1</v>
      </c>
      <c r="I473" s="3" t="n">
        <v>1</v>
      </c>
      <c r="J473" s="3" t="n">
        <v>1</v>
      </c>
      <c r="K473" s="6" t="n">
        <v>27.1</v>
      </c>
      <c r="L473" s="7"/>
      <c r="M473" s="7"/>
      <c r="N473" s="7"/>
      <c r="O473" s="7"/>
      <c r="P473" s="7"/>
      <c r="Q473" s="8"/>
      <c r="Z473" s="9"/>
    </row>
    <row r="474" customFormat="false" ht="15.75" hidden="false" customHeight="false" outlineLevel="0" collapsed="false">
      <c r="A474" s="3" t="n">
        <v>473</v>
      </c>
      <c r="B474" s="4" t="n">
        <v>45627</v>
      </c>
      <c r="C474" s="10" t="str">
        <f aca="false">PROPER(TEXT(WEEKDAY(B474),"dddd"))</f>
        <v>Domingo</v>
      </c>
      <c r="D474" s="11" t="n">
        <v>0.630555555555556</v>
      </c>
      <c r="E474" s="3" t="n">
        <v>473</v>
      </c>
      <c r="F474" s="3" t="n">
        <v>473</v>
      </c>
      <c r="G474" s="3" t="n">
        <v>2</v>
      </c>
      <c r="H474" s="3" t="n">
        <v>1</v>
      </c>
      <c r="I474" s="3" t="n">
        <v>1</v>
      </c>
      <c r="J474" s="3" t="n">
        <v>1</v>
      </c>
      <c r="K474" s="6" t="n">
        <v>23</v>
      </c>
      <c r="L474" s="7"/>
      <c r="M474" s="7"/>
      <c r="N474" s="7"/>
      <c r="O474" s="7"/>
      <c r="P474" s="7"/>
      <c r="Q474" s="8"/>
      <c r="Z474" s="9"/>
    </row>
    <row r="475" customFormat="false" ht="15.75" hidden="false" customHeight="false" outlineLevel="0" collapsed="false">
      <c r="A475" s="3" t="n">
        <v>474</v>
      </c>
      <c r="B475" s="4" t="n">
        <v>45627</v>
      </c>
      <c r="C475" s="10" t="str">
        <f aca="false">PROPER(TEXT(WEEKDAY(B475),"dddd"))</f>
        <v>Domingo</v>
      </c>
      <c r="D475" s="11" t="n">
        <v>0.654861111111111</v>
      </c>
      <c r="E475" s="3" t="n">
        <v>474</v>
      </c>
      <c r="F475" s="3" t="n">
        <v>474</v>
      </c>
      <c r="G475" s="3" t="n">
        <v>2</v>
      </c>
      <c r="H475" s="3" t="n">
        <v>1</v>
      </c>
      <c r="I475" s="3" t="n">
        <v>1</v>
      </c>
      <c r="J475" s="3" t="n">
        <v>1</v>
      </c>
      <c r="K475" s="6" t="n">
        <v>9.8</v>
      </c>
      <c r="L475" s="7"/>
      <c r="M475" s="7"/>
      <c r="N475" s="7"/>
      <c r="O475" s="7"/>
      <c r="P475" s="7"/>
      <c r="Q475" s="8"/>
      <c r="Z475" s="9"/>
    </row>
    <row r="476" customFormat="false" ht="15.75" hidden="false" customHeight="false" outlineLevel="0" collapsed="false">
      <c r="A476" s="3" t="n">
        <v>475</v>
      </c>
      <c r="B476" s="4" t="n">
        <v>45627</v>
      </c>
      <c r="C476" s="10" t="str">
        <f aca="false">PROPER(TEXT(WEEKDAY(B476),"dddd"))</f>
        <v>Domingo</v>
      </c>
      <c r="D476" s="11" t="n">
        <v>0.664583333333333</v>
      </c>
      <c r="E476" s="3" t="n">
        <v>475</v>
      </c>
      <c r="F476" s="3" t="n">
        <v>475</v>
      </c>
      <c r="G476" s="3" t="n">
        <v>2</v>
      </c>
      <c r="H476" s="3" t="n">
        <v>1</v>
      </c>
      <c r="I476" s="3" t="n">
        <v>1</v>
      </c>
      <c r="J476" s="3" t="n">
        <v>1</v>
      </c>
      <c r="K476" s="6" t="n">
        <v>8.5</v>
      </c>
      <c r="L476" s="7"/>
      <c r="M476" s="7"/>
      <c r="N476" s="7"/>
      <c r="O476" s="7"/>
      <c r="P476" s="7"/>
      <c r="Q476" s="8"/>
      <c r="Z476" s="9"/>
    </row>
    <row r="477" customFormat="false" ht="15.75" hidden="false" customHeight="false" outlineLevel="0" collapsed="false">
      <c r="A477" s="3" t="n">
        <v>476</v>
      </c>
      <c r="B477" s="4" t="n">
        <v>45627</v>
      </c>
      <c r="C477" s="10" t="str">
        <f aca="false">PROPER(TEXT(WEEKDAY(B477),"dddd"))</f>
        <v>Domingo</v>
      </c>
      <c r="D477" s="11" t="n">
        <v>0.665972222222222</v>
      </c>
      <c r="E477" s="3" t="n">
        <v>476</v>
      </c>
      <c r="F477" s="3" t="n">
        <v>476</v>
      </c>
      <c r="G477" s="3" t="n">
        <v>5</v>
      </c>
      <c r="H477" s="3" t="n">
        <v>1</v>
      </c>
      <c r="I477" s="3" t="n">
        <v>1</v>
      </c>
      <c r="J477" s="3" t="n">
        <v>1</v>
      </c>
      <c r="K477" s="6" t="n">
        <v>0</v>
      </c>
      <c r="L477" s="7"/>
      <c r="M477" s="7"/>
      <c r="N477" s="7"/>
      <c r="O477" s="7"/>
      <c r="P477" s="7"/>
      <c r="Q477" s="8"/>
      <c r="Z477" s="9"/>
    </row>
    <row r="478" customFormat="false" ht="15.75" hidden="false" customHeight="false" outlineLevel="0" collapsed="false">
      <c r="A478" s="3" t="n">
        <v>477</v>
      </c>
      <c r="B478" s="4" t="n">
        <v>45628</v>
      </c>
      <c r="C478" s="10" t="str">
        <f aca="false">PROPER(TEXT(WEEKDAY(B478),"dddd"))</f>
        <v>Segunda-Feira</v>
      </c>
      <c r="D478" s="11" t="n">
        <v>0.784722222222222</v>
      </c>
      <c r="E478" s="3" t="n">
        <v>477</v>
      </c>
      <c r="F478" s="3" t="n">
        <v>477</v>
      </c>
      <c r="G478" s="3" t="n">
        <v>2</v>
      </c>
      <c r="H478" s="3" t="n">
        <v>1</v>
      </c>
      <c r="I478" s="3" t="n">
        <v>1</v>
      </c>
      <c r="J478" s="3" t="n">
        <v>1</v>
      </c>
      <c r="K478" s="6" t="n">
        <v>23.8</v>
      </c>
      <c r="L478" s="7"/>
      <c r="M478" s="7"/>
      <c r="N478" s="7"/>
      <c r="O478" s="7"/>
      <c r="P478" s="7"/>
      <c r="Q478" s="8"/>
      <c r="Z478" s="9"/>
    </row>
    <row r="479" customFormat="false" ht="15.75" hidden="false" customHeight="false" outlineLevel="0" collapsed="false">
      <c r="A479" s="3" t="n">
        <v>478</v>
      </c>
      <c r="B479" s="4" t="n">
        <v>45628</v>
      </c>
      <c r="C479" s="10" t="str">
        <f aca="false">PROPER(TEXT(WEEKDAY(B479),"dddd"))</f>
        <v>Segunda-Feira</v>
      </c>
      <c r="D479" s="11" t="n">
        <v>0.806944444444445</v>
      </c>
      <c r="E479" s="3" t="n">
        <v>478</v>
      </c>
      <c r="F479" s="3" t="n">
        <v>478</v>
      </c>
      <c r="G479" s="3" t="n">
        <v>1</v>
      </c>
      <c r="H479" s="3" t="n">
        <v>1</v>
      </c>
      <c r="I479" s="3" t="n">
        <v>1</v>
      </c>
      <c r="J479" s="3" t="n">
        <v>1</v>
      </c>
      <c r="K479" s="6" t="n">
        <v>31.8</v>
      </c>
      <c r="L479" s="7"/>
      <c r="M479" s="7"/>
      <c r="N479" s="7"/>
      <c r="O479" s="7"/>
      <c r="P479" s="7"/>
      <c r="Q479" s="8"/>
      <c r="Z479" s="9"/>
    </row>
    <row r="480" customFormat="false" ht="15.75" hidden="false" customHeight="false" outlineLevel="0" collapsed="false">
      <c r="A480" s="3" t="n">
        <v>479</v>
      </c>
      <c r="B480" s="4" t="n">
        <v>45630</v>
      </c>
      <c r="C480" s="10" t="str">
        <f aca="false">PROPER(TEXT(WEEKDAY(B480),"dddd"))</f>
        <v>Quarta-Feira</v>
      </c>
      <c r="D480" s="11" t="n">
        <v>0.730555555555556</v>
      </c>
      <c r="E480" s="3" t="n">
        <v>479</v>
      </c>
      <c r="F480" s="3" t="n">
        <v>479</v>
      </c>
      <c r="G480" s="3" t="n">
        <v>1</v>
      </c>
      <c r="H480" s="3" t="n">
        <v>1</v>
      </c>
      <c r="I480" s="3" t="n">
        <v>1</v>
      </c>
      <c r="J480" s="3" t="n">
        <v>1</v>
      </c>
      <c r="K480" s="6" t="n">
        <v>27.8</v>
      </c>
      <c r="L480" s="7"/>
      <c r="M480" s="7"/>
      <c r="N480" s="7"/>
      <c r="O480" s="7"/>
      <c r="P480" s="7"/>
      <c r="Q480" s="8"/>
      <c r="Z480" s="9"/>
    </row>
    <row r="481" customFormat="false" ht="15.75" hidden="false" customHeight="false" outlineLevel="0" collapsed="false">
      <c r="A481" s="3" t="n">
        <v>480</v>
      </c>
      <c r="B481" s="4" t="n">
        <v>45630</v>
      </c>
      <c r="C481" s="10" t="str">
        <f aca="false">PROPER(TEXT(WEEKDAY(B481),"dddd"))</f>
        <v>Quarta-Feira</v>
      </c>
      <c r="D481" s="11" t="n">
        <v>0.759722222222222</v>
      </c>
      <c r="E481" s="3" t="n">
        <v>480</v>
      </c>
      <c r="F481" s="3" t="n">
        <v>480</v>
      </c>
      <c r="G481" s="3" t="n">
        <v>2</v>
      </c>
      <c r="H481" s="3" t="n">
        <v>1</v>
      </c>
      <c r="I481" s="3" t="n">
        <v>1</v>
      </c>
      <c r="J481" s="3" t="n">
        <v>1</v>
      </c>
      <c r="K481" s="6" t="n">
        <v>27.3</v>
      </c>
      <c r="L481" s="7"/>
      <c r="M481" s="7"/>
      <c r="N481" s="7"/>
      <c r="O481" s="7"/>
      <c r="P481" s="7"/>
      <c r="Q481" s="8"/>
      <c r="Z481" s="9"/>
    </row>
    <row r="482" customFormat="false" ht="15.75" hidden="false" customHeight="false" outlineLevel="0" collapsed="false">
      <c r="A482" s="3" t="n">
        <v>481</v>
      </c>
      <c r="B482" s="4" t="n">
        <v>45630</v>
      </c>
      <c r="C482" s="10" t="str">
        <f aca="false">PROPER(TEXT(WEEKDAY(B482),"dddd"))</f>
        <v>Quarta-Feira</v>
      </c>
      <c r="D482" s="11" t="n">
        <v>0.821527777777778</v>
      </c>
      <c r="E482" s="3" t="n">
        <v>481</v>
      </c>
      <c r="F482" s="3" t="n">
        <v>481</v>
      </c>
      <c r="G482" s="3" t="n">
        <v>2</v>
      </c>
      <c r="H482" s="3" t="n">
        <v>1</v>
      </c>
      <c r="I482" s="3" t="n">
        <v>1</v>
      </c>
      <c r="J482" s="3" t="n">
        <v>1</v>
      </c>
      <c r="K482" s="6" t="n">
        <v>9.7</v>
      </c>
      <c r="L482" s="7"/>
      <c r="M482" s="7"/>
      <c r="N482" s="7"/>
      <c r="O482" s="7"/>
      <c r="P482" s="7"/>
      <c r="Q482" s="8"/>
      <c r="Z482" s="9"/>
    </row>
    <row r="483" customFormat="false" ht="15.75" hidden="false" customHeight="false" outlineLevel="0" collapsed="false">
      <c r="A483" s="3" t="n">
        <v>482</v>
      </c>
      <c r="B483" s="4" t="n">
        <v>45631</v>
      </c>
      <c r="C483" s="10" t="str">
        <f aca="false">PROPER(TEXT(WEEKDAY(B483),"dddd"))</f>
        <v>Quinta-Feira</v>
      </c>
      <c r="D483" s="11" t="n">
        <v>0.755555555555556</v>
      </c>
      <c r="E483" s="3" t="n">
        <v>482</v>
      </c>
      <c r="F483" s="3" t="n">
        <v>482</v>
      </c>
      <c r="G483" s="3" t="n">
        <v>2</v>
      </c>
      <c r="H483" s="3" t="n">
        <v>1</v>
      </c>
      <c r="I483" s="3" t="n">
        <v>1</v>
      </c>
      <c r="J483" s="3" t="n">
        <v>1</v>
      </c>
      <c r="K483" s="6" t="n">
        <v>11.8</v>
      </c>
      <c r="L483" s="7"/>
      <c r="M483" s="7"/>
      <c r="N483" s="7"/>
      <c r="O483" s="7"/>
      <c r="P483" s="7"/>
      <c r="Q483" s="8"/>
      <c r="Z483" s="9"/>
    </row>
    <row r="484" customFormat="false" ht="15.75" hidden="false" customHeight="false" outlineLevel="0" collapsed="false">
      <c r="A484" s="3" t="n">
        <v>483</v>
      </c>
      <c r="B484" s="4" t="n">
        <v>45631</v>
      </c>
      <c r="C484" s="10" t="str">
        <f aca="false">PROPER(TEXT(WEEKDAY(B484),"dddd"))</f>
        <v>Quinta-Feira</v>
      </c>
      <c r="D484" s="11" t="n">
        <v>0.763194444444444</v>
      </c>
      <c r="E484" s="3" t="n">
        <v>483</v>
      </c>
      <c r="F484" s="3" t="n">
        <v>483</v>
      </c>
      <c r="G484" s="3" t="n">
        <v>1</v>
      </c>
      <c r="H484" s="3" t="n">
        <v>1</v>
      </c>
      <c r="I484" s="3" t="n">
        <v>1</v>
      </c>
      <c r="J484" s="3" t="n">
        <v>1</v>
      </c>
      <c r="K484" s="6" t="n">
        <v>8.4</v>
      </c>
      <c r="L484" s="7"/>
      <c r="M484" s="7"/>
      <c r="N484" s="7"/>
      <c r="O484" s="7"/>
      <c r="P484" s="7"/>
      <c r="Q484" s="8"/>
      <c r="Z484" s="9"/>
    </row>
    <row r="485" customFormat="false" ht="15.75" hidden="false" customHeight="false" outlineLevel="0" collapsed="false">
      <c r="A485" s="3" t="n">
        <v>484</v>
      </c>
      <c r="B485" s="4" t="n">
        <v>45631</v>
      </c>
      <c r="C485" s="10" t="str">
        <f aca="false">PROPER(TEXT(WEEKDAY(B485),"dddd"))</f>
        <v>Quinta-Feira</v>
      </c>
      <c r="D485" s="11" t="n">
        <v>0.769444444444445</v>
      </c>
      <c r="E485" s="3" t="n">
        <v>484</v>
      </c>
      <c r="F485" s="3" t="n">
        <v>484</v>
      </c>
      <c r="G485" s="3" t="n">
        <v>1</v>
      </c>
      <c r="H485" s="3" t="n">
        <v>1</v>
      </c>
      <c r="I485" s="3" t="n">
        <v>1</v>
      </c>
      <c r="J485" s="3" t="n">
        <v>1</v>
      </c>
      <c r="K485" s="6" t="n">
        <v>54.9</v>
      </c>
      <c r="L485" s="7"/>
      <c r="M485" s="7"/>
      <c r="N485" s="7"/>
      <c r="O485" s="7"/>
      <c r="P485" s="7"/>
      <c r="Q485" s="8"/>
      <c r="Z485" s="9"/>
    </row>
    <row r="486" customFormat="false" ht="15.75" hidden="false" customHeight="false" outlineLevel="0" collapsed="false">
      <c r="A486" s="3" t="n">
        <v>485</v>
      </c>
      <c r="B486" s="4" t="n">
        <v>45631</v>
      </c>
      <c r="C486" s="10" t="str">
        <f aca="false">PROPER(TEXT(WEEKDAY(B486),"dddd"))</f>
        <v>Quinta-Feira</v>
      </c>
      <c r="D486" s="11" t="n">
        <v>0.818055555555556</v>
      </c>
      <c r="E486" s="3" t="n">
        <v>485</v>
      </c>
      <c r="F486" s="3" t="n">
        <v>485</v>
      </c>
      <c r="G486" s="3" t="n">
        <v>2</v>
      </c>
      <c r="H486" s="3" t="n">
        <v>1</v>
      </c>
      <c r="I486" s="3" t="n">
        <v>1</v>
      </c>
      <c r="J486" s="3" t="n">
        <v>1</v>
      </c>
      <c r="K486" s="6" t="n">
        <v>27.35</v>
      </c>
      <c r="L486" s="7"/>
      <c r="M486" s="7"/>
      <c r="N486" s="7"/>
      <c r="O486" s="7"/>
      <c r="P486" s="7"/>
      <c r="Q486" s="8"/>
      <c r="Z486" s="9"/>
    </row>
    <row r="487" customFormat="false" ht="15.75" hidden="false" customHeight="false" outlineLevel="0" collapsed="false">
      <c r="A487" s="3" t="n">
        <v>486</v>
      </c>
      <c r="B487" s="16" t="n">
        <v>45632</v>
      </c>
      <c r="C487" s="10" t="str">
        <f aca="false">PROPER(TEXT(WEEKDAY(B487),"dddd"))</f>
        <v>Sexta-Feira</v>
      </c>
      <c r="D487" s="11" t="n">
        <v>0.738888888888889</v>
      </c>
      <c r="E487" s="3" t="n">
        <v>486</v>
      </c>
      <c r="F487" s="3" t="n">
        <v>486</v>
      </c>
      <c r="G487" s="3" t="n">
        <v>1</v>
      </c>
      <c r="H487" s="3" t="n">
        <v>1</v>
      </c>
      <c r="I487" s="3" t="n">
        <v>1</v>
      </c>
      <c r="J487" s="3" t="n">
        <v>1</v>
      </c>
      <c r="K487" s="6" t="n">
        <v>30.15</v>
      </c>
      <c r="L487" s="7"/>
      <c r="M487" s="7"/>
      <c r="N487" s="7"/>
      <c r="O487" s="7"/>
      <c r="P487" s="7"/>
      <c r="Q487" s="8"/>
      <c r="Z487" s="9"/>
    </row>
    <row r="488" customFormat="false" ht="15.75" hidden="false" customHeight="false" outlineLevel="0" collapsed="false">
      <c r="A488" s="3" t="n">
        <v>487</v>
      </c>
      <c r="B488" s="16" t="n">
        <v>45632</v>
      </c>
      <c r="C488" s="10" t="str">
        <f aca="false">PROPER(TEXT(WEEKDAY(B488),"dddd"))</f>
        <v>Sexta-Feira</v>
      </c>
      <c r="D488" s="11" t="n">
        <v>0.779166666666667</v>
      </c>
      <c r="E488" s="3" t="n">
        <v>487</v>
      </c>
      <c r="F488" s="3" t="n">
        <v>487</v>
      </c>
      <c r="G488" s="3" t="n">
        <v>2</v>
      </c>
      <c r="H488" s="3" t="n">
        <v>1</v>
      </c>
      <c r="I488" s="3" t="n">
        <v>1</v>
      </c>
      <c r="J488" s="3" t="n">
        <v>1</v>
      </c>
      <c r="K488" s="6" t="n">
        <v>36.5</v>
      </c>
      <c r="L488" s="7"/>
      <c r="M488" s="7"/>
      <c r="N488" s="7"/>
      <c r="O488" s="7"/>
      <c r="P488" s="7"/>
      <c r="Q488" s="8"/>
      <c r="Z488" s="9"/>
    </row>
    <row r="489" customFormat="false" ht="15.75" hidden="false" customHeight="false" outlineLevel="0" collapsed="false">
      <c r="A489" s="3" t="n">
        <v>488</v>
      </c>
      <c r="B489" s="16" t="n">
        <v>45632</v>
      </c>
      <c r="C489" s="10" t="str">
        <f aca="false">PROPER(TEXT(WEEKDAY(B489),"dddd"))</f>
        <v>Sexta-Feira</v>
      </c>
      <c r="D489" s="11" t="n">
        <v>0.802777777777778</v>
      </c>
      <c r="E489" s="3" t="n">
        <v>488</v>
      </c>
      <c r="F489" s="3" t="n">
        <v>488</v>
      </c>
      <c r="G489" s="3" t="n">
        <v>2</v>
      </c>
      <c r="H489" s="3" t="n">
        <v>1</v>
      </c>
      <c r="I489" s="3" t="n">
        <v>1</v>
      </c>
      <c r="J489" s="3" t="n">
        <v>1</v>
      </c>
      <c r="K489" s="6" t="n">
        <v>24.5</v>
      </c>
      <c r="L489" s="7"/>
      <c r="M489" s="7"/>
      <c r="N489" s="7"/>
      <c r="O489" s="7"/>
      <c r="P489" s="7"/>
      <c r="Q489" s="8"/>
      <c r="Z489" s="9"/>
    </row>
    <row r="490" customFormat="false" ht="15.75" hidden="false" customHeight="false" outlineLevel="0" collapsed="false">
      <c r="A490" s="3" t="n">
        <v>489</v>
      </c>
      <c r="B490" s="16" t="n">
        <v>45632</v>
      </c>
      <c r="C490" s="10" t="str">
        <f aca="false">PROPER(TEXT(WEEKDAY(B490),"dddd"))</f>
        <v>Sexta-Feira</v>
      </c>
      <c r="D490" s="11" t="n">
        <v>0.828472222222222</v>
      </c>
      <c r="E490" s="3" t="n">
        <v>489</v>
      </c>
      <c r="F490" s="3" t="n">
        <v>489</v>
      </c>
      <c r="G490" s="3" t="n">
        <v>1</v>
      </c>
      <c r="H490" s="3" t="n">
        <v>1</v>
      </c>
      <c r="I490" s="3" t="n">
        <v>1</v>
      </c>
      <c r="J490" s="3" t="n">
        <v>1</v>
      </c>
      <c r="K490" s="6" t="n">
        <v>15.9</v>
      </c>
      <c r="L490" s="7"/>
      <c r="M490" s="7"/>
      <c r="N490" s="7"/>
      <c r="O490" s="7"/>
      <c r="P490" s="7"/>
      <c r="Q490" s="8"/>
      <c r="Z490" s="9"/>
    </row>
    <row r="491" customFormat="false" ht="15.75" hidden="false" customHeight="false" outlineLevel="0" collapsed="false">
      <c r="A491" s="3" t="n">
        <v>490</v>
      </c>
      <c r="B491" s="16" t="n">
        <v>45632</v>
      </c>
      <c r="C491" s="10" t="str">
        <f aca="false">PROPER(TEXT(WEEKDAY(B491),"dddd"))</f>
        <v>Sexta-Feira</v>
      </c>
      <c r="D491" s="11" t="n">
        <v>0.838888888888889</v>
      </c>
      <c r="E491" s="3" t="n">
        <v>490</v>
      </c>
      <c r="F491" s="3" t="n">
        <v>490</v>
      </c>
      <c r="G491" s="3" t="n">
        <v>2</v>
      </c>
      <c r="H491" s="3" t="n">
        <v>1</v>
      </c>
      <c r="I491" s="3" t="n">
        <v>1</v>
      </c>
      <c r="J491" s="3" t="n">
        <v>1</v>
      </c>
      <c r="K491" s="6" t="n">
        <v>24.9</v>
      </c>
      <c r="L491" s="7"/>
      <c r="M491" s="7"/>
      <c r="N491" s="7"/>
      <c r="O491" s="7"/>
      <c r="P491" s="7"/>
      <c r="Q491" s="8"/>
      <c r="Z491" s="9"/>
    </row>
    <row r="492" customFormat="false" ht="15.75" hidden="false" customHeight="false" outlineLevel="0" collapsed="false">
      <c r="A492" s="3" t="n">
        <v>491</v>
      </c>
      <c r="B492" s="16" t="n">
        <v>45632</v>
      </c>
      <c r="C492" s="10" t="str">
        <f aca="false">PROPER(TEXT(WEEKDAY(B492),"dddd"))</f>
        <v>Sexta-Feira</v>
      </c>
      <c r="D492" s="11" t="n">
        <v>0.873611111111111</v>
      </c>
      <c r="E492" s="3" t="n">
        <v>491</v>
      </c>
      <c r="F492" s="3" t="n">
        <v>491</v>
      </c>
      <c r="G492" s="3" t="n">
        <v>2</v>
      </c>
      <c r="H492" s="3" t="n">
        <v>1</v>
      </c>
      <c r="I492" s="3" t="n">
        <v>1</v>
      </c>
      <c r="J492" s="3" t="n">
        <v>1</v>
      </c>
      <c r="K492" s="6" t="n">
        <v>18.6</v>
      </c>
      <c r="L492" s="7"/>
      <c r="M492" s="7"/>
      <c r="N492" s="7"/>
      <c r="O492" s="7"/>
      <c r="P492" s="7"/>
      <c r="Q492" s="8"/>
      <c r="Z492" s="9"/>
    </row>
    <row r="493" customFormat="false" ht="15.75" hidden="false" customHeight="false" outlineLevel="0" collapsed="false">
      <c r="A493" s="3" t="n">
        <v>492</v>
      </c>
      <c r="B493" s="16" t="n">
        <v>45633</v>
      </c>
      <c r="C493" s="10" t="str">
        <f aca="false">PROPER(TEXT(WEEKDAY(B493),"dddd"))</f>
        <v>Sábado</v>
      </c>
      <c r="D493" s="11" t="n">
        <v>0.393055555555556</v>
      </c>
      <c r="E493" s="3" t="n">
        <v>492</v>
      </c>
      <c r="F493" s="3" t="n">
        <v>492</v>
      </c>
      <c r="G493" s="3" t="n">
        <v>2</v>
      </c>
      <c r="H493" s="3" t="n">
        <v>1</v>
      </c>
      <c r="I493" s="3" t="n">
        <v>1</v>
      </c>
      <c r="J493" s="3" t="n">
        <v>1</v>
      </c>
      <c r="K493" s="6" t="n">
        <v>24.75</v>
      </c>
      <c r="L493" s="7"/>
      <c r="M493" s="7"/>
      <c r="N493" s="7"/>
      <c r="O493" s="7"/>
      <c r="P493" s="7"/>
      <c r="Q493" s="8"/>
      <c r="Z493" s="9"/>
    </row>
    <row r="494" customFormat="false" ht="15.75" hidden="false" customHeight="false" outlineLevel="0" collapsed="false">
      <c r="A494" s="3" t="n">
        <v>493</v>
      </c>
      <c r="B494" s="16" t="n">
        <v>45633</v>
      </c>
      <c r="C494" s="10" t="str">
        <f aca="false">PROPER(TEXT(WEEKDAY(B494),"dddd"))</f>
        <v>Sábado</v>
      </c>
      <c r="D494" s="11" t="n">
        <v>0.477777777777778</v>
      </c>
      <c r="E494" s="3" t="n">
        <v>493</v>
      </c>
      <c r="F494" s="3" t="n">
        <v>493</v>
      </c>
      <c r="G494" s="3" t="n">
        <v>1</v>
      </c>
      <c r="H494" s="3" t="n">
        <v>1</v>
      </c>
      <c r="I494" s="3" t="n">
        <v>1</v>
      </c>
      <c r="J494" s="3" t="n">
        <v>1</v>
      </c>
      <c r="K494" s="6" t="n">
        <v>20.1</v>
      </c>
      <c r="L494" s="7"/>
      <c r="M494" s="7"/>
      <c r="N494" s="7"/>
      <c r="O494" s="7"/>
      <c r="P494" s="7"/>
      <c r="Q494" s="8"/>
      <c r="Z494" s="9"/>
    </row>
    <row r="495" customFormat="false" ht="15.75" hidden="false" customHeight="false" outlineLevel="0" collapsed="false">
      <c r="A495" s="3" t="n">
        <v>494</v>
      </c>
      <c r="B495" s="16" t="n">
        <v>45633</v>
      </c>
      <c r="C495" s="10" t="str">
        <f aca="false">PROPER(TEXT(WEEKDAY(B495),"dddd"))</f>
        <v>Sábado</v>
      </c>
      <c r="D495" s="11" t="n">
        <v>0.510416666666667</v>
      </c>
      <c r="E495" s="3" t="n">
        <v>494</v>
      </c>
      <c r="F495" s="3" t="n">
        <v>494</v>
      </c>
      <c r="G495" s="3" t="n">
        <v>2</v>
      </c>
      <c r="H495" s="3" t="n">
        <v>1</v>
      </c>
      <c r="I495" s="3" t="n">
        <v>1</v>
      </c>
      <c r="J495" s="3" t="n">
        <v>1</v>
      </c>
      <c r="K495" s="6" t="n">
        <v>17.65</v>
      </c>
      <c r="L495" s="7"/>
      <c r="M495" s="7"/>
      <c r="N495" s="7"/>
      <c r="O495" s="7"/>
      <c r="P495" s="7"/>
      <c r="Q495" s="8"/>
      <c r="Z495" s="9"/>
    </row>
    <row r="496" customFormat="false" ht="15.75" hidden="false" customHeight="false" outlineLevel="0" collapsed="false">
      <c r="A496" s="3" t="n">
        <v>495</v>
      </c>
      <c r="B496" s="16" t="n">
        <v>45633</v>
      </c>
      <c r="C496" s="10" t="str">
        <f aca="false">PROPER(TEXT(WEEKDAY(B496),"dddd"))</f>
        <v>Sábado</v>
      </c>
      <c r="D496" s="11" t="n">
        <v>0.534027777777778</v>
      </c>
      <c r="E496" s="3" t="n">
        <v>495</v>
      </c>
      <c r="F496" s="3" t="n">
        <v>495</v>
      </c>
      <c r="G496" s="3" t="n">
        <v>1</v>
      </c>
      <c r="H496" s="3" t="n">
        <v>1</v>
      </c>
      <c r="I496" s="3" t="n">
        <v>1</v>
      </c>
      <c r="J496" s="3" t="n">
        <v>1</v>
      </c>
      <c r="K496" s="6" t="n">
        <v>26.85</v>
      </c>
      <c r="L496" s="7"/>
      <c r="M496" s="7"/>
      <c r="N496" s="7"/>
      <c r="O496" s="7"/>
      <c r="P496" s="7"/>
      <c r="Q496" s="8"/>
      <c r="Z496" s="9"/>
    </row>
    <row r="497" customFormat="false" ht="15.75" hidden="false" customHeight="false" outlineLevel="0" collapsed="false">
      <c r="A497" s="3" t="n">
        <v>496</v>
      </c>
      <c r="B497" s="16" t="n">
        <v>45635</v>
      </c>
      <c r="C497" s="10" t="str">
        <f aca="false">PROPER(TEXT(WEEKDAY(B497),"dddd"))</f>
        <v>Segunda-Feira</v>
      </c>
      <c r="D497" s="11" t="n">
        <v>0.707638888888889</v>
      </c>
      <c r="E497" s="3" t="n">
        <v>496</v>
      </c>
      <c r="F497" s="3" t="n">
        <v>496</v>
      </c>
      <c r="G497" s="3" t="n">
        <v>2</v>
      </c>
      <c r="H497" s="3" t="n">
        <v>1</v>
      </c>
      <c r="I497" s="3" t="n">
        <v>1</v>
      </c>
      <c r="J497" s="3" t="n">
        <v>1</v>
      </c>
      <c r="K497" s="6" t="n">
        <v>11.1</v>
      </c>
      <c r="L497" s="7"/>
      <c r="M497" s="7"/>
      <c r="N497" s="7"/>
      <c r="O497" s="7"/>
      <c r="P497" s="7"/>
      <c r="Q497" s="8"/>
      <c r="Z497" s="9"/>
    </row>
    <row r="498" customFormat="false" ht="15.75" hidden="false" customHeight="false" outlineLevel="0" collapsed="false">
      <c r="A498" s="3" t="n">
        <v>497</v>
      </c>
      <c r="B498" s="16" t="n">
        <v>45635</v>
      </c>
      <c r="C498" s="10" t="str">
        <f aca="false">PROPER(TEXT(WEEKDAY(B498),"dddd"))</f>
        <v>Segunda-Feira</v>
      </c>
      <c r="D498" s="11" t="n">
        <v>0.716666666666667</v>
      </c>
      <c r="E498" s="3" t="n">
        <v>497</v>
      </c>
      <c r="F498" s="3" t="n">
        <v>497</v>
      </c>
      <c r="G498" s="3" t="n">
        <v>2</v>
      </c>
      <c r="H498" s="3" t="n">
        <v>1</v>
      </c>
      <c r="I498" s="3" t="n">
        <v>1</v>
      </c>
      <c r="J498" s="3" t="n">
        <v>1</v>
      </c>
      <c r="K498" s="6" t="n">
        <v>22.6</v>
      </c>
      <c r="L498" s="7"/>
      <c r="M498" s="7"/>
      <c r="N498" s="7"/>
      <c r="O498" s="7"/>
      <c r="P498" s="7"/>
      <c r="Q498" s="8"/>
      <c r="Z498" s="9"/>
    </row>
    <row r="499" customFormat="false" ht="15.75" hidden="false" customHeight="false" outlineLevel="0" collapsed="false">
      <c r="A499" s="3" t="n">
        <v>498</v>
      </c>
      <c r="B499" s="16" t="n">
        <v>45635</v>
      </c>
      <c r="C499" s="10" t="str">
        <f aca="false">PROPER(TEXT(WEEKDAY(B499),"dddd"))</f>
        <v>Segunda-Feira</v>
      </c>
      <c r="D499" s="11" t="n">
        <v>0.744444444444445</v>
      </c>
      <c r="E499" s="3" t="n">
        <v>498</v>
      </c>
      <c r="F499" s="3" t="n">
        <v>498</v>
      </c>
      <c r="G499" s="3" t="n">
        <v>1</v>
      </c>
      <c r="H499" s="3" t="n">
        <v>1</v>
      </c>
      <c r="I499" s="3" t="n">
        <v>1</v>
      </c>
      <c r="J499" s="3" t="n">
        <v>1</v>
      </c>
      <c r="K499" s="6" t="n">
        <v>28.4</v>
      </c>
      <c r="L499" s="7"/>
      <c r="M499" s="7"/>
      <c r="N499" s="7"/>
      <c r="O499" s="7"/>
      <c r="P499" s="7"/>
      <c r="Q499" s="8"/>
      <c r="Z499" s="9"/>
    </row>
    <row r="500" customFormat="false" ht="15.75" hidden="false" customHeight="false" outlineLevel="0" collapsed="false">
      <c r="A500" s="3" t="n">
        <v>499</v>
      </c>
      <c r="B500" s="16" t="n">
        <v>45635</v>
      </c>
      <c r="C500" s="10" t="str">
        <f aca="false">PROPER(TEXT(WEEKDAY(B500),"dddd"))</f>
        <v>Segunda-Feira</v>
      </c>
      <c r="D500" s="11" t="n">
        <v>0.765972222222222</v>
      </c>
      <c r="E500" s="3" t="n">
        <v>499</v>
      </c>
      <c r="F500" s="3" t="n">
        <v>499</v>
      </c>
      <c r="G500" s="3" t="n">
        <v>2</v>
      </c>
      <c r="H500" s="3" t="n">
        <v>1</v>
      </c>
      <c r="I500" s="3" t="n">
        <v>1</v>
      </c>
      <c r="J500" s="3" t="n">
        <v>1</v>
      </c>
      <c r="K500" s="6" t="n">
        <v>29.45</v>
      </c>
      <c r="L500" s="7"/>
      <c r="M500" s="7"/>
      <c r="N500" s="7"/>
      <c r="O500" s="7"/>
      <c r="P500" s="7"/>
      <c r="Q500" s="8"/>
      <c r="Z500" s="9"/>
    </row>
    <row r="501" customFormat="false" ht="15.75" hidden="false" customHeight="false" outlineLevel="0" collapsed="false">
      <c r="A501" s="3" t="n">
        <v>500</v>
      </c>
      <c r="B501" s="16" t="n">
        <v>45636</v>
      </c>
      <c r="C501" s="10" t="str">
        <f aca="false">PROPER(TEXT(WEEKDAY(B501),"dddd"))</f>
        <v>Terça-Feira</v>
      </c>
      <c r="D501" s="11" t="n">
        <v>0.711111111111111</v>
      </c>
      <c r="E501" s="3" t="n">
        <v>500</v>
      </c>
      <c r="F501" s="3" t="n">
        <v>500</v>
      </c>
      <c r="G501" s="3" t="n">
        <v>2</v>
      </c>
      <c r="H501" s="3" t="n">
        <v>1</v>
      </c>
      <c r="I501" s="3" t="n">
        <v>1</v>
      </c>
      <c r="J501" s="3" t="n">
        <v>1</v>
      </c>
      <c r="K501" s="6" t="n">
        <v>6.4</v>
      </c>
      <c r="L501" s="7"/>
      <c r="M501" s="7"/>
      <c r="N501" s="7"/>
      <c r="O501" s="7"/>
      <c r="P501" s="7"/>
      <c r="Q501" s="8"/>
      <c r="Z501" s="9"/>
    </row>
    <row r="502" customFormat="false" ht="15.75" hidden="false" customHeight="false" outlineLevel="0" collapsed="false">
      <c r="A502" s="3" t="n">
        <v>501</v>
      </c>
      <c r="B502" s="16" t="n">
        <v>45636</v>
      </c>
      <c r="C502" s="10" t="str">
        <f aca="false">PROPER(TEXT(WEEKDAY(B502),"dddd"))</f>
        <v>Terça-Feira</v>
      </c>
      <c r="D502" s="11" t="n">
        <v>0.713194444444445</v>
      </c>
      <c r="E502" s="3" t="n">
        <v>501</v>
      </c>
      <c r="F502" s="7" t="n">
        <v>501</v>
      </c>
      <c r="G502" s="3" t="n">
        <v>4</v>
      </c>
      <c r="H502" s="3" t="n">
        <v>1</v>
      </c>
      <c r="I502" s="3" t="n">
        <v>1</v>
      </c>
      <c r="J502" s="3" t="n">
        <v>1</v>
      </c>
      <c r="K502" s="6" t="n">
        <v>2</v>
      </c>
      <c r="L502" s="7"/>
      <c r="M502" s="7"/>
      <c r="N502" s="7"/>
      <c r="O502" s="7"/>
      <c r="P502" s="7"/>
      <c r="Q502" s="8"/>
      <c r="Z502" s="9"/>
    </row>
    <row r="503" customFormat="false" ht="15.75" hidden="false" customHeight="false" outlineLevel="0" collapsed="false">
      <c r="A503" s="3" t="n">
        <v>502</v>
      </c>
      <c r="B503" s="16" t="n">
        <v>45636</v>
      </c>
      <c r="C503" s="10" t="str">
        <f aca="false">PROPER(TEXT(WEEKDAY(B503),"dddd"))</f>
        <v>Terça-Feira</v>
      </c>
      <c r="D503" s="11" t="n">
        <v>0.724305555555556</v>
      </c>
      <c r="E503" s="3" t="n">
        <v>502</v>
      </c>
      <c r="F503" s="7" t="n">
        <v>502</v>
      </c>
      <c r="G503" s="3" t="n">
        <v>2</v>
      </c>
      <c r="H503" s="3" t="n">
        <v>1</v>
      </c>
      <c r="I503" s="3" t="n">
        <v>1</v>
      </c>
      <c r="J503" s="3" t="n">
        <v>1</v>
      </c>
      <c r="K503" s="6" t="n">
        <v>42.9</v>
      </c>
      <c r="L503" s="7"/>
      <c r="M503" s="7"/>
      <c r="N503" s="7"/>
      <c r="O503" s="7"/>
      <c r="P503" s="7"/>
      <c r="Q503" s="8"/>
      <c r="Z503" s="9"/>
    </row>
    <row r="504" customFormat="false" ht="15.75" hidden="false" customHeight="false" outlineLevel="0" collapsed="false">
      <c r="A504" s="3" t="n">
        <v>503</v>
      </c>
      <c r="B504" s="16" t="n">
        <v>45636</v>
      </c>
      <c r="C504" s="10" t="str">
        <f aca="false">PROPER(TEXT(WEEKDAY(B504),"dddd"))</f>
        <v>Terça-Feira</v>
      </c>
      <c r="D504" s="11" t="n">
        <v>0.74375</v>
      </c>
      <c r="E504" s="3" t="n">
        <v>503</v>
      </c>
      <c r="F504" s="7" t="n">
        <v>503</v>
      </c>
      <c r="G504" s="3" t="n">
        <v>2</v>
      </c>
      <c r="H504" s="3" t="n">
        <v>1</v>
      </c>
      <c r="I504" s="3" t="n">
        <v>1</v>
      </c>
      <c r="J504" s="3" t="n">
        <v>1</v>
      </c>
      <c r="K504" s="6" t="n">
        <v>23.1</v>
      </c>
      <c r="L504" s="7"/>
      <c r="M504" s="7"/>
      <c r="N504" s="7"/>
      <c r="O504" s="7"/>
      <c r="P504" s="7"/>
      <c r="Q504" s="8"/>
      <c r="Z504" s="9"/>
    </row>
    <row r="505" customFormat="false" ht="15.75" hidden="false" customHeight="false" outlineLevel="0" collapsed="false">
      <c r="A505" s="3" t="n">
        <v>504</v>
      </c>
      <c r="B505" s="16" t="n">
        <v>45636</v>
      </c>
      <c r="C505" s="10" t="str">
        <f aca="false">PROPER(TEXT(WEEKDAY(B505),"dddd"))</f>
        <v>Terça-Feira</v>
      </c>
      <c r="D505" s="11" t="n">
        <v>0.782638888888889</v>
      </c>
      <c r="E505" s="3" t="n">
        <v>504</v>
      </c>
      <c r="F505" s="7" t="n">
        <v>504</v>
      </c>
      <c r="G505" s="3" t="n">
        <v>2</v>
      </c>
      <c r="H505" s="3" t="n">
        <v>1</v>
      </c>
      <c r="I505" s="3" t="n">
        <v>1</v>
      </c>
      <c r="J505" s="3" t="n">
        <v>1</v>
      </c>
      <c r="K505" s="6" t="n">
        <v>22.4</v>
      </c>
      <c r="L505" s="7"/>
      <c r="M505" s="7"/>
      <c r="N505" s="7"/>
      <c r="O505" s="7"/>
      <c r="P505" s="7"/>
      <c r="Q505" s="8"/>
      <c r="Z505" s="9"/>
    </row>
    <row r="506" customFormat="false" ht="15.75" hidden="false" customHeight="false" outlineLevel="0" collapsed="false">
      <c r="A506" s="3" t="n">
        <v>505</v>
      </c>
      <c r="B506" s="16" t="n">
        <v>45636</v>
      </c>
      <c r="C506" s="10" t="str">
        <f aca="false">PROPER(TEXT(WEEKDAY(B506),"dddd"))</f>
        <v>Terça-Feira</v>
      </c>
      <c r="D506" s="11" t="n">
        <v>0.802777777777778</v>
      </c>
      <c r="E506" s="3" t="n">
        <v>505</v>
      </c>
      <c r="F506" s="7" t="n">
        <v>505</v>
      </c>
      <c r="G506" s="3" t="n">
        <v>2</v>
      </c>
      <c r="H506" s="3" t="n">
        <v>1</v>
      </c>
      <c r="I506" s="3" t="n">
        <v>1</v>
      </c>
      <c r="J506" s="3" t="n">
        <v>1</v>
      </c>
      <c r="K506" s="6" t="n">
        <v>27.55</v>
      </c>
      <c r="L506" s="7"/>
      <c r="M506" s="7"/>
      <c r="N506" s="7"/>
      <c r="O506" s="7"/>
      <c r="P506" s="7"/>
      <c r="Q506" s="8"/>
      <c r="Z506" s="9"/>
    </row>
    <row r="507" customFormat="false" ht="15.75" hidden="false" customHeight="false" outlineLevel="0" collapsed="false">
      <c r="A507" s="3" t="n">
        <v>506</v>
      </c>
      <c r="B507" s="16" t="n">
        <v>45638</v>
      </c>
      <c r="C507" s="10" t="str">
        <f aca="false">PROPER(TEXT(WEEKDAY(B507),"dddd"))</f>
        <v>Quinta-Feira</v>
      </c>
      <c r="D507" s="11" t="n">
        <v>0.21875</v>
      </c>
      <c r="E507" s="3" t="n">
        <v>506</v>
      </c>
      <c r="F507" s="7" t="n">
        <v>506</v>
      </c>
      <c r="G507" s="3" t="n">
        <v>2</v>
      </c>
      <c r="H507" s="3" t="n">
        <v>1</v>
      </c>
      <c r="I507" s="3" t="n">
        <v>1</v>
      </c>
      <c r="J507" s="3" t="n">
        <v>1</v>
      </c>
      <c r="K507" s="6" t="n">
        <v>19.7</v>
      </c>
      <c r="L507" s="7"/>
      <c r="M507" s="7"/>
      <c r="N507" s="7"/>
      <c r="O507" s="7"/>
      <c r="P507" s="7"/>
      <c r="Q507" s="8"/>
      <c r="Z507" s="9"/>
    </row>
    <row r="508" customFormat="false" ht="15.75" hidden="false" customHeight="false" outlineLevel="0" collapsed="false">
      <c r="A508" s="3" t="n">
        <v>507</v>
      </c>
      <c r="B508" s="16" t="n">
        <v>45638</v>
      </c>
      <c r="C508" s="10" t="str">
        <f aca="false">PROPER(TEXT(WEEKDAY(B508),"dddd"))</f>
        <v>Quinta-Feira</v>
      </c>
      <c r="D508" s="11" t="n">
        <v>0.240972222222222</v>
      </c>
      <c r="E508" s="3" t="n">
        <v>507</v>
      </c>
      <c r="F508" s="7" t="n">
        <v>507</v>
      </c>
      <c r="G508" s="3" t="n">
        <v>2</v>
      </c>
      <c r="H508" s="3" t="n">
        <v>1</v>
      </c>
      <c r="I508" s="3" t="n">
        <v>1</v>
      </c>
      <c r="J508" s="3" t="n">
        <v>1</v>
      </c>
      <c r="K508" s="6" t="n">
        <v>6.4</v>
      </c>
      <c r="L508" s="7"/>
      <c r="M508" s="7"/>
      <c r="N508" s="7"/>
      <c r="O508" s="7"/>
      <c r="P508" s="7"/>
      <c r="Q508" s="8"/>
      <c r="Z508" s="9"/>
    </row>
    <row r="509" customFormat="false" ht="15.75" hidden="false" customHeight="false" outlineLevel="0" collapsed="false">
      <c r="A509" s="3" t="n">
        <v>508</v>
      </c>
      <c r="B509" s="16" t="n">
        <v>45638</v>
      </c>
      <c r="C509" s="10" t="str">
        <f aca="false">PROPER(TEXT(WEEKDAY(B509),"dddd"))</f>
        <v>Quinta-Feira</v>
      </c>
      <c r="D509" s="11" t="n">
        <v>0.261111111111111</v>
      </c>
      <c r="E509" s="3" t="n">
        <v>508</v>
      </c>
      <c r="F509" s="7" t="n">
        <v>508</v>
      </c>
      <c r="G509" s="3" t="n">
        <v>1</v>
      </c>
      <c r="H509" s="3" t="n">
        <v>1</v>
      </c>
      <c r="I509" s="3" t="n">
        <v>1</v>
      </c>
      <c r="J509" s="3" t="n">
        <v>1</v>
      </c>
      <c r="K509" s="6" t="n">
        <v>17.4</v>
      </c>
      <c r="L509" s="7"/>
      <c r="M509" s="7"/>
      <c r="N509" s="7"/>
      <c r="O509" s="7"/>
      <c r="P509" s="7"/>
      <c r="Q509" s="8"/>
      <c r="Z509" s="9"/>
    </row>
    <row r="510" customFormat="false" ht="15.75" hidden="false" customHeight="false" outlineLevel="0" collapsed="false">
      <c r="A510" s="3" t="n">
        <v>509</v>
      </c>
      <c r="B510" s="4" t="n">
        <v>45639</v>
      </c>
      <c r="C510" s="10" t="str">
        <f aca="false">PROPER(TEXT(WEEKDAY(B510),"dddd"))</f>
        <v>Sexta-Feira</v>
      </c>
      <c r="D510" s="11" t="n">
        <v>0.278472222222222</v>
      </c>
      <c r="E510" s="3" t="n">
        <v>509</v>
      </c>
      <c r="F510" s="7" t="n">
        <v>509</v>
      </c>
      <c r="G510" s="3" t="n">
        <v>1</v>
      </c>
      <c r="H510" s="3" t="n">
        <v>1</v>
      </c>
      <c r="I510" s="3" t="n">
        <v>1</v>
      </c>
      <c r="J510" s="3" t="n">
        <v>1</v>
      </c>
      <c r="K510" s="6" t="n">
        <v>9.7</v>
      </c>
      <c r="L510" s="7"/>
      <c r="M510" s="7"/>
      <c r="N510" s="7"/>
      <c r="O510" s="7"/>
      <c r="P510" s="7"/>
      <c r="Q510" s="8"/>
      <c r="Z510" s="9"/>
    </row>
    <row r="511" customFormat="false" ht="15.75" hidden="false" customHeight="false" outlineLevel="0" collapsed="false">
      <c r="A511" s="3" t="n">
        <v>510</v>
      </c>
      <c r="B511" s="16" t="n">
        <v>45639</v>
      </c>
      <c r="C511" s="10" t="str">
        <f aca="false">PROPER(TEXT(WEEKDAY(B511),"dddd"))</f>
        <v>Sexta-Feira</v>
      </c>
      <c r="D511" s="11" t="n">
        <v>0.714583333333333</v>
      </c>
      <c r="E511" s="3" t="n">
        <v>510</v>
      </c>
      <c r="F511" s="7" t="n">
        <v>510</v>
      </c>
      <c r="G511" s="3" t="n">
        <v>2</v>
      </c>
      <c r="H511" s="3" t="n">
        <v>1</v>
      </c>
      <c r="I511" s="3" t="n">
        <v>1</v>
      </c>
      <c r="J511" s="3" t="n">
        <v>1</v>
      </c>
      <c r="K511" s="6" t="n">
        <v>13.25</v>
      </c>
      <c r="L511" s="7"/>
      <c r="M511" s="7"/>
      <c r="N511" s="7"/>
      <c r="O511" s="7"/>
      <c r="P511" s="7"/>
      <c r="Q511" s="8"/>
      <c r="Z511" s="9"/>
    </row>
    <row r="512" customFormat="false" ht="15.75" hidden="false" customHeight="false" outlineLevel="0" collapsed="false">
      <c r="A512" s="3" t="n">
        <v>511</v>
      </c>
      <c r="B512" s="16" t="n">
        <v>45639</v>
      </c>
      <c r="C512" s="10" t="str">
        <f aca="false">PROPER(TEXT(WEEKDAY(B512),"dddd"))</f>
        <v>Sexta-Feira</v>
      </c>
      <c r="D512" s="11" t="n">
        <v>0.725694444444444</v>
      </c>
      <c r="E512" s="3" t="n">
        <v>511</v>
      </c>
      <c r="F512" s="7" t="n">
        <v>511</v>
      </c>
      <c r="G512" s="3" t="n">
        <v>2</v>
      </c>
      <c r="H512" s="3" t="n">
        <v>1</v>
      </c>
      <c r="I512" s="3" t="n">
        <v>1</v>
      </c>
      <c r="J512" s="3" t="n">
        <v>1</v>
      </c>
      <c r="K512" s="6" t="n">
        <v>24.85</v>
      </c>
      <c r="L512" s="7"/>
      <c r="M512" s="7"/>
      <c r="N512" s="7"/>
      <c r="O512" s="7"/>
      <c r="P512" s="7"/>
      <c r="Q512" s="8"/>
      <c r="Z512" s="9"/>
    </row>
    <row r="513" customFormat="false" ht="15.75" hidden="false" customHeight="false" outlineLevel="0" collapsed="false">
      <c r="A513" s="3" t="n">
        <v>512</v>
      </c>
      <c r="B513" s="16" t="n">
        <v>45639</v>
      </c>
      <c r="C513" s="10" t="str">
        <f aca="false">PROPER(TEXT(WEEKDAY(B513),"dddd"))</f>
        <v>Sexta-Feira</v>
      </c>
      <c r="D513" s="11" t="n">
        <v>0.752083333333333</v>
      </c>
      <c r="E513" s="3" t="n">
        <v>512</v>
      </c>
      <c r="F513" s="7" t="n">
        <v>512</v>
      </c>
      <c r="G513" s="3" t="n">
        <v>1</v>
      </c>
      <c r="H513" s="3" t="n">
        <v>1</v>
      </c>
      <c r="I513" s="3" t="n">
        <v>1</v>
      </c>
      <c r="J513" s="3" t="n">
        <v>1</v>
      </c>
      <c r="K513" s="6" t="n">
        <v>25.2</v>
      </c>
      <c r="L513" s="7"/>
      <c r="M513" s="7"/>
      <c r="N513" s="7"/>
      <c r="O513" s="7"/>
      <c r="P513" s="7"/>
      <c r="Q513" s="8"/>
      <c r="Z513" s="9"/>
    </row>
    <row r="514" customFormat="false" ht="15.75" hidden="false" customHeight="false" outlineLevel="0" collapsed="false">
      <c r="A514" s="3" t="n">
        <v>513</v>
      </c>
      <c r="B514" s="16" t="n">
        <v>45639</v>
      </c>
      <c r="C514" s="10" t="str">
        <f aca="false">PROPER(TEXT(WEEKDAY(B514),"dddd"))</f>
        <v>Sexta-Feira</v>
      </c>
      <c r="D514" s="11" t="n">
        <v>0.770833333333333</v>
      </c>
      <c r="E514" s="3" t="n">
        <v>513</v>
      </c>
      <c r="F514" s="7" t="n">
        <v>513</v>
      </c>
      <c r="G514" s="3" t="n">
        <v>1</v>
      </c>
      <c r="H514" s="3" t="n">
        <v>1</v>
      </c>
      <c r="I514" s="3" t="n">
        <v>1</v>
      </c>
      <c r="J514" s="3" t="n">
        <v>1</v>
      </c>
      <c r="K514" s="6" t="n">
        <v>21.6</v>
      </c>
      <c r="L514" s="7"/>
      <c r="M514" s="7"/>
      <c r="N514" s="7"/>
      <c r="O514" s="7"/>
      <c r="P514" s="7"/>
      <c r="Q514" s="8"/>
      <c r="Z514" s="9"/>
    </row>
    <row r="515" customFormat="false" ht="15.75" hidden="false" customHeight="false" outlineLevel="0" collapsed="false">
      <c r="A515" s="3" t="n">
        <v>514</v>
      </c>
      <c r="B515" s="16" t="n">
        <v>45639</v>
      </c>
      <c r="C515" s="10" t="str">
        <f aca="false">PROPER(TEXT(WEEKDAY(B515),"dddd"))</f>
        <v>Sexta-Feira</v>
      </c>
      <c r="D515" s="11" t="n">
        <v>0.815972222222222</v>
      </c>
      <c r="E515" s="3" t="n">
        <v>514</v>
      </c>
      <c r="F515" s="7" t="n">
        <v>514</v>
      </c>
      <c r="G515" s="3" t="n">
        <v>1</v>
      </c>
      <c r="H515" s="3" t="n">
        <v>1</v>
      </c>
      <c r="I515" s="3" t="n">
        <v>1</v>
      </c>
      <c r="J515" s="3" t="n">
        <v>1</v>
      </c>
      <c r="K515" s="6" t="n">
        <v>3.55</v>
      </c>
      <c r="L515" s="7"/>
      <c r="M515" s="7"/>
      <c r="N515" s="7"/>
      <c r="O515" s="7"/>
      <c r="P515" s="7"/>
      <c r="Q515" s="8"/>
      <c r="Z515" s="9"/>
    </row>
    <row r="516" customFormat="false" ht="15.75" hidden="false" customHeight="false" outlineLevel="0" collapsed="false">
      <c r="A516" s="3" t="n">
        <v>515</v>
      </c>
      <c r="B516" s="16" t="n">
        <v>45639</v>
      </c>
      <c r="C516" s="10" t="str">
        <f aca="false">PROPER(TEXT(WEEKDAY(B516),"dddd"))</f>
        <v>Sexta-Feira</v>
      </c>
      <c r="D516" s="11" t="n">
        <v>0.818055555555556</v>
      </c>
      <c r="E516" s="3" t="n">
        <v>515</v>
      </c>
      <c r="F516" s="7" t="n">
        <v>515</v>
      </c>
      <c r="G516" s="3" t="n">
        <v>2</v>
      </c>
      <c r="H516" s="3" t="n">
        <v>1</v>
      </c>
      <c r="I516" s="3" t="n">
        <v>1</v>
      </c>
      <c r="J516" s="3" t="n">
        <v>1</v>
      </c>
      <c r="K516" s="6" t="n">
        <v>29.7</v>
      </c>
      <c r="L516" s="7"/>
      <c r="M516" s="7"/>
      <c r="N516" s="7"/>
      <c r="O516" s="7"/>
      <c r="P516" s="7"/>
      <c r="Q516" s="8"/>
      <c r="Z516" s="9"/>
    </row>
    <row r="517" customFormat="false" ht="15.75" hidden="false" customHeight="false" outlineLevel="0" collapsed="false">
      <c r="A517" s="3" t="n">
        <v>516</v>
      </c>
      <c r="B517" s="16" t="n">
        <v>45639</v>
      </c>
      <c r="C517" s="10" t="str">
        <f aca="false">PROPER(TEXT(WEEKDAY(B517),"dddd"))</f>
        <v>Sexta-Feira</v>
      </c>
      <c r="D517" s="11" t="n">
        <v>0.854861111111111</v>
      </c>
      <c r="E517" s="3" t="n">
        <v>516</v>
      </c>
      <c r="F517" s="7" t="n">
        <v>516</v>
      </c>
      <c r="G517" s="3" t="n">
        <v>2</v>
      </c>
      <c r="H517" s="3" t="n">
        <v>1</v>
      </c>
      <c r="I517" s="3" t="n">
        <v>1</v>
      </c>
      <c r="J517" s="3" t="n">
        <v>1</v>
      </c>
      <c r="K517" s="6" t="n">
        <v>16.65</v>
      </c>
      <c r="L517" s="7"/>
      <c r="M517" s="7"/>
      <c r="N517" s="7"/>
      <c r="O517" s="7"/>
      <c r="P517" s="7"/>
      <c r="Q517" s="8"/>
      <c r="Z517" s="9"/>
    </row>
    <row r="518" customFormat="false" ht="15.75" hidden="false" customHeight="false" outlineLevel="0" collapsed="false">
      <c r="A518" s="3" t="n">
        <v>517</v>
      </c>
      <c r="B518" s="4" t="n">
        <v>45640</v>
      </c>
      <c r="C518" s="10" t="str">
        <f aca="false">PROPER(TEXT(WEEKDAY(B518),"dddd"))</f>
        <v>Sábado</v>
      </c>
      <c r="D518" s="11" t="n">
        <v>0.541666666666667</v>
      </c>
      <c r="E518" s="3" t="n">
        <v>517</v>
      </c>
      <c r="F518" s="7" t="n">
        <v>517</v>
      </c>
      <c r="G518" s="3" t="n">
        <v>1</v>
      </c>
      <c r="H518" s="3" t="n">
        <v>1</v>
      </c>
      <c r="I518" s="3" t="n">
        <v>1</v>
      </c>
      <c r="J518" s="3" t="n">
        <v>1</v>
      </c>
      <c r="K518" s="6" t="n">
        <v>41.1</v>
      </c>
      <c r="L518" s="7"/>
      <c r="M518" s="7"/>
      <c r="N518" s="7"/>
      <c r="O518" s="7"/>
      <c r="P518" s="7"/>
      <c r="Q518" s="8"/>
      <c r="Z518" s="9"/>
    </row>
    <row r="519" customFormat="false" ht="15.75" hidden="false" customHeight="false" outlineLevel="0" collapsed="false">
      <c r="A519" s="3" t="n">
        <v>518</v>
      </c>
      <c r="B519" s="4" t="n">
        <v>45640</v>
      </c>
      <c r="C519" s="10" t="str">
        <f aca="false">PROPER(TEXT(WEEKDAY(B519),"dddd"))</f>
        <v>Sábado</v>
      </c>
      <c r="D519" s="11" t="n">
        <v>0.576388888888889</v>
      </c>
      <c r="E519" s="3" t="n">
        <v>518</v>
      </c>
      <c r="F519" s="7" t="n">
        <v>518</v>
      </c>
      <c r="G519" s="3" t="n">
        <v>1</v>
      </c>
      <c r="H519" s="3" t="n">
        <v>1</v>
      </c>
      <c r="I519" s="3" t="n">
        <v>1</v>
      </c>
      <c r="J519" s="3" t="n">
        <v>1</v>
      </c>
      <c r="K519" s="6" t="n">
        <v>13.35</v>
      </c>
      <c r="L519" s="7"/>
      <c r="M519" s="7"/>
      <c r="N519" s="7"/>
      <c r="O519" s="7"/>
      <c r="P519" s="7"/>
      <c r="Q519" s="8"/>
      <c r="Z519" s="9"/>
    </row>
    <row r="520" customFormat="false" ht="15.75" hidden="false" customHeight="false" outlineLevel="0" collapsed="false">
      <c r="A520" s="3" t="n">
        <v>519</v>
      </c>
      <c r="B520" s="4" t="n">
        <v>45640</v>
      </c>
      <c r="C520" s="10" t="str">
        <f aca="false">PROPER(TEXT(WEEKDAY(B520),"dddd"))</f>
        <v>Sábado</v>
      </c>
      <c r="D520" s="11" t="n">
        <v>0.580555555555556</v>
      </c>
      <c r="E520" s="3" t="n">
        <v>519</v>
      </c>
      <c r="F520" s="7" t="n">
        <v>519</v>
      </c>
      <c r="G520" s="3" t="n">
        <v>2</v>
      </c>
      <c r="H520" s="3" t="n">
        <v>1</v>
      </c>
      <c r="I520" s="3" t="n">
        <v>1</v>
      </c>
      <c r="J520" s="3" t="n">
        <v>1</v>
      </c>
      <c r="K520" s="6" t="n">
        <v>14.5</v>
      </c>
      <c r="L520" s="7"/>
      <c r="M520" s="7"/>
      <c r="N520" s="7"/>
      <c r="O520" s="7"/>
      <c r="P520" s="7"/>
      <c r="Q520" s="8"/>
      <c r="Z520" s="9"/>
    </row>
    <row r="521" customFormat="false" ht="15.75" hidden="false" customHeight="false" outlineLevel="0" collapsed="false">
      <c r="A521" s="3" t="n">
        <v>520</v>
      </c>
      <c r="B521" s="4" t="n">
        <v>45640</v>
      </c>
      <c r="C521" s="10" t="str">
        <f aca="false">PROPER(TEXT(WEEKDAY(B521),"dddd"))</f>
        <v>Sábado</v>
      </c>
      <c r="D521" s="11" t="n">
        <v>0.597222222222222</v>
      </c>
      <c r="E521" s="3" t="n">
        <v>520</v>
      </c>
      <c r="F521" s="7" t="n">
        <v>520</v>
      </c>
      <c r="G521" s="3" t="n">
        <v>2</v>
      </c>
      <c r="H521" s="3" t="n">
        <v>1</v>
      </c>
      <c r="I521" s="3" t="n">
        <v>1</v>
      </c>
      <c r="J521" s="3" t="n">
        <v>1</v>
      </c>
      <c r="K521" s="6" t="n">
        <v>11.1</v>
      </c>
      <c r="L521" s="7"/>
      <c r="M521" s="7"/>
      <c r="N521" s="7"/>
      <c r="O521" s="7"/>
      <c r="P521" s="7"/>
      <c r="Q521" s="8"/>
      <c r="Z521" s="9"/>
    </row>
    <row r="522" customFormat="false" ht="15.75" hidden="false" customHeight="false" outlineLevel="0" collapsed="false">
      <c r="A522" s="3" t="n">
        <v>521</v>
      </c>
      <c r="B522" s="4" t="n">
        <v>45640</v>
      </c>
      <c r="C522" s="10" t="str">
        <f aca="false">PROPER(TEXT(WEEKDAY(B522),"dddd"))</f>
        <v>Sábado</v>
      </c>
      <c r="D522" s="11" t="n">
        <v>0.6125</v>
      </c>
      <c r="E522" s="3" t="n">
        <v>521</v>
      </c>
      <c r="F522" s="7" t="n">
        <v>521</v>
      </c>
      <c r="G522" s="3" t="n">
        <v>2</v>
      </c>
      <c r="H522" s="3" t="n">
        <v>1</v>
      </c>
      <c r="I522" s="3" t="n">
        <v>1</v>
      </c>
      <c r="J522" s="3" t="n">
        <v>1</v>
      </c>
      <c r="K522" s="6" t="n">
        <v>19</v>
      </c>
      <c r="L522" s="7"/>
      <c r="M522" s="7"/>
      <c r="N522" s="7"/>
      <c r="O522" s="7"/>
      <c r="P522" s="7"/>
      <c r="Q522" s="8"/>
      <c r="Z522" s="9"/>
    </row>
    <row r="523" customFormat="false" ht="15.75" hidden="false" customHeight="false" outlineLevel="0" collapsed="false">
      <c r="A523" s="3" t="n">
        <v>522</v>
      </c>
      <c r="B523" s="4" t="n">
        <v>45640</v>
      </c>
      <c r="C523" s="10" t="str">
        <f aca="false">PROPER(TEXT(WEEKDAY(B523),"dddd"))</f>
        <v>Sábado</v>
      </c>
      <c r="D523" s="11" t="n">
        <v>0.629166666666667</v>
      </c>
      <c r="E523" s="3" t="n">
        <v>522</v>
      </c>
      <c r="F523" s="7" t="n">
        <v>522</v>
      </c>
      <c r="G523" s="3" t="n">
        <v>1</v>
      </c>
      <c r="H523" s="3" t="n">
        <v>1</v>
      </c>
      <c r="I523" s="3" t="n">
        <v>1</v>
      </c>
      <c r="J523" s="3" t="n">
        <v>1</v>
      </c>
      <c r="K523" s="6" t="n">
        <v>24.7</v>
      </c>
      <c r="L523" s="7"/>
      <c r="M523" s="7"/>
      <c r="N523" s="7"/>
      <c r="O523" s="7"/>
      <c r="P523" s="7"/>
      <c r="Q523" s="8"/>
      <c r="Z523" s="9"/>
    </row>
    <row r="524" customFormat="false" ht="15.75" hidden="false" customHeight="false" outlineLevel="0" collapsed="false">
      <c r="A524" s="3" t="n">
        <v>523</v>
      </c>
      <c r="B524" s="4" t="n">
        <v>45640</v>
      </c>
      <c r="C524" s="10" t="str">
        <f aca="false">PROPER(TEXT(WEEKDAY(B524),"dddd"))</f>
        <v>Sábado</v>
      </c>
      <c r="D524" s="11" t="n">
        <v>0.673611111111111</v>
      </c>
      <c r="E524" s="3" t="n">
        <v>523</v>
      </c>
      <c r="F524" s="7" t="n">
        <v>523</v>
      </c>
      <c r="G524" s="3" t="n">
        <v>1</v>
      </c>
      <c r="H524" s="3" t="n">
        <v>1</v>
      </c>
      <c r="I524" s="3" t="n">
        <v>1</v>
      </c>
      <c r="J524" s="3" t="n">
        <v>1</v>
      </c>
      <c r="K524" s="6" t="n">
        <v>18.9</v>
      </c>
      <c r="L524" s="7"/>
      <c r="M524" s="7"/>
      <c r="N524" s="7"/>
      <c r="O524" s="7"/>
      <c r="P524" s="7"/>
      <c r="Q524" s="8"/>
      <c r="Z524" s="9"/>
    </row>
    <row r="525" customFormat="false" ht="15.75" hidden="false" customHeight="false" outlineLevel="0" collapsed="false">
      <c r="A525" s="3" t="n">
        <v>524</v>
      </c>
      <c r="B525" s="4" t="n">
        <v>45640</v>
      </c>
      <c r="C525" s="10" t="str">
        <f aca="false">PROPER(TEXT(WEEKDAY(B525),"dddd"))</f>
        <v>Sábado</v>
      </c>
      <c r="D525" s="11" t="n">
        <v>0.6875</v>
      </c>
      <c r="E525" s="3" t="n">
        <v>524</v>
      </c>
      <c r="F525" s="7" t="n">
        <v>524</v>
      </c>
      <c r="G525" s="3" t="n">
        <v>2</v>
      </c>
      <c r="H525" s="3" t="n">
        <v>1</v>
      </c>
      <c r="I525" s="3" t="n">
        <v>1</v>
      </c>
      <c r="J525" s="3" t="n">
        <v>1</v>
      </c>
      <c r="K525" s="6" t="n">
        <v>27</v>
      </c>
      <c r="L525" s="7"/>
      <c r="M525" s="7"/>
      <c r="N525" s="7"/>
      <c r="O525" s="7"/>
      <c r="P525" s="7"/>
      <c r="Q525" s="8"/>
      <c r="Z525" s="9"/>
    </row>
    <row r="526" customFormat="false" ht="15.75" hidden="false" customHeight="false" outlineLevel="0" collapsed="false">
      <c r="A526" s="3" t="n">
        <v>525</v>
      </c>
      <c r="B526" s="4" t="n">
        <v>45642</v>
      </c>
      <c r="C526" s="10" t="str">
        <f aca="false">PROPER(TEXT(WEEKDAY(B526),"dddd"))</f>
        <v>Segunda-Feira</v>
      </c>
      <c r="D526" s="11" t="n">
        <v>0.190972222222222</v>
      </c>
      <c r="E526" s="3" t="n">
        <v>525</v>
      </c>
      <c r="F526" s="7" t="n">
        <v>525</v>
      </c>
      <c r="G526" s="3" t="n">
        <v>1</v>
      </c>
      <c r="H526" s="3" t="n">
        <v>1</v>
      </c>
      <c r="I526" s="3" t="n">
        <v>1</v>
      </c>
      <c r="J526" s="3" t="n">
        <v>1</v>
      </c>
      <c r="K526" s="6" t="n">
        <v>4.7</v>
      </c>
      <c r="L526" s="7"/>
      <c r="M526" s="7"/>
      <c r="N526" s="7"/>
      <c r="O526" s="7"/>
      <c r="P526" s="7"/>
      <c r="Q526" s="8"/>
      <c r="Z526" s="9"/>
    </row>
    <row r="527" customFormat="false" ht="15.75" hidden="false" customHeight="false" outlineLevel="0" collapsed="false">
      <c r="A527" s="3" t="n">
        <v>526</v>
      </c>
      <c r="B527" s="4" t="n">
        <v>45642</v>
      </c>
      <c r="C527" s="10" t="str">
        <f aca="false">PROPER(TEXT(WEEKDAY(B527),"dddd"))</f>
        <v>Segunda-Feira</v>
      </c>
      <c r="D527" s="11" t="n">
        <v>0.200694444444444</v>
      </c>
      <c r="E527" s="3" t="n">
        <v>526</v>
      </c>
      <c r="F527" s="7" t="n">
        <v>526</v>
      </c>
      <c r="G527" s="3" t="n">
        <v>2</v>
      </c>
      <c r="H527" s="3" t="n">
        <v>1</v>
      </c>
      <c r="I527" s="3" t="n">
        <v>1</v>
      </c>
      <c r="J527" s="3" t="n">
        <v>1</v>
      </c>
      <c r="K527" s="6" t="n">
        <v>14.3</v>
      </c>
      <c r="L527" s="7"/>
      <c r="M527" s="7"/>
      <c r="N527" s="7"/>
      <c r="O527" s="7"/>
      <c r="P527" s="7"/>
      <c r="Q527" s="8"/>
      <c r="Z527" s="9"/>
    </row>
    <row r="528" customFormat="false" ht="15.75" hidden="false" customHeight="false" outlineLevel="0" collapsed="false">
      <c r="A528" s="3" t="n">
        <v>527</v>
      </c>
      <c r="B528" s="4" t="n">
        <v>45642</v>
      </c>
      <c r="C528" s="10" t="str">
        <f aca="false">PROPER(TEXT(WEEKDAY(B528),"dddd"))</f>
        <v>Segunda-Feira</v>
      </c>
      <c r="D528" s="11" t="n">
        <v>0.214583333333333</v>
      </c>
      <c r="E528" s="3" t="n">
        <v>527</v>
      </c>
      <c r="F528" s="7" t="n">
        <v>527</v>
      </c>
      <c r="G528" s="3" t="n">
        <v>2</v>
      </c>
      <c r="H528" s="3" t="n">
        <v>1</v>
      </c>
      <c r="I528" s="3" t="n">
        <v>1</v>
      </c>
      <c r="J528" s="3" t="n">
        <v>1</v>
      </c>
      <c r="K528" s="6" t="n">
        <v>16.3</v>
      </c>
      <c r="L528" s="7"/>
      <c r="M528" s="7"/>
      <c r="N528" s="7"/>
      <c r="O528" s="7"/>
      <c r="P528" s="7"/>
      <c r="Q528" s="8"/>
      <c r="Z528" s="9"/>
    </row>
    <row r="529" customFormat="false" ht="15.75" hidden="false" customHeight="false" outlineLevel="0" collapsed="false">
      <c r="A529" s="3" t="n">
        <v>528</v>
      </c>
      <c r="B529" s="4" t="n">
        <v>45642</v>
      </c>
      <c r="C529" s="10" t="str">
        <f aca="false">PROPER(TEXT(WEEKDAY(B529),"dddd"))</f>
        <v>Segunda-Feira</v>
      </c>
      <c r="D529" s="11" t="n">
        <v>0.722916666666667</v>
      </c>
      <c r="E529" s="3" t="n">
        <v>528</v>
      </c>
      <c r="F529" s="7" t="n">
        <v>528</v>
      </c>
      <c r="G529" s="3" t="n">
        <v>2</v>
      </c>
      <c r="H529" s="3" t="n">
        <v>1</v>
      </c>
      <c r="I529" s="3" t="n">
        <v>1</v>
      </c>
      <c r="J529" s="3" t="n">
        <v>1</v>
      </c>
      <c r="K529" s="6" t="n">
        <v>22.7</v>
      </c>
      <c r="L529" s="7"/>
      <c r="M529" s="7"/>
      <c r="N529" s="7"/>
      <c r="O529" s="7"/>
      <c r="P529" s="7"/>
      <c r="Q529" s="8"/>
      <c r="Z529" s="9"/>
    </row>
    <row r="530" customFormat="false" ht="15.75" hidden="false" customHeight="false" outlineLevel="0" collapsed="false">
      <c r="A530" s="3" t="n">
        <v>529</v>
      </c>
      <c r="B530" s="4" t="n">
        <v>45642</v>
      </c>
      <c r="C530" s="10" t="str">
        <f aca="false">PROPER(TEXT(WEEKDAY(B530),"dddd"))</f>
        <v>Segunda-Feira</v>
      </c>
      <c r="D530" s="11" t="n">
        <v>0.744444444444445</v>
      </c>
      <c r="E530" s="3" t="n">
        <v>529</v>
      </c>
      <c r="F530" s="7" t="n">
        <v>529</v>
      </c>
      <c r="G530" s="3" t="n">
        <v>2</v>
      </c>
      <c r="H530" s="3" t="n">
        <v>1</v>
      </c>
      <c r="I530" s="3" t="n">
        <v>1</v>
      </c>
      <c r="J530" s="3" t="n">
        <v>1</v>
      </c>
      <c r="K530" s="6" t="n">
        <v>23.25</v>
      </c>
      <c r="L530" s="7"/>
      <c r="M530" s="7"/>
      <c r="N530" s="7"/>
      <c r="O530" s="7"/>
      <c r="P530" s="7"/>
      <c r="Q530" s="8"/>
      <c r="Z530" s="9"/>
    </row>
    <row r="531" customFormat="false" ht="15.75" hidden="false" customHeight="false" outlineLevel="0" collapsed="false">
      <c r="A531" s="3" t="n">
        <v>530</v>
      </c>
      <c r="B531" s="4" t="n">
        <v>45642</v>
      </c>
      <c r="C531" s="10" t="str">
        <f aca="false">PROPER(TEXT(WEEKDAY(B531),"dddd"))</f>
        <v>Segunda-Feira</v>
      </c>
      <c r="D531" s="11" t="n">
        <v>0.757638888888889</v>
      </c>
      <c r="E531" s="3" t="n">
        <v>530</v>
      </c>
      <c r="F531" s="7" t="n">
        <v>530</v>
      </c>
      <c r="G531" s="3" t="n">
        <v>2</v>
      </c>
      <c r="H531" s="3" t="n">
        <v>1</v>
      </c>
      <c r="I531" s="3" t="n">
        <v>1</v>
      </c>
      <c r="J531" s="3" t="n">
        <v>1</v>
      </c>
      <c r="K531" s="6" t="n">
        <v>30</v>
      </c>
      <c r="L531" s="7"/>
      <c r="M531" s="7"/>
      <c r="N531" s="7"/>
      <c r="O531" s="7"/>
      <c r="P531" s="7"/>
      <c r="Q531" s="8"/>
      <c r="Z531" s="9"/>
    </row>
    <row r="532" customFormat="false" ht="15.75" hidden="false" customHeight="false" outlineLevel="0" collapsed="false">
      <c r="A532" s="3" t="n">
        <v>531</v>
      </c>
      <c r="B532" s="4" t="n">
        <v>45642</v>
      </c>
      <c r="C532" s="10" t="str">
        <f aca="false">PROPER(TEXT(WEEKDAY(B532),"dddd"))</f>
        <v>Segunda-Feira</v>
      </c>
      <c r="D532" s="11" t="n">
        <v>0.8</v>
      </c>
      <c r="E532" s="3" t="n">
        <v>531</v>
      </c>
      <c r="F532" s="7" t="n">
        <v>531</v>
      </c>
      <c r="G532" s="3" t="n">
        <v>2</v>
      </c>
      <c r="H532" s="3" t="n">
        <v>1</v>
      </c>
      <c r="I532" s="3" t="n">
        <v>1</v>
      </c>
      <c r="J532" s="3" t="n">
        <v>1</v>
      </c>
      <c r="K532" s="6" t="n">
        <v>15.15</v>
      </c>
      <c r="L532" s="7"/>
      <c r="M532" s="7"/>
      <c r="N532" s="7"/>
      <c r="O532" s="7"/>
      <c r="P532" s="7"/>
      <c r="Q532" s="8"/>
      <c r="Z532" s="9"/>
    </row>
    <row r="533" customFormat="false" ht="15.75" hidden="false" customHeight="false" outlineLevel="0" collapsed="false">
      <c r="A533" s="3" t="n">
        <v>532</v>
      </c>
      <c r="B533" s="4" t="n">
        <v>45642</v>
      </c>
      <c r="C533" s="10" t="str">
        <f aca="false">PROPER(TEXT(WEEKDAY(B533),"dddd"))</f>
        <v>Segunda-Feira</v>
      </c>
      <c r="D533" s="11" t="n">
        <v>0.813194444444444</v>
      </c>
      <c r="E533" s="3" t="n">
        <v>532</v>
      </c>
      <c r="F533" s="7" t="n">
        <v>532</v>
      </c>
      <c r="G533" s="3" t="n">
        <v>1</v>
      </c>
      <c r="H533" s="3" t="n">
        <v>1</v>
      </c>
      <c r="I533" s="3" t="n">
        <v>1</v>
      </c>
      <c r="J533" s="3" t="n">
        <v>1</v>
      </c>
      <c r="K533" s="6" t="n">
        <v>6.5</v>
      </c>
      <c r="L533" s="7"/>
      <c r="M533" s="7"/>
      <c r="N533" s="7"/>
      <c r="O533" s="7"/>
      <c r="P533" s="7"/>
      <c r="Q533" s="8"/>
      <c r="Z533" s="9"/>
    </row>
    <row r="534" customFormat="false" ht="15.75" hidden="false" customHeight="false" outlineLevel="0" collapsed="false">
      <c r="A534" s="3" t="n">
        <v>533</v>
      </c>
      <c r="B534" s="4" t="n">
        <v>45644</v>
      </c>
      <c r="C534" s="10" t="str">
        <f aca="false">PROPER(TEXT(WEEKDAY(B534),"dddd"))</f>
        <v>Quarta-Feira</v>
      </c>
      <c r="D534" s="11" t="n">
        <v>0.801388888888889</v>
      </c>
      <c r="E534" s="3" t="n">
        <v>533</v>
      </c>
      <c r="F534" s="7" t="n">
        <v>533</v>
      </c>
      <c r="G534" s="3" t="n">
        <v>2</v>
      </c>
      <c r="H534" s="3" t="n">
        <v>1</v>
      </c>
      <c r="I534" s="3" t="n">
        <v>1</v>
      </c>
      <c r="J534" s="3" t="n">
        <v>1</v>
      </c>
      <c r="K534" s="6" t="n">
        <v>26.5</v>
      </c>
      <c r="L534" s="7"/>
      <c r="M534" s="7"/>
      <c r="N534" s="7"/>
      <c r="O534" s="7"/>
      <c r="P534" s="7"/>
      <c r="Q534" s="8"/>
      <c r="Z534" s="9"/>
    </row>
    <row r="535" customFormat="false" ht="15.75" hidden="false" customHeight="false" outlineLevel="0" collapsed="false">
      <c r="A535" s="3" t="n">
        <v>534</v>
      </c>
      <c r="B535" s="4" t="n">
        <v>45645</v>
      </c>
      <c r="C535" s="10" t="str">
        <f aca="false">PROPER(TEXT(WEEKDAY(B535),"dddd"))</f>
        <v>Quinta-Feira</v>
      </c>
      <c r="D535" s="11" t="n">
        <v>0.788888888888889</v>
      </c>
      <c r="E535" s="3" t="n">
        <v>534</v>
      </c>
      <c r="F535" s="7" t="n">
        <v>534</v>
      </c>
      <c r="G535" s="3" t="n">
        <v>1</v>
      </c>
      <c r="H535" s="3" t="n">
        <v>1</v>
      </c>
      <c r="I535" s="3" t="n">
        <v>1</v>
      </c>
      <c r="J535" s="3" t="n">
        <v>1</v>
      </c>
      <c r="K535" s="6" t="n">
        <v>19.6</v>
      </c>
      <c r="L535" s="7"/>
      <c r="M535" s="7"/>
      <c r="N535" s="7"/>
      <c r="O535" s="7"/>
      <c r="P535" s="7"/>
      <c r="Q535" s="8"/>
      <c r="Z535" s="9"/>
    </row>
    <row r="536" customFormat="false" ht="15.75" hidden="false" customHeight="false" outlineLevel="0" collapsed="false">
      <c r="A536" s="3" t="n">
        <v>535</v>
      </c>
      <c r="B536" s="4" t="n">
        <v>45645</v>
      </c>
      <c r="C536" s="10" t="str">
        <f aca="false">PROPER(TEXT(WEEKDAY(B536),"dddd"))</f>
        <v>Quinta-Feira</v>
      </c>
      <c r="D536" s="11" t="n">
        <v>0.807638888888889</v>
      </c>
      <c r="E536" s="3" t="n">
        <v>535</v>
      </c>
      <c r="F536" s="7" t="n">
        <v>535</v>
      </c>
      <c r="G536" s="3" t="n">
        <v>2</v>
      </c>
      <c r="H536" s="3" t="n">
        <v>1</v>
      </c>
      <c r="I536" s="3" t="n">
        <v>1</v>
      </c>
      <c r="J536" s="3" t="n">
        <v>1</v>
      </c>
      <c r="K536" s="6" t="n">
        <v>29</v>
      </c>
      <c r="L536" s="7"/>
      <c r="M536" s="7"/>
      <c r="N536" s="7"/>
      <c r="O536" s="7"/>
      <c r="P536" s="7"/>
      <c r="Q536" s="8"/>
      <c r="Z536" s="9"/>
    </row>
    <row r="537" customFormat="false" ht="15.75" hidden="false" customHeight="false" outlineLevel="0" collapsed="false">
      <c r="A537" s="3" t="n">
        <v>536</v>
      </c>
      <c r="B537" s="4" t="n">
        <v>45648</v>
      </c>
      <c r="C537" s="10" t="str">
        <f aca="false">PROPER(TEXT(WEEKDAY(B537),"dddd"))</f>
        <v>Domingo</v>
      </c>
      <c r="D537" s="11" t="n">
        <v>0.548611111111111</v>
      </c>
      <c r="E537" s="3" t="n">
        <v>536</v>
      </c>
      <c r="F537" s="7" t="n">
        <v>536</v>
      </c>
      <c r="G537" s="3" t="n">
        <v>2</v>
      </c>
      <c r="H537" s="3" t="n">
        <v>1</v>
      </c>
      <c r="I537" s="3" t="n">
        <v>1</v>
      </c>
      <c r="J537" s="3" t="n">
        <v>1</v>
      </c>
      <c r="K537" s="6" t="n">
        <v>19.75</v>
      </c>
      <c r="L537" s="7"/>
      <c r="M537" s="7"/>
      <c r="N537" s="7"/>
      <c r="O537" s="7"/>
      <c r="P537" s="7"/>
      <c r="Q537" s="8"/>
      <c r="Z537" s="9"/>
    </row>
    <row r="538" customFormat="false" ht="15.75" hidden="false" customHeight="false" outlineLevel="0" collapsed="false">
      <c r="A538" s="3" t="n">
        <v>537</v>
      </c>
      <c r="B538" s="4" t="n">
        <v>45648</v>
      </c>
      <c r="C538" s="10" t="str">
        <f aca="false">PROPER(TEXT(WEEKDAY(B538),"dddd"))</f>
        <v>Domingo</v>
      </c>
      <c r="D538" s="11" t="n">
        <v>0.575</v>
      </c>
      <c r="E538" s="3" t="n">
        <v>537</v>
      </c>
      <c r="F538" s="7" t="n">
        <v>537</v>
      </c>
      <c r="G538" s="3" t="n">
        <v>2</v>
      </c>
      <c r="H538" s="3" t="n">
        <v>1</v>
      </c>
      <c r="I538" s="3" t="n">
        <v>1</v>
      </c>
      <c r="J538" s="3" t="n">
        <v>1</v>
      </c>
      <c r="K538" s="6" t="n">
        <v>24</v>
      </c>
      <c r="L538" s="7"/>
      <c r="M538" s="7"/>
      <c r="N538" s="7"/>
      <c r="O538" s="7"/>
      <c r="P538" s="7"/>
      <c r="Q538" s="8"/>
      <c r="Z538" s="9"/>
    </row>
    <row r="539" customFormat="false" ht="15.75" hidden="false" customHeight="false" outlineLevel="0" collapsed="false">
      <c r="A539" s="3" t="n">
        <v>538</v>
      </c>
      <c r="B539" s="4" t="n">
        <v>45648</v>
      </c>
      <c r="C539" s="10" t="str">
        <f aca="false">PROPER(TEXT(WEEKDAY(B539),"dddd"))</f>
        <v>Domingo</v>
      </c>
      <c r="D539" s="11" t="n">
        <v>0.597222222222222</v>
      </c>
      <c r="E539" s="3" t="n">
        <v>538</v>
      </c>
      <c r="F539" s="7" t="n">
        <v>538</v>
      </c>
      <c r="G539" s="3" t="n">
        <v>2</v>
      </c>
      <c r="H539" s="3" t="n">
        <v>1</v>
      </c>
      <c r="I539" s="3" t="n">
        <v>1</v>
      </c>
      <c r="J539" s="3" t="n">
        <v>1</v>
      </c>
      <c r="K539" s="6" t="n">
        <v>3.6</v>
      </c>
      <c r="L539" s="7"/>
      <c r="M539" s="7"/>
      <c r="N539" s="7"/>
      <c r="O539" s="7"/>
      <c r="P539" s="7"/>
      <c r="Q539" s="8"/>
      <c r="Z539" s="9"/>
    </row>
    <row r="540" customFormat="false" ht="15.75" hidden="false" customHeight="false" outlineLevel="0" collapsed="false">
      <c r="A540" s="3" t="n">
        <v>539</v>
      </c>
      <c r="B540" s="4" t="n">
        <v>45648</v>
      </c>
      <c r="C540" s="10" t="str">
        <f aca="false">PROPER(TEXT(WEEKDAY(B540),"dddd"))</f>
        <v>Domingo</v>
      </c>
      <c r="D540" s="11" t="n">
        <v>0.601388888888889</v>
      </c>
      <c r="E540" s="3" t="n">
        <v>539</v>
      </c>
      <c r="F540" s="7" t="n">
        <v>539</v>
      </c>
      <c r="G540" s="3" t="n">
        <v>1</v>
      </c>
      <c r="H540" s="3" t="n">
        <v>1</v>
      </c>
      <c r="I540" s="3" t="n">
        <v>1</v>
      </c>
      <c r="J540" s="3" t="n">
        <v>1</v>
      </c>
      <c r="K540" s="6" t="n">
        <v>3</v>
      </c>
      <c r="L540" s="7"/>
      <c r="M540" s="7"/>
      <c r="N540" s="7"/>
      <c r="O540" s="7"/>
      <c r="P540" s="7"/>
      <c r="Q540" s="8"/>
      <c r="Z540" s="9"/>
    </row>
    <row r="541" customFormat="false" ht="15.75" hidden="false" customHeight="false" outlineLevel="0" collapsed="false">
      <c r="A541" s="3" t="n">
        <v>540</v>
      </c>
      <c r="B541" s="4" t="n">
        <v>45649</v>
      </c>
      <c r="C541" s="10" t="str">
        <f aca="false">PROPER(TEXT(WEEKDAY(B541),"dddd"))</f>
        <v>Segunda-Feira</v>
      </c>
      <c r="D541" s="11" t="n">
        <v>0.725</v>
      </c>
      <c r="E541" s="3" t="n">
        <v>540</v>
      </c>
      <c r="F541" s="7" t="n">
        <v>540</v>
      </c>
      <c r="G541" s="3" t="n">
        <v>1</v>
      </c>
      <c r="H541" s="3" t="n">
        <v>1</v>
      </c>
      <c r="I541" s="3" t="n">
        <v>1</v>
      </c>
      <c r="J541" s="3" t="n">
        <v>1</v>
      </c>
      <c r="K541" s="6" t="n">
        <v>7.5</v>
      </c>
      <c r="L541" s="7"/>
      <c r="M541" s="7"/>
      <c r="N541" s="7"/>
      <c r="O541" s="7"/>
      <c r="P541" s="7"/>
      <c r="Q541" s="8"/>
      <c r="Z541" s="9"/>
    </row>
    <row r="542" customFormat="false" ht="15.75" hidden="false" customHeight="false" outlineLevel="0" collapsed="false">
      <c r="A542" s="3" t="n">
        <v>541</v>
      </c>
      <c r="B542" s="4" t="n">
        <v>45649</v>
      </c>
      <c r="C542" s="10" t="str">
        <f aca="false">PROPER(TEXT(WEEKDAY(B542),"dddd"))</f>
        <v>Segunda-Feira</v>
      </c>
      <c r="D542" s="11" t="n">
        <v>0.740277777777778</v>
      </c>
      <c r="E542" s="3" t="n">
        <v>541</v>
      </c>
      <c r="F542" s="7" t="n">
        <v>541</v>
      </c>
      <c r="G542" s="3" t="n">
        <v>2</v>
      </c>
      <c r="H542" s="3" t="n">
        <v>1</v>
      </c>
      <c r="I542" s="3" t="n">
        <v>1</v>
      </c>
      <c r="J542" s="3" t="n">
        <v>1</v>
      </c>
      <c r="K542" s="6" t="n">
        <v>8.05</v>
      </c>
      <c r="L542" s="7"/>
      <c r="M542" s="7"/>
      <c r="N542" s="7"/>
      <c r="O542" s="7"/>
      <c r="P542" s="7"/>
      <c r="Q542" s="8"/>
      <c r="Z542" s="9"/>
    </row>
    <row r="543" customFormat="false" ht="15.75" hidden="false" customHeight="false" outlineLevel="0" collapsed="false">
      <c r="A543" s="3" t="n">
        <v>542</v>
      </c>
      <c r="B543" s="4" t="n">
        <v>45649</v>
      </c>
      <c r="C543" s="10" t="str">
        <f aca="false">PROPER(TEXT(WEEKDAY(B543),"dddd"))</f>
        <v>Segunda-Feira</v>
      </c>
      <c r="D543" s="11" t="n">
        <v>0.750694444444444</v>
      </c>
      <c r="E543" s="3" t="n">
        <v>542</v>
      </c>
      <c r="F543" s="7" t="n">
        <v>542</v>
      </c>
      <c r="G543" s="3" t="n">
        <v>2</v>
      </c>
      <c r="H543" s="3" t="n">
        <v>1</v>
      </c>
      <c r="I543" s="3" t="n">
        <v>1</v>
      </c>
      <c r="J543" s="3" t="n">
        <v>1</v>
      </c>
      <c r="K543" s="6" t="n">
        <v>5.85</v>
      </c>
      <c r="L543" s="7"/>
      <c r="M543" s="7"/>
      <c r="N543" s="7"/>
      <c r="O543" s="7"/>
      <c r="P543" s="7"/>
      <c r="Q543" s="8"/>
      <c r="Z543" s="9"/>
    </row>
    <row r="544" customFormat="false" ht="15.75" hidden="false" customHeight="false" outlineLevel="0" collapsed="false">
      <c r="A544" s="3" t="n">
        <v>543</v>
      </c>
      <c r="B544" s="4" t="n">
        <v>45649</v>
      </c>
      <c r="C544" s="10" t="str">
        <f aca="false">PROPER(TEXT(WEEKDAY(B544),"dddd"))</f>
        <v>Segunda-Feira</v>
      </c>
      <c r="D544" s="11" t="n">
        <v>0.763194444444444</v>
      </c>
      <c r="E544" s="3" t="n">
        <v>543</v>
      </c>
      <c r="F544" s="7" t="n">
        <v>543</v>
      </c>
      <c r="G544" s="3" t="n">
        <v>1</v>
      </c>
      <c r="H544" s="3" t="n">
        <v>1</v>
      </c>
      <c r="I544" s="3" t="n">
        <v>1</v>
      </c>
      <c r="J544" s="3" t="n">
        <v>1</v>
      </c>
      <c r="K544" s="6" t="n">
        <v>10.65</v>
      </c>
      <c r="L544" s="7"/>
      <c r="M544" s="7"/>
      <c r="N544" s="7"/>
      <c r="O544" s="7"/>
      <c r="P544" s="7"/>
      <c r="Q544" s="8"/>
      <c r="Z544" s="9"/>
    </row>
    <row r="545" customFormat="false" ht="15.75" hidden="false" customHeight="false" outlineLevel="0" collapsed="false">
      <c r="A545" s="3" t="n">
        <v>544</v>
      </c>
      <c r="B545" s="4" t="n">
        <v>45649</v>
      </c>
      <c r="C545" s="10" t="str">
        <f aca="false">PROPER(TEXT(WEEKDAY(B545),"dddd"))</f>
        <v>Segunda-Feira</v>
      </c>
      <c r="D545" s="11" t="n">
        <v>0.779861111111111</v>
      </c>
      <c r="E545" s="3" t="n">
        <v>544</v>
      </c>
      <c r="F545" s="7" t="n">
        <v>544</v>
      </c>
      <c r="G545" s="3" t="n">
        <v>1</v>
      </c>
      <c r="H545" s="3" t="n">
        <v>1</v>
      </c>
      <c r="I545" s="3" t="n">
        <v>1</v>
      </c>
      <c r="J545" s="3" t="n">
        <v>1</v>
      </c>
      <c r="K545" s="6" t="n">
        <v>10</v>
      </c>
      <c r="L545" s="7"/>
      <c r="M545" s="7"/>
      <c r="N545" s="7"/>
      <c r="O545" s="7"/>
      <c r="P545" s="7"/>
      <c r="Q545" s="8"/>
      <c r="Z545" s="9"/>
    </row>
    <row r="546" customFormat="false" ht="15.75" hidden="false" customHeight="false" outlineLevel="0" collapsed="false">
      <c r="A546" s="3" t="n">
        <v>545</v>
      </c>
      <c r="B546" s="4" t="n">
        <v>45649</v>
      </c>
      <c r="C546" s="10" t="str">
        <f aca="false">PROPER(TEXT(WEEKDAY(B546),"dddd"))</f>
        <v>Segunda-Feira</v>
      </c>
      <c r="D546" s="11" t="n">
        <v>0.784722222222222</v>
      </c>
      <c r="E546" s="3" t="n">
        <v>545</v>
      </c>
      <c r="F546" s="7" t="n">
        <v>545</v>
      </c>
      <c r="G546" s="3" t="n">
        <v>2</v>
      </c>
      <c r="H546" s="3" t="n">
        <v>1</v>
      </c>
      <c r="I546" s="3" t="n">
        <v>1</v>
      </c>
      <c r="J546" s="3" t="n">
        <v>1</v>
      </c>
      <c r="K546" s="6" t="n">
        <v>8.85</v>
      </c>
      <c r="L546" s="7"/>
      <c r="M546" s="7"/>
      <c r="N546" s="7"/>
      <c r="O546" s="7"/>
      <c r="P546" s="7"/>
      <c r="Q546" s="8"/>
      <c r="Z546" s="9"/>
    </row>
    <row r="547" customFormat="false" ht="15.75" hidden="false" customHeight="false" outlineLevel="0" collapsed="false">
      <c r="A547" s="3" t="n">
        <v>546</v>
      </c>
      <c r="B547" s="4" t="n">
        <v>45652</v>
      </c>
      <c r="C547" s="10" t="str">
        <f aca="false">PROPER(TEXT(WEEKDAY(B547),"dddd"))</f>
        <v>Quinta-Feira</v>
      </c>
      <c r="D547" s="11" t="n">
        <v>0.722222222222222</v>
      </c>
      <c r="E547" s="3" t="n">
        <v>546</v>
      </c>
      <c r="F547" s="7" t="n">
        <v>546</v>
      </c>
      <c r="G547" s="3" t="n">
        <v>1</v>
      </c>
      <c r="H547" s="3" t="n">
        <v>1</v>
      </c>
      <c r="I547" s="3" t="n">
        <v>1</v>
      </c>
      <c r="J547" s="3" t="n">
        <v>1</v>
      </c>
      <c r="K547" s="6" t="n">
        <v>28.7</v>
      </c>
      <c r="L547" s="7"/>
      <c r="M547" s="7"/>
      <c r="N547" s="7"/>
      <c r="O547" s="7"/>
      <c r="P547" s="7"/>
      <c r="Q547" s="8"/>
      <c r="Z547" s="9"/>
    </row>
    <row r="548" customFormat="false" ht="15.75" hidden="false" customHeight="false" outlineLevel="0" collapsed="false">
      <c r="A548" s="3" t="n">
        <v>547</v>
      </c>
      <c r="B548" s="4" t="n">
        <v>45652</v>
      </c>
      <c r="C548" s="10" t="str">
        <f aca="false">PROPER(TEXT(WEEKDAY(B548),"dddd"))</f>
        <v>Quinta-Feira</v>
      </c>
      <c r="D548" s="11" t="n">
        <v>0.744444444444445</v>
      </c>
      <c r="E548" s="3" t="n">
        <v>547</v>
      </c>
      <c r="F548" s="7" t="n">
        <v>547</v>
      </c>
      <c r="G548" s="3" t="n">
        <v>2</v>
      </c>
      <c r="H548" s="3" t="n">
        <v>1</v>
      </c>
      <c r="I548" s="3" t="n">
        <v>1</v>
      </c>
      <c r="J548" s="3" t="n">
        <v>1</v>
      </c>
      <c r="K548" s="6" t="n">
        <v>23.25</v>
      </c>
      <c r="L548" s="7"/>
      <c r="M548" s="7"/>
      <c r="N548" s="7"/>
      <c r="O548" s="7"/>
      <c r="P548" s="7"/>
      <c r="Q548" s="8"/>
      <c r="Z548" s="9"/>
    </row>
    <row r="549" customFormat="false" ht="15.75" hidden="false" customHeight="false" outlineLevel="0" collapsed="false">
      <c r="A549" s="3" t="n">
        <v>548</v>
      </c>
      <c r="B549" s="4" t="n">
        <v>45652</v>
      </c>
      <c r="C549" s="10" t="str">
        <f aca="false">PROPER(TEXT(WEEKDAY(B549),"dddd"))</f>
        <v>Quinta-Feira</v>
      </c>
      <c r="D549" s="11" t="n">
        <v>0.766666666666667</v>
      </c>
      <c r="E549" s="3" t="n">
        <v>548</v>
      </c>
      <c r="F549" s="7" t="n">
        <v>548</v>
      </c>
      <c r="G549" s="3" t="n">
        <v>1</v>
      </c>
      <c r="H549" s="3" t="n">
        <v>1</v>
      </c>
      <c r="I549" s="3" t="n">
        <v>1</v>
      </c>
      <c r="J549" s="3" t="n">
        <v>1</v>
      </c>
      <c r="K549" s="6" t="n">
        <v>26</v>
      </c>
      <c r="L549" s="7"/>
      <c r="M549" s="7"/>
      <c r="N549" s="7"/>
      <c r="O549" s="7"/>
      <c r="P549" s="7"/>
      <c r="Q549" s="8"/>
      <c r="Z549" s="9"/>
    </row>
    <row r="550" customFormat="false" ht="15.75" hidden="false" customHeight="false" outlineLevel="0" collapsed="false">
      <c r="A550" s="3" t="n">
        <v>549</v>
      </c>
      <c r="B550" s="4" t="n">
        <v>45652</v>
      </c>
      <c r="C550" s="10" t="str">
        <f aca="false">PROPER(TEXT(WEEKDAY(B550),"dddd"))</f>
        <v>Quinta-Feira</v>
      </c>
      <c r="D550" s="11" t="n">
        <v>0.789583333333333</v>
      </c>
      <c r="E550" s="3" t="n">
        <v>549</v>
      </c>
      <c r="F550" s="7" t="n">
        <v>549</v>
      </c>
      <c r="G550" s="3" t="n">
        <v>2</v>
      </c>
      <c r="H550" s="3" t="n">
        <v>1</v>
      </c>
      <c r="I550" s="3" t="n">
        <v>1</v>
      </c>
      <c r="J550" s="3" t="n">
        <v>1</v>
      </c>
      <c r="K550" s="6" t="n">
        <v>21.45</v>
      </c>
      <c r="L550" s="7"/>
      <c r="M550" s="7"/>
      <c r="N550" s="7"/>
      <c r="O550" s="7"/>
      <c r="P550" s="7"/>
      <c r="Q550" s="8"/>
      <c r="Z550" s="9"/>
    </row>
    <row r="551" customFormat="false" ht="15.75" hidden="false" customHeight="false" outlineLevel="0" collapsed="false">
      <c r="A551" s="3" t="n">
        <v>550</v>
      </c>
      <c r="B551" s="4" t="n">
        <v>45652</v>
      </c>
      <c r="C551" s="10" t="str">
        <f aca="false">PROPER(TEXT(WEEKDAY(B551),"dddd"))</f>
        <v>Quinta-Feira</v>
      </c>
      <c r="D551" s="11" t="n">
        <v>0.806944444444445</v>
      </c>
      <c r="E551" s="3" t="n">
        <v>550</v>
      </c>
      <c r="F551" s="7" t="n">
        <v>550</v>
      </c>
      <c r="G551" s="3" t="n">
        <v>2</v>
      </c>
      <c r="H551" s="3" t="n">
        <v>1</v>
      </c>
      <c r="I551" s="3" t="n">
        <v>1</v>
      </c>
      <c r="J551" s="3" t="n">
        <v>1</v>
      </c>
      <c r="K551" s="6" t="n">
        <v>10.25</v>
      </c>
      <c r="L551" s="7"/>
      <c r="M551" s="7"/>
      <c r="N551" s="7"/>
      <c r="O551" s="7"/>
      <c r="P551" s="7"/>
      <c r="Q551" s="8"/>
      <c r="Z551" s="9"/>
    </row>
    <row r="552" customFormat="false" ht="15.75" hidden="false" customHeight="false" outlineLevel="0" collapsed="false">
      <c r="A552" s="3" t="n">
        <v>551</v>
      </c>
      <c r="B552" s="4" t="n">
        <v>45655</v>
      </c>
      <c r="C552" s="10" t="str">
        <f aca="false">PROPER(TEXT(WEEKDAY(B552),"dddd"))</f>
        <v>Domingo</v>
      </c>
      <c r="D552" s="11" t="n">
        <v>0.5125</v>
      </c>
      <c r="E552" s="3" t="n">
        <v>551</v>
      </c>
      <c r="F552" s="7" t="n">
        <v>551</v>
      </c>
      <c r="G552" s="3" t="n">
        <v>2</v>
      </c>
      <c r="H552" s="3" t="n">
        <v>1</v>
      </c>
      <c r="I552" s="3" t="n">
        <v>1</v>
      </c>
      <c r="J552" s="3" t="n">
        <v>1</v>
      </c>
      <c r="K552" s="6" t="n">
        <v>9.1</v>
      </c>
      <c r="L552" s="7"/>
      <c r="M552" s="7"/>
      <c r="N552" s="7"/>
      <c r="O552" s="7"/>
      <c r="P552" s="7"/>
      <c r="Q552" s="8"/>
      <c r="Z552" s="9"/>
    </row>
    <row r="553" customFormat="false" ht="15.75" hidden="false" customHeight="false" outlineLevel="0" collapsed="false">
      <c r="A553" s="3" t="n">
        <v>552</v>
      </c>
      <c r="B553" s="4" t="n">
        <v>45655</v>
      </c>
      <c r="C553" s="10" t="str">
        <f aca="false">PROPER(TEXT(WEEKDAY(B553),"dddd"))</f>
        <v>Domingo</v>
      </c>
      <c r="D553" s="11" t="n">
        <v>0.522222222222222</v>
      </c>
      <c r="E553" s="3" t="n">
        <v>552</v>
      </c>
      <c r="F553" s="7" t="n">
        <v>552</v>
      </c>
      <c r="G553" s="3" t="n">
        <v>1</v>
      </c>
      <c r="H553" s="3" t="n">
        <v>1</v>
      </c>
      <c r="I553" s="3" t="n">
        <v>1</v>
      </c>
      <c r="J553" s="3" t="n">
        <v>1</v>
      </c>
      <c r="K553" s="6" t="n">
        <v>10.15</v>
      </c>
      <c r="L553" s="7"/>
      <c r="M553" s="7"/>
      <c r="N553" s="7"/>
      <c r="O553" s="7"/>
      <c r="P553" s="7"/>
      <c r="Q553" s="8"/>
      <c r="Z553" s="9"/>
    </row>
    <row r="554" customFormat="false" ht="15.75" hidden="false" customHeight="false" outlineLevel="0" collapsed="false">
      <c r="A554" s="3" t="n">
        <v>553</v>
      </c>
      <c r="B554" s="4" t="n">
        <v>45655</v>
      </c>
      <c r="C554" s="10" t="str">
        <f aca="false">PROPER(TEXT(WEEKDAY(B554),"dddd"))</f>
        <v>Domingo</v>
      </c>
      <c r="D554" s="11" t="n">
        <v>0.524305555555556</v>
      </c>
      <c r="E554" s="3" t="n">
        <v>553</v>
      </c>
      <c r="F554" s="7" t="n">
        <v>553</v>
      </c>
      <c r="G554" s="3" t="n">
        <v>1</v>
      </c>
      <c r="H554" s="3" t="n">
        <v>1</v>
      </c>
      <c r="I554" s="3" t="n">
        <v>1</v>
      </c>
      <c r="J554" s="3" t="n">
        <v>1</v>
      </c>
      <c r="K554" s="6" t="n">
        <v>11.6</v>
      </c>
      <c r="L554" s="7"/>
      <c r="M554" s="7"/>
      <c r="N554" s="7"/>
      <c r="O554" s="7"/>
      <c r="P554" s="7"/>
      <c r="Q554" s="8"/>
      <c r="Z554" s="9"/>
    </row>
    <row r="555" customFormat="false" ht="15.75" hidden="false" customHeight="false" outlineLevel="0" collapsed="false">
      <c r="A555" s="3" t="n">
        <v>554</v>
      </c>
      <c r="B555" s="4" t="n">
        <v>45655</v>
      </c>
      <c r="C555" s="10" t="str">
        <f aca="false">PROPER(TEXT(WEEKDAY(B555),"dddd"))</f>
        <v>Domingo</v>
      </c>
      <c r="D555" s="11" t="n">
        <v>0.543055555555556</v>
      </c>
      <c r="E555" s="3" t="n">
        <v>554</v>
      </c>
      <c r="F555" s="7" t="n">
        <v>554</v>
      </c>
      <c r="G555" s="3" t="n">
        <v>2</v>
      </c>
      <c r="H555" s="3" t="n">
        <v>1</v>
      </c>
      <c r="I555" s="3" t="n">
        <v>1</v>
      </c>
      <c r="J555" s="3" t="n">
        <v>1</v>
      </c>
      <c r="K555" s="6" t="n">
        <v>13.1</v>
      </c>
      <c r="L555" s="7"/>
      <c r="M555" s="7"/>
      <c r="N555" s="7"/>
      <c r="O555" s="7"/>
      <c r="P555" s="7"/>
      <c r="Q555" s="8"/>
      <c r="Z555" s="9"/>
    </row>
    <row r="556" customFormat="false" ht="15.75" hidden="false" customHeight="false" outlineLevel="0" collapsed="false">
      <c r="A556" s="3" t="n">
        <v>555</v>
      </c>
      <c r="B556" s="4" t="n">
        <v>45655</v>
      </c>
      <c r="C556" s="10" t="str">
        <f aca="false">PROPER(TEXT(WEEKDAY(B556),"dddd"))</f>
        <v>Domingo</v>
      </c>
      <c r="D556" s="11" t="n">
        <v>0.566666666666667</v>
      </c>
      <c r="E556" s="3" t="n">
        <v>555</v>
      </c>
      <c r="F556" s="7" t="n">
        <v>555</v>
      </c>
      <c r="G556" s="3" t="n">
        <v>2</v>
      </c>
      <c r="H556" s="3" t="n">
        <v>1</v>
      </c>
      <c r="I556" s="3" t="n">
        <v>1</v>
      </c>
      <c r="J556" s="3" t="n">
        <v>1</v>
      </c>
      <c r="K556" s="6" t="n">
        <v>4.7</v>
      </c>
      <c r="L556" s="7"/>
      <c r="M556" s="7"/>
      <c r="N556" s="7"/>
      <c r="O556" s="7"/>
      <c r="P556" s="7"/>
      <c r="Q556" s="8"/>
      <c r="Z556" s="9"/>
    </row>
    <row r="557" customFormat="false" ht="15.75" hidden="false" customHeight="false" outlineLevel="0" collapsed="false">
      <c r="A557" s="3" t="n">
        <v>556</v>
      </c>
      <c r="B557" s="4" t="n">
        <v>45656</v>
      </c>
      <c r="C557" s="10" t="str">
        <f aca="false">PROPER(TEXT(WEEKDAY(B557),"dddd"))</f>
        <v>Segunda-Feira</v>
      </c>
      <c r="D557" s="11" t="n">
        <v>0.715972222222222</v>
      </c>
      <c r="E557" s="3" t="n">
        <v>556</v>
      </c>
      <c r="F557" s="7" t="n">
        <v>556</v>
      </c>
      <c r="G557" s="3" t="n">
        <v>1</v>
      </c>
      <c r="H557" s="3" t="n">
        <v>1</v>
      </c>
      <c r="I557" s="3" t="n">
        <v>1</v>
      </c>
      <c r="J557" s="3" t="n">
        <v>1</v>
      </c>
      <c r="K557" s="6" t="n">
        <v>28.8</v>
      </c>
      <c r="L557" s="7"/>
      <c r="M557" s="7"/>
      <c r="N557" s="7"/>
      <c r="O557" s="7"/>
      <c r="P557" s="7"/>
      <c r="Q557" s="8"/>
      <c r="Z557" s="9"/>
    </row>
    <row r="558" customFormat="false" ht="15.75" hidden="false" customHeight="false" outlineLevel="0" collapsed="false">
      <c r="A558" s="3" t="n">
        <v>557</v>
      </c>
      <c r="B558" s="4" t="n">
        <v>45656</v>
      </c>
      <c r="C558" s="10" t="str">
        <f aca="false">PROPER(TEXT(WEEKDAY(B558),"dddd"))</f>
        <v>Segunda-Feira</v>
      </c>
      <c r="D558" s="11" t="n">
        <v>0.735416666666667</v>
      </c>
      <c r="E558" s="3" t="n">
        <v>557</v>
      </c>
      <c r="F558" s="7" t="n">
        <v>557</v>
      </c>
      <c r="G558" s="3" t="n">
        <v>2</v>
      </c>
      <c r="H558" s="3" t="n">
        <v>1</v>
      </c>
      <c r="I558" s="3" t="n">
        <v>1</v>
      </c>
      <c r="J558" s="3" t="n">
        <v>1</v>
      </c>
      <c r="K558" s="6" t="n">
        <v>26.9</v>
      </c>
      <c r="L558" s="7"/>
      <c r="M558" s="7"/>
      <c r="N558" s="7"/>
      <c r="O558" s="7"/>
      <c r="P558" s="7"/>
      <c r="Q558" s="8"/>
      <c r="Z558" s="9"/>
    </row>
    <row r="559" customFormat="false" ht="15.75" hidden="false" customHeight="false" outlineLevel="0" collapsed="false">
      <c r="A559" s="3" t="n">
        <v>558</v>
      </c>
      <c r="B559" s="4" t="n">
        <v>45656</v>
      </c>
      <c r="C559" s="10" t="str">
        <f aca="false">PROPER(TEXT(WEEKDAY(B559),"dddd"))</f>
        <v>Segunda-Feira</v>
      </c>
      <c r="D559" s="11" t="n">
        <v>0.770833333333333</v>
      </c>
      <c r="E559" s="3" t="n">
        <v>558</v>
      </c>
      <c r="F559" s="7" t="n">
        <v>558</v>
      </c>
      <c r="G559" s="3" t="n">
        <v>1</v>
      </c>
      <c r="H559" s="3" t="n">
        <v>1</v>
      </c>
      <c r="I559" s="3" t="n">
        <v>1</v>
      </c>
      <c r="J559" s="3" t="n">
        <v>1</v>
      </c>
      <c r="K559" s="6" t="n">
        <v>18.4</v>
      </c>
      <c r="L559" s="7"/>
      <c r="M559" s="7"/>
      <c r="N559" s="7"/>
      <c r="O559" s="7"/>
      <c r="P559" s="7"/>
      <c r="Q559" s="8"/>
      <c r="Z559" s="9"/>
    </row>
    <row r="560" customFormat="false" ht="15.75" hidden="false" customHeight="false" outlineLevel="0" collapsed="false">
      <c r="A560" s="3" t="n">
        <v>559</v>
      </c>
      <c r="B560" s="4" t="n">
        <v>45656</v>
      </c>
      <c r="C560" s="10" t="str">
        <f aca="false">PROPER(TEXT(WEEKDAY(B560),"dddd"))</f>
        <v>Segunda-Feira</v>
      </c>
      <c r="D560" s="11" t="n">
        <v>0.796527777777778</v>
      </c>
      <c r="E560" s="3" t="n">
        <v>559</v>
      </c>
      <c r="F560" s="7" t="n">
        <v>559</v>
      </c>
      <c r="G560" s="3" t="n">
        <v>2</v>
      </c>
      <c r="H560" s="3" t="n">
        <v>1</v>
      </c>
      <c r="I560" s="3" t="n">
        <v>1</v>
      </c>
      <c r="J560" s="3" t="n">
        <v>1</v>
      </c>
      <c r="K560" s="6" t="n">
        <v>5</v>
      </c>
      <c r="L560" s="7"/>
      <c r="M560" s="7"/>
      <c r="N560" s="7"/>
      <c r="O560" s="7"/>
      <c r="P560" s="7"/>
      <c r="Q560" s="8"/>
      <c r="Z560" s="9"/>
    </row>
    <row r="561" customFormat="false" ht="15.75" hidden="false" customHeight="false" outlineLevel="0" collapsed="false">
      <c r="A561" s="3" t="n">
        <v>560</v>
      </c>
      <c r="B561" s="4" t="n">
        <v>45656</v>
      </c>
      <c r="C561" s="10" t="str">
        <f aca="false">PROPER(TEXT(WEEKDAY(B561),"dddd"))</f>
        <v>Segunda-Feira</v>
      </c>
      <c r="D561" s="11" t="n">
        <v>0.797916666666667</v>
      </c>
      <c r="E561" s="3" t="n">
        <v>560</v>
      </c>
      <c r="F561" s="7" t="n">
        <v>560</v>
      </c>
      <c r="G561" s="3" t="n">
        <v>2</v>
      </c>
      <c r="H561" s="3" t="n">
        <v>1</v>
      </c>
      <c r="I561" s="3" t="n">
        <v>1</v>
      </c>
      <c r="J561" s="3" t="n">
        <v>1</v>
      </c>
      <c r="K561" s="6" t="n">
        <v>12.5</v>
      </c>
      <c r="L561" s="7"/>
      <c r="M561" s="7"/>
      <c r="N561" s="7"/>
      <c r="O561" s="7"/>
      <c r="P561" s="7"/>
      <c r="Q561" s="8"/>
      <c r="Z561" s="9"/>
    </row>
    <row r="562" customFormat="false" ht="15.75" hidden="false" customHeight="false" outlineLevel="0" collapsed="false">
      <c r="A562" s="3" t="n">
        <v>561</v>
      </c>
      <c r="B562" s="4" t="n">
        <v>45656</v>
      </c>
      <c r="C562" s="10" t="str">
        <f aca="false">PROPER(TEXT(WEEKDAY(B562),"dddd"))</f>
        <v>Segunda-Feira</v>
      </c>
      <c r="D562" s="11" t="n">
        <v>0.817361111111111</v>
      </c>
      <c r="E562" s="3" t="n">
        <v>561</v>
      </c>
      <c r="F562" s="7" t="n">
        <v>561</v>
      </c>
      <c r="G562" s="3" t="n">
        <v>2</v>
      </c>
      <c r="H562" s="3" t="n">
        <v>1</v>
      </c>
      <c r="I562" s="3" t="n">
        <v>1</v>
      </c>
      <c r="J562" s="3" t="n">
        <v>1</v>
      </c>
      <c r="K562" s="6" t="n">
        <v>3.9</v>
      </c>
      <c r="L562" s="7"/>
      <c r="M562" s="7"/>
      <c r="N562" s="7"/>
      <c r="O562" s="7"/>
      <c r="P562" s="7"/>
      <c r="Q562" s="8"/>
      <c r="Z562" s="9"/>
    </row>
    <row r="563" customFormat="false" ht="15.75" hidden="false" customHeight="false" outlineLevel="0" collapsed="false">
      <c r="A563" s="3" t="n">
        <v>562</v>
      </c>
      <c r="B563" s="4" t="n">
        <v>45656</v>
      </c>
      <c r="C563" s="10" t="str">
        <f aca="false">PROPER(TEXT(WEEKDAY(B563),"dddd"))</f>
        <v>Segunda-Feira</v>
      </c>
      <c r="D563" s="11" t="n">
        <v>0.824305555555556</v>
      </c>
      <c r="E563" s="3" t="n">
        <v>562</v>
      </c>
      <c r="F563" s="7" t="n">
        <v>562</v>
      </c>
      <c r="G563" s="3" t="n">
        <v>1</v>
      </c>
      <c r="H563" s="3" t="n">
        <v>1</v>
      </c>
      <c r="I563" s="3" t="n">
        <v>1</v>
      </c>
      <c r="J563" s="3" t="n">
        <v>1</v>
      </c>
      <c r="K563" s="6" t="n">
        <v>7.25</v>
      </c>
      <c r="L563" s="7"/>
      <c r="M563" s="7"/>
      <c r="N563" s="7"/>
      <c r="O563" s="7"/>
      <c r="P563" s="7"/>
      <c r="Q563" s="8"/>
      <c r="Z563" s="9"/>
    </row>
    <row r="564" customFormat="false" ht="15.75" hidden="false" customHeight="false" outlineLevel="0" collapsed="false">
      <c r="A564" s="3"/>
      <c r="B564" s="4"/>
      <c r="C564" s="5"/>
      <c r="D564" s="11"/>
      <c r="E564" s="11"/>
      <c r="F564" s="11"/>
      <c r="G564" s="3"/>
      <c r="H564" s="3"/>
      <c r="I564" s="3"/>
      <c r="J564" s="3"/>
      <c r="K564" s="6"/>
      <c r="L564" s="7"/>
      <c r="M564" s="7"/>
      <c r="N564" s="7"/>
      <c r="O564" s="7"/>
      <c r="P564" s="7"/>
      <c r="Q564" s="8"/>
      <c r="Z564" s="9"/>
    </row>
    <row r="565" customFormat="false" ht="15.75" hidden="false" customHeight="false" outlineLevel="0" collapsed="false">
      <c r="A565" s="3"/>
      <c r="B565" s="4"/>
      <c r="C565" s="5"/>
      <c r="D565" s="11"/>
      <c r="E565" s="11"/>
      <c r="F565" s="11"/>
      <c r="G565" s="3"/>
      <c r="H565" s="3"/>
      <c r="I565" s="3"/>
      <c r="J565" s="3"/>
      <c r="K565" s="6"/>
      <c r="L565" s="7"/>
      <c r="M565" s="7"/>
      <c r="N565" s="7"/>
      <c r="O565" s="7"/>
      <c r="P565" s="7"/>
      <c r="Q565" s="8"/>
      <c r="Z565" s="9"/>
    </row>
    <row r="566" customFormat="false" ht="15.75" hidden="false" customHeight="false" outlineLevel="0" collapsed="false">
      <c r="A566" s="3"/>
      <c r="B566" s="4"/>
      <c r="C566" s="5"/>
      <c r="D566" s="11"/>
      <c r="E566" s="11"/>
      <c r="F566" s="11"/>
      <c r="G566" s="3"/>
      <c r="H566" s="3"/>
      <c r="I566" s="3"/>
      <c r="J566" s="3"/>
      <c r="K566" s="6"/>
      <c r="L566" s="7"/>
      <c r="M566" s="7"/>
      <c r="N566" s="7"/>
      <c r="O566" s="7"/>
      <c r="P566" s="7"/>
      <c r="Q566" s="8"/>
      <c r="Z566" s="9"/>
    </row>
    <row r="567" customFormat="false" ht="15.75" hidden="false" customHeight="false" outlineLevel="0" collapsed="false">
      <c r="A567" s="3"/>
      <c r="B567" s="4"/>
      <c r="C567" s="5"/>
      <c r="D567" s="11"/>
      <c r="E567" s="11"/>
      <c r="F567" s="11"/>
      <c r="G567" s="3"/>
      <c r="H567" s="3"/>
      <c r="I567" s="3"/>
      <c r="J567" s="3"/>
      <c r="K567" s="6"/>
      <c r="L567" s="7"/>
      <c r="M567" s="7"/>
      <c r="N567" s="7"/>
      <c r="O567" s="7"/>
      <c r="P567" s="7"/>
      <c r="Q567" s="8"/>
      <c r="Z567" s="9"/>
    </row>
    <row r="568" customFormat="false" ht="15.75" hidden="false" customHeight="false" outlineLevel="0" collapsed="false">
      <c r="A568" s="3"/>
      <c r="B568" s="4"/>
      <c r="C568" s="5"/>
      <c r="D568" s="11"/>
      <c r="E568" s="11"/>
      <c r="F568" s="11"/>
      <c r="G568" s="3"/>
      <c r="H568" s="3"/>
      <c r="I568" s="3"/>
      <c r="J568" s="3"/>
      <c r="K568" s="6"/>
      <c r="L568" s="7"/>
      <c r="M568" s="7"/>
      <c r="N568" s="7"/>
      <c r="O568" s="7"/>
      <c r="P568" s="7"/>
      <c r="Q568" s="8"/>
      <c r="Z568" s="9"/>
    </row>
    <row r="569" customFormat="false" ht="15.75" hidden="false" customHeight="false" outlineLevel="0" collapsed="false">
      <c r="A569" s="3"/>
      <c r="B569" s="4"/>
      <c r="C569" s="5"/>
      <c r="D569" s="11"/>
      <c r="E569" s="11"/>
      <c r="F569" s="11"/>
      <c r="G569" s="3"/>
      <c r="H569" s="3"/>
      <c r="I569" s="3"/>
      <c r="J569" s="3"/>
      <c r="K569" s="6"/>
      <c r="L569" s="7"/>
      <c r="M569" s="7"/>
      <c r="N569" s="7"/>
      <c r="O569" s="7"/>
      <c r="P569" s="7"/>
      <c r="Q569" s="8"/>
      <c r="Z569" s="9"/>
    </row>
    <row r="570" customFormat="false" ht="15.75" hidden="false" customHeight="false" outlineLevel="0" collapsed="false">
      <c r="A570" s="3"/>
      <c r="B570" s="4"/>
      <c r="C570" s="5"/>
      <c r="D570" s="11"/>
      <c r="E570" s="11"/>
      <c r="F570" s="11"/>
      <c r="G570" s="3"/>
      <c r="H570" s="3"/>
      <c r="I570" s="3"/>
      <c r="J570" s="3"/>
      <c r="K570" s="6"/>
      <c r="L570" s="7"/>
      <c r="M570" s="7"/>
      <c r="N570" s="7"/>
      <c r="O570" s="7"/>
      <c r="P570" s="7"/>
      <c r="Q570" s="8"/>
      <c r="Z570" s="9"/>
    </row>
    <row r="571" customFormat="false" ht="15.75" hidden="false" customHeight="false" outlineLevel="0" collapsed="false">
      <c r="A571" s="3"/>
      <c r="B571" s="4"/>
      <c r="C571" s="5"/>
      <c r="D571" s="11"/>
      <c r="E571" s="11"/>
      <c r="F571" s="11"/>
      <c r="G571" s="3"/>
      <c r="H571" s="3"/>
      <c r="I571" s="3"/>
      <c r="J571" s="3"/>
      <c r="K571" s="6"/>
      <c r="L571" s="7"/>
      <c r="M571" s="7"/>
      <c r="N571" s="7"/>
      <c r="O571" s="7"/>
      <c r="P571" s="7"/>
      <c r="Q571" s="8"/>
      <c r="Z571" s="9"/>
    </row>
    <row r="572" customFormat="false" ht="15.75" hidden="false" customHeight="false" outlineLevel="0" collapsed="false">
      <c r="A572" s="3"/>
      <c r="B572" s="4"/>
      <c r="C572" s="5"/>
      <c r="D572" s="11"/>
      <c r="E572" s="11"/>
      <c r="F572" s="11"/>
      <c r="G572" s="3"/>
      <c r="H572" s="3"/>
      <c r="I572" s="3"/>
      <c r="J572" s="3"/>
      <c r="K572" s="6"/>
      <c r="L572" s="7"/>
      <c r="M572" s="7"/>
      <c r="N572" s="7"/>
      <c r="O572" s="7"/>
      <c r="P572" s="7"/>
      <c r="Q572" s="8"/>
      <c r="Z572" s="9"/>
    </row>
    <row r="573" customFormat="false" ht="15.75" hidden="false" customHeight="false" outlineLevel="0" collapsed="false">
      <c r="A573" s="3"/>
      <c r="B573" s="4"/>
      <c r="C573" s="5"/>
      <c r="D573" s="11"/>
      <c r="E573" s="11"/>
      <c r="F573" s="11"/>
      <c r="G573" s="3"/>
      <c r="H573" s="3"/>
      <c r="I573" s="3"/>
      <c r="J573" s="3"/>
      <c r="K573" s="6"/>
      <c r="L573" s="7"/>
      <c r="M573" s="7"/>
      <c r="N573" s="7"/>
      <c r="O573" s="7"/>
      <c r="P573" s="7"/>
      <c r="Q573" s="8"/>
      <c r="Z573" s="9"/>
    </row>
    <row r="574" customFormat="false" ht="15.75" hidden="false" customHeight="false" outlineLevel="0" collapsed="false">
      <c r="A574" s="3"/>
      <c r="B574" s="4"/>
      <c r="C574" s="5"/>
      <c r="D574" s="11"/>
      <c r="E574" s="11"/>
      <c r="F574" s="11"/>
      <c r="G574" s="3"/>
      <c r="H574" s="3"/>
      <c r="I574" s="3"/>
      <c r="J574" s="3"/>
      <c r="K574" s="6"/>
      <c r="L574" s="7"/>
      <c r="M574" s="7"/>
      <c r="N574" s="7"/>
      <c r="O574" s="7"/>
      <c r="P574" s="7"/>
      <c r="Q574" s="8"/>
      <c r="Z574" s="9"/>
    </row>
    <row r="575" customFormat="false" ht="15.75" hidden="false" customHeight="false" outlineLevel="0" collapsed="false">
      <c r="A575" s="3"/>
      <c r="B575" s="4"/>
      <c r="C575" s="5"/>
      <c r="D575" s="11"/>
      <c r="E575" s="11"/>
      <c r="F575" s="11"/>
      <c r="G575" s="3"/>
      <c r="H575" s="3"/>
      <c r="I575" s="3"/>
      <c r="J575" s="3"/>
      <c r="K575" s="6"/>
      <c r="L575" s="7"/>
      <c r="M575" s="7"/>
      <c r="N575" s="7"/>
      <c r="O575" s="7"/>
      <c r="P575" s="7"/>
      <c r="Q575" s="8"/>
      <c r="Z575" s="9"/>
    </row>
    <row r="576" customFormat="false" ht="15.75" hidden="false" customHeight="false" outlineLevel="0" collapsed="false">
      <c r="A576" s="3"/>
      <c r="B576" s="4"/>
      <c r="C576" s="5"/>
      <c r="D576" s="11"/>
      <c r="E576" s="11"/>
      <c r="F576" s="11"/>
      <c r="G576" s="3"/>
      <c r="H576" s="3"/>
      <c r="I576" s="3"/>
      <c r="J576" s="3"/>
      <c r="K576" s="6"/>
      <c r="L576" s="7"/>
      <c r="M576" s="7"/>
      <c r="N576" s="7"/>
      <c r="O576" s="7"/>
      <c r="P576" s="7"/>
      <c r="Q576" s="8"/>
      <c r="Z576" s="9"/>
    </row>
    <row r="577" customFormat="false" ht="15.75" hidden="false" customHeight="false" outlineLevel="0" collapsed="false">
      <c r="A577" s="3"/>
      <c r="B577" s="4"/>
      <c r="C577" s="5"/>
      <c r="D577" s="11"/>
      <c r="E577" s="11"/>
      <c r="F577" s="11"/>
      <c r="G577" s="3"/>
      <c r="H577" s="3"/>
      <c r="I577" s="3"/>
      <c r="J577" s="3"/>
      <c r="K577" s="6"/>
      <c r="L577" s="7"/>
      <c r="M577" s="7"/>
      <c r="N577" s="7"/>
      <c r="O577" s="7"/>
      <c r="P577" s="7"/>
      <c r="Q577" s="8"/>
      <c r="Z577" s="9"/>
    </row>
    <row r="578" customFormat="false" ht="15.75" hidden="false" customHeight="false" outlineLevel="0" collapsed="false">
      <c r="A578" s="3"/>
      <c r="B578" s="4"/>
      <c r="C578" s="5"/>
      <c r="D578" s="11"/>
      <c r="E578" s="11"/>
      <c r="F578" s="11"/>
      <c r="G578" s="3"/>
      <c r="H578" s="3"/>
      <c r="I578" s="3"/>
      <c r="J578" s="3"/>
      <c r="K578" s="6"/>
      <c r="L578" s="7"/>
      <c r="M578" s="7"/>
      <c r="N578" s="7"/>
      <c r="O578" s="7"/>
      <c r="P578" s="7"/>
      <c r="Q578" s="8"/>
      <c r="Z578" s="9"/>
    </row>
    <row r="579" customFormat="false" ht="15.75" hidden="false" customHeight="false" outlineLevel="0" collapsed="false">
      <c r="A579" s="3"/>
      <c r="B579" s="4"/>
      <c r="C579" s="5"/>
      <c r="D579" s="11"/>
      <c r="E579" s="11"/>
      <c r="F579" s="11"/>
      <c r="G579" s="3"/>
      <c r="H579" s="3"/>
      <c r="I579" s="3"/>
      <c r="J579" s="3"/>
      <c r="K579" s="6"/>
      <c r="L579" s="7"/>
      <c r="M579" s="7"/>
      <c r="N579" s="7"/>
      <c r="O579" s="7"/>
      <c r="P579" s="7"/>
      <c r="Q579" s="8"/>
      <c r="Z579" s="9"/>
    </row>
    <row r="580" customFormat="false" ht="15.75" hidden="false" customHeight="false" outlineLevel="0" collapsed="false">
      <c r="A580" s="3"/>
      <c r="B580" s="4"/>
      <c r="C580" s="5"/>
      <c r="D580" s="11"/>
      <c r="E580" s="11"/>
      <c r="F580" s="11"/>
      <c r="G580" s="3"/>
      <c r="H580" s="3"/>
      <c r="I580" s="3"/>
      <c r="J580" s="3"/>
      <c r="K580" s="6"/>
      <c r="L580" s="7"/>
      <c r="M580" s="7"/>
      <c r="N580" s="7"/>
      <c r="O580" s="7"/>
      <c r="P580" s="7"/>
      <c r="Q580" s="8"/>
      <c r="Z580" s="9"/>
    </row>
    <row r="581" customFormat="false" ht="15.75" hidden="false" customHeight="false" outlineLevel="0" collapsed="false">
      <c r="A581" s="3"/>
      <c r="B581" s="4"/>
      <c r="C581" s="5"/>
      <c r="D581" s="11"/>
      <c r="E581" s="11"/>
      <c r="F581" s="11"/>
      <c r="G581" s="3"/>
      <c r="H581" s="3"/>
      <c r="I581" s="3"/>
      <c r="J581" s="3"/>
      <c r="K581" s="6"/>
      <c r="L581" s="7"/>
      <c r="M581" s="7"/>
      <c r="N581" s="7"/>
      <c r="O581" s="7"/>
      <c r="P581" s="7"/>
      <c r="Q581" s="8"/>
      <c r="Z581" s="9"/>
    </row>
    <row r="582" customFormat="false" ht="15.75" hidden="false" customHeight="false" outlineLevel="0" collapsed="false">
      <c r="A582" s="3"/>
      <c r="B582" s="4"/>
      <c r="C582" s="5"/>
      <c r="D582" s="11"/>
      <c r="E582" s="11"/>
      <c r="F582" s="11"/>
      <c r="G582" s="3"/>
      <c r="H582" s="3"/>
      <c r="I582" s="3"/>
      <c r="J582" s="3"/>
      <c r="K582" s="6"/>
      <c r="L582" s="7"/>
      <c r="M582" s="7"/>
      <c r="N582" s="7"/>
      <c r="O582" s="7"/>
      <c r="P582" s="7"/>
      <c r="Q582" s="8"/>
      <c r="Z582" s="9"/>
    </row>
    <row r="583" customFormat="false" ht="15.75" hidden="false" customHeight="false" outlineLevel="0" collapsed="false">
      <c r="A583" s="3"/>
      <c r="B583" s="4"/>
      <c r="C583" s="5"/>
      <c r="D583" s="11"/>
      <c r="E583" s="11"/>
      <c r="F583" s="11"/>
      <c r="G583" s="3"/>
      <c r="H583" s="3"/>
      <c r="I583" s="3"/>
      <c r="J583" s="3"/>
      <c r="K583" s="6"/>
      <c r="L583" s="7"/>
      <c r="M583" s="7"/>
      <c r="N583" s="7"/>
      <c r="O583" s="7"/>
      <c r="P583" s="7"/>
      <c r="Q583" s="8"/>
      <c r="Z583" s="9"/>
    </row>
    <row r="584" customFormat="false" ht="15.75" hidden="false" customHeight="false" outlineLevel="0" collapsed="false">
      <c r="A584" s="3"/>
      <c r="B584" s="4"/>
      <c r="C584" s="5"/>
      <c r="D584" s="11"/>
      <c r="E584" s="11"/>
      <c r="F584" s="11"/>
      <c r="G584" s="3"/>
      <c r="H584" s="3"/>
      <c r="I584" s="3"/>
      <c r="J584" s="3"/>
      <c r="K584" s="6"/>
      <c r="L584" s="7"/>
      <c r="M584" s="7"/>
      <c r="N584" s="7"/>
      <c r="O584" s="7"/>
      <c r="P584" s="7"/>
      <c r="Q584" s="8"/>
      <c r="Z584" s="9"/>
    </row>
    <row r="585" customFormat="false" ht="15.75" hidden="false" customHeight="false" outlineLevel="0" collapsed="false">
      <c r="A585" s="3"/>
      <c r="B585" s="4"/>
      <c r="C585" s="5"/>
      <c r="D585" s="11"/>
      <c r="E585" s="11"/>
      <c r="F585" s="11"/>
      <c r="G585" s="3"/>
      <c r="H585" s="3"/>
      <c r="I585" s="3"/>
      <c r="J585" s="3"/>
      <c r="K585" s="6"/>
      <c r="L585" s="7"/>
      <c r="M585" s="7"/>
      <c r="N585" s="7"/>
      <c r="O585" s="7"/>
      <c r="P585" s="7"/>
      <c r="Q585" s="8"/>
      <c r="Z585" s="9"/>
    </row>
    <row r="586" customFormat="false" ht="15.75" hidden="false" customHeight="false" outlineLevel="0" collapsed="false">
      <c r="A586" s="3"/>
      <c r="B586" s="4"/>
      <c r="C586" s="5"/>
      <c r="D586" s="11"/>
      <c r="E586" s="11"/>
      <c r="F586" s="11"/>
      <c r="G586" s="3"/>
      <c r="H586" s="3"/>
      <c r="I586" s="3"/>
      <c r="J586" s="3"/>
      <c r="K586" s="6"/>
      <c r="L586" s="7"/>
      <c r="M586" s="7"/>
      <c r="N586" s="7"/>
      <c r="O586" s="7"/>
      <c r="P586" s="7"/>
      <c r="Q586" s="8"/>
      <c r="Z586" s="9"/>
    </row>
    <row r="587" customFormat="false" ht="15.75" hidden="false" customHeight="false" outlineLevel="0" collapsed="false">
      <c r="A587" s="3"/>
      <c r="B587" s="4"/>
      <c r="C587" s="5"/>
      <c r="D587" s="11"/>
      <c r="E587" s="11"/>
      <c r="F587" s="11"/>
      <c r="G587" s="3"/>
      <c r="H587" s="3"/>
      <c r="I587" s="3"/>
      <c r="J587" s="3"/>
      <c r="K587" s="6"/>
      <c r="L587" s="7"/>
      <c r="M587" s="7"/>
      <c r="N587" s="7"/>
      <c r="O587" s="7"/>
      <c r="P587" s="7"/>
      <c r="Q587" s="8"/>
      <c r="Z587" s="9"/>
    </row>
    <row r="588" customFormat="false" ht="15.75" hidden="false" customHeight="false" outlineLevel="0" collapsed="false">
      <c r="A588" s="3"/>
      <c r="B588" s="4"/>
      <c r="C588" s="5"/>
      <c r="D588" s="11"/>
      <c r="E588" s="11"/>
      <c r="F588" s="11"/>
      <c r="G588" s="3"/>
      <c r="H588" s="3"/>
      <c r="I588" s="3"/>
      <c r="J588" s="3"/>
      <c r="K588" s="6"/>
      <c r="L588" s="7"/>
      <c r="M588" s="7"/>
      <c r="N588" s="7"/>
      <c r="O588" s="7"/>
      <c r="P588" s="7"/>
      <c r="Q588" s="8"/>
      <c r="Z588" s="9"/>
    </row>
    <row r="589" customFormat="false" ht="15.75" hidden="false" customHeight="false" outlineLevel="0" collapsed="false">
      <c r="A589" s="3"/>
      <c r="B589" s="4"/>
      <c r="C589" s="5"/>
      <c r="D589" s="11"/>
      <c r="E589" s="11"/>
      <c r="F589" s="11"/>
      <c r="G589" s="3"/>
      <c r="H589" s="3"/>
      <c r="I589" s="3"/>
      <c r="J589" s="3"/>
      <c r="K589" s="6"/>
      <c r="L589" s="7"/>
      <c r="M589" s="7"/>
      <c r="N589" s="7"/>
      <c r="O589" s="7"/>
      <c r="P589" s="7"/>
      <c r="Q589" s="8"/>
      <c r="Z589" s="9"/>
    </row>
    <row r="590" customFormat="false" ht="15.75" hidden="false" customHeight="false" outlineLevel="0" collapsed="false">
      <c r="A590" s="3"/>
      <c r="B590" s="4"/>
      <c r="C590" s="5"/>
      <c r="D590" s="11"/>
      <c r="E590" s="11"/>
      <c r="F590" s="11"/>
      <c r="G590" s="3"/>
      <c r="H590" s="3"/>
      <c r="I590" s="3"/>
      <c r="J590" s="3"/>
      <c r="K590" s="6"/>
      <c r="L590" s="7"/>
      <c r="M590" s="7"/>
      <c r="N590" s="7"/>
      <c r="O590" s="7"/>
      <c r="P590" s="7"/>
      <c r="Q590" s="8"/>
      <c r="Z590" s="9"/>
    </row>
    <row r="591" customFormat="false" ht="15.75" hidden="false" customHeight="false" outlineLevel="0" collapsed="false">
      <c r="A591" s="3"/>
      <c r="B591" s="4"/>
      <c r="C591" s="5"/>
      <c r="D591" s="11"/>
      <c r="E591" s="11"/>
      <c r="F591" s="11"/>
      <c r="G591" s="3"/>
      <c r="H591" s="3"/>
      <c r="I591" s="3"/>
      <c r="J591" s="3"/>
      <c r="K591" s="6"/>
      <c r="L591" s="7"/>
      <c r="M591" s="7"/>
      <c r="N591" s="7"/>
      <c r="O591" s="7"/>
      <c r="P591" s="7"/>
      <c r="Q591" s="8"/>
      <c r="Z591" s="9"/>
    </row>
    <row r="592" customFormat="false" ht="15.75" hidden="false" customHeight="false" outlineLevel="0" collapsed="false">
      <c r="A592" s="3"/>
      <c r="B592" s="4"/>
      <c r="C592" s="5"/>
      <c r="D592" s="11"/>
      <c r="E592" s="11"/>
      <c r="F592" s="11"/>
      <c r="G592" s="3"/>
      <c r="H592" s="3"/>
      <c r="I592" s="3"/>
      <c r="J592" s="3"/>
      <c r="K592" s="6"/>
      <c r="L592" s="7"/>
      <c r="M592" s="7"/>
      <c r="N592" s="7"/>
      <c r="O592" s="7"/>
      <c r="P592" s="7"/>
      <c r="Q592" s="8"/>
      <c r="Z592" s="9"/>
    </row>
    <row r="593" customFormat="false" ht="15.75" hidden="false" customHeight="false" outlineLevel="0" collapsed="false">
      <c r="A593" s="3"/>
      <c r="B593" s="4"/>
      <c r="C593" s="5"/>
      <c r="D593" s="11"/>
      <c r="E593" s="11"/>
      <c r="F593" s="11"/>
      <c r="G593" s="3"/>
      <c r="H593" s="3"/>
      <c r="I593" s="3"/>
      <c r="J593" s="3"/>
      <c r="K593" s="6"/>
      <c r="L593" s="7"/>
      <c r="M593" s="7"/>
      <c r="N593" s="7"/>
      <c r="O593" s="7"/>
      <c r="P593" s="7"/>
      <c r="Q593" s="8"/>
      <c r="Z593" s="9"/>
    </row>
    <row r="594" customFormat="false" ht="15.75" hidden="false" customHeight="false" outlineLevel="0" collapsed="false">
      <c r="A594" s="3"/>
      <c r="B594" s="4"/>
      <c r="C594" s="5"/>
      <c r="D594" s="11"/>
      <c r="E594" s="11"/>
      <c r="F594" s="11"/>
      <c r="G594" s="3"/>
      <c r="H594" s="3"/>
      <c r="I594" s="3"/>
      <c r="J594" s="3"/>
      <c r="K594" s="6"/>
      <c r="L594" s="7"/>
      <c r="M594" s="7"/>
      <c r="N594" s="7"/>
      <c r="O594" s="7"/>
      <c r="P594" s="7"/>
      <c r="Q594" s="8"/>
      <c r="Z594" s="9"/>
    </row>
    <row r="595" customFormat="false" ht="15.75" hidden="false" customHeight="false" outlineLevel="0" collapsed="false">
      <c r="A595" s="3"/>
      <c r="B595" s="4"/>
      <c r="C595" s="5"/>
      <c r="D595" s="11"/>
      <c r="E595" s="11"/>
      <c r="F595" s="11"/>
      <c r="G595" s="3"/>
      <c r="H595" s="3"/>
      <c r="I595" s="3"/>
      <c r="J595" s="3"/>
      <c r="K595" s="6"/>
      <c r="L595" s="7"/>
      <c r="M595" s="7"/>
      <c r="N595" s="7"/>
      <c r="O595" s="7"/>
      <c r="P595" s="7"/>
      <c r="Q595" s="8"/>
      <c r="Z595" s="9"/>
    </row>
    <row r="596" customFormat="false" ht="15.75" hidden="false" customHeight="false" outlineLevel="0" collapsed="false">
      <c r="A596" s="3"/>
      <c r="B596" s="4"/>
      <c r="C596" s="5"/>
      <c r="D596" s="11"/>
      <c r="E596" s="11"/>
      <c r="F596" s="11"/>
      <c r="G596" s="3"/>
      <c r="H596" s="3"/>
      <c r="I596" s="3"/>
      <c r="J596" s="3"/>
      <c r="K596" s="6"/>
      <c r="L596" s="7"/>
      <c r="M596" s="7"/>
      <c r="N596" s="7"/>
      <c r="O596" s="7"/>
      <c r="P596" s="7"/>
      <c r="Q596" s="8"/>
      <c r="Z596" s="9"/>
    </row>
    <row r="597" customFormat="false" ht="15.75" hidden="false" customHeight="false" outlineLevel="0" collapsed="false">
      <c r="A597" s="3"/>
      <c r="B597" s="4"/>
      <c r="C597" s="5"/>
      <c r="D597" s="11"/>
      <c r="E597" s="11"/>
      <c r="F597" s="11"/>
      <c r="G597" s="3"/>
      <c r="H597" s="3"/>
      <c r="I597" s="3"/>
      <c r="J597" s="3"/>
      <c r="K597" s="6"/>
      <c r="L597" s="7"/>
      <c r="M597" s="7"/>
      <c r="N597" s="7"/>
      <c r="O597" s="7"/>
      <c r="P597" s="7"/>
      <c r="Q597" s="8"/>
      <c r="Z597" s="9"/>
    </row>
    <row r="598" customFormat="false" ht="15.75" hidden="false" customHeight="false" outlineLevel="0" collapsed="false">
      <c r="A598" s="3"/>
      <c r="B598" s="4"/>
      <c r="C598" s="5"/>
      <c r="D598" s="11"/>
      <c r="E598" s="11"/>
      <c r="F598" s="11"/>
      <c r="G598" s="3"/>
      <c r="H598" s="3"/>
      <c r="I598" s="3"/>
      <c r="J598" s="3"/>
      <c r="K598" s="6"/>
      <c r="L598" s="7"/>
      <c r="M598" s="7"/>
      <c r="N598" s="7"/>
      <c r="O598" s="7"/>
      <c r="P598" s="7"/>
      <c r="Q598" s="8"/>
      <c r="Z598" s="9"/>
    </row>
    <row r="599" customFormat="false" ht="15.75" hidden="false" customHeight="false" outlineLevel="0" collapsed="false">
      <c r="A599" s="3"/>
      <c r="B599" s="4"/>
      <c r="C599" s="5"/>
      <c r="D599" s="11"/>
      <c r="E599" s="11"/>
      <c r="F599" s="11"/>
      <c r="G599" s="3"/>
      <c r="H599" s="3"/>
      <c r="I599" s="3"/>
      <c r="J599" s="3"/>
      <c r="K599" s="6"/>
      <c r="L599" s="7"/>
      <c r="M599" s="7"/>
      <c r="N599" s="7"/>
      <c r="O599" s="7"/>
      <c r="P599" s="7"/>
      <c r="Q599" s="8"/>
      <c r="Z599" s="9"/>
    </row>
    <row r="600" customFormat="false" ht="15.75" hidden="false" customHeight="false" outlineLevel="0" collapsed="false">
      <c r="A600" s="3"/>
      <c r="B600" s="4"/>
      <c r="C600" s="5"/>
      <c r="D600" s="11"/>
      <c r="E600" s="11"/>
      <c r="F600" s="11"/>
      <c r="G600" s="3"/>
      <c r="H600" s="3"/>
      <c r="I600" s="3"/>
      <c r="J600" s="3"/>
      <c r="K600" s="6"/>
      <c r="L600" s="7"/>
      <c r="M600" s="7"/>
      <c r="N600" s="7"/>
      <c r="O600" s="7"/>
      <c r="P600" s="7"/>
      <c r="Q600" s="8"/>
      <c r="Z600" s="9"/>
    </row>
    <row r="601" customFormat="false" ht="15.75" hidden="false" customHeight="false" outlineLevel="0" collapsed="false">
      <c r="A601" s="3"/>
      <c r="B601" s="4"/>
      <c r="C601" s="5"/>
      <c r="D601" s="11"/>
      <c r="E601" s="11"/>
      <c r="F601" s="11"/>
      <c r="G601" s="3"/>
      <c r="H601" s="3"/>
      <c r="I601" s="3"/>
      <c r="J601" s="3"/>
      <c r="K601" s="6"/>
      <c r="L601" s="7"/>
      <c r="M601" s="7"/>
      <c r="N601" s="7"/>
      <c r="O601" s="7"/>
      <c r="P601" s="7"/>
      <c r="Q601" s="8"/>
      <c r="Z601" s="9"/>
    </row>
    <row r="602" customFormat="false" ht="15.75" hidden="false" customHeight="false" outlineLevel="0" collapsed="false">
      <c r="A602" s="3"/>
      <c r="B602" s="4"/>
      <c r="C602" s="5"/>
      <c r="D602" s="11"/>
      <c r="E602" s="11"/>
      <c r="F602" s="11"/>
      <c r="G602" s="3"/>
      <c r="H602" s="3"/>
      <c r="I602" s="3"/>
      <c r="J602" s="3"/>
      <c r="K602" s="6"/>
      <c r="L602" s="7"/>
      <c r="M602" s="7"/>
      <c r="N602" s="7"/>
      <c r="O602" s="7"/>
      <c r="P602" s="7"/>
      <c r="Q602" s="8"/>
      <c r="Z602" s="9"/>
    </row>
    <row r="603" customFormat="false" ht="15.75" hidden="false" customHeight="false" outlineLevel="0" collapsed="false">
      <c r="A603" s="3"/>
      <c r="B603" s="4"/>
      <c r="C603" s="5"/>
      <c r="D603" s="11"/>
      <c r="E603" s="11"/>
      <c r="F603" s="11"/>
      <c r="G603" s="3"/>
      <c r="H603" s="3"/>
      <c r="I603" s="3"/>
      <c r="J603" s="3"/>
      <c r="K603" s="6"/>
      <c r="L603" s="7"/>
      <c r="M603" s="7"/>
      <c r="N603" s="7"/>
      <c r="O603" s="7"/>
      <c r="P603" s="7"/>
      <c r="Q603" s="8"/>
      <c r="Z603" s="9"/>
    </row>
    <row r="604" customFormat="false" ht="15.75" hidden="false" customHeight="false" outlineLevel="0" collapsed="false">
      <c r="A604" s="3"/>
      <c r="B604" s="4"/>
      <c r="C604" s="5"/>
      <c r="D604" s="11"/>
      <c r="E604" s="11"/>
      <c r="F604" s="11"/>
      <c r="G604" s="3"/>
      <c r="H604" s="3"/>
      <c r="I604" s="3"/>
      <c r="J604" s="3"/>
      <c r="K604" s="6"/>
      <c r="L604" s="7"/>
      <c r="M604" s="7"/>
      <c r="N604" s="7"/>
      <c r="O604" s="7"/>
      <c r="P604" s="7"/>
      <c r="Q604" s="8"/>
      <c r="Z604" s="9"/>
    </row>
    <row r="605" customFormat="false" ht="15.75" hidden="false" customHeight="false" outlineLevel="0" collapsed="false">
      <c r="A605" s="3"/>
      <c r="B605" s="4"/>
      <c r="C605" s="5"/>
      <c r="D605" s="11"/>
      <c r="E605" s="11"/>
      <c r="F605" s="11"/>
      <c r="G605" s="3"/>
      <c r="H605" s="3"/>
      <c r="I605" s="3"/>
      <c r="J605" s="3"/>
      <c r="K605" s="6"/>
      <c r="L605" s="7"/>
      <c r="M605" s="7"/>
      <c r="N605" s="7"/>
      <c r="O605" s="7"/>
      <c r="P605" s="7"/>
      <c r="Q605" s="8"/>
      <c r="Z605" s="9"/>
    </row>
    <row r="606" customFormat="false" ht="15.75" hidden="false" customHeight="false" outlineLevel="0" collapsed="false">
      <c r="A606" s="3"/>
      <c r="B606" s="4"/>
      <c r="C606" s="5"/>
      <c r="D606" s="11"/>
      <c r="E606" s="11"/>
      <c r="F606" s="11"/>
      <c r="G606" s="3"/>
      <c r="H606" s="3"/>
      <c r="I606" s="3"/>
      <c r="J606" s="3"/>
      <c r="K606" s="6"/>
      <c r="L606" s="7"/>
      <c r="M606" s="7"/>
      <c r="N606" s="7"/>
      <c r="O606" s="7"/>
      <c r="P606" s="7"/>
      <c r="Q606" s="8"/>
      <c r="Z606" s="9"/>
    </row>
    <row r="607" customFormat="false" ht="15.75" hidden="false" customHeight="false" outlineLevel="0" collapsed="false">
      <c r="A607" s="3"/>
      <c r="B607" s="4"/>
      <c r="C607" s="5"/>
      <c r="D607" s="11"/>
      <c r="E607" s="11"/>
      <c r="F607" s="11"/>
      <c r="G607" s="3"/>
      <c r="H607" s="3"/>
      <c r="I607" s="3"/>
      <c r="J607" s="3"/>
      <c r="K607" s="6"/>
      <c r="L607" s="7"/>
      <c r="M607" s="7"/>
      <c r="N607" s="7"/>
      <c r="O607" s="7"/>
      <c r="P607" s="7"/>
      <c r="Q607" s="8"/>
      <c r="Z607" s="9"/>
    </row>
    <row r="608" customFormat="false" ht="15.75" hidden="false" customHeight="false" outlineLevel="0" collapsed="false">
      <c r="A608" s="3"/>
      <c r="B608" s="4"/>
      <c r="C608" s="5"/>
      <c r="D608" s="11"/>
      <c r="E608" s="11"/>
      <c r="F608" s="11"/>
      <c r="G608" s="3"/>
      <c r="H608" s="3"/>
      <c r="I608" s="3"/>
      <c r="J608" s="3"/>
      <c r="K608" s="6"/>
      <c r="L608" s="7"/>
      <c r="M608" s="7"/>
      <c r="N608" s="7"/>
      <c r="O608" s="7"/>
      <c r="P608" s="7"/>
      <c r="Q608" s="8"/>
      <c r="Z608" s="9"/>
    </row>
    <row r="609" customFormat="false" ht="15.75" hidden="false" customHeight="false" outlineLevel="0" collapsed="false">
      <c r="A609" s="3"/>
      <c r="B609" s="4"/>
      <c r="C609" s="5"/>
      <c r="D609" s="11"/>
      <c r="E609" s="11"/>
      <c r="F609" s="11"/>
      <c r="G609" s="3"/>
      <c r="H609" s="3"/>
      <c r="I609" s="3"/>
      <c r="J609" s="3"/>
      <c r="K609" s="6"/>
      <c r="L609" s="7"/>
      <c r="M609" s="7"/>
      <c r="N609" s="7"/>
      <c r="O609" s="7"/>
      <c r="P609" s="7"/>
      <c r="Q609" s="8"/>
      <c r="Z609" s="9"/>
    </row>
    <row r="610" customFormat="false" ht="15.75" hidden="false" customHeight="false" outlineLevel="0" collapsed="false">
      <c r="A610" s="3"/>
      <c r="B610" s="4"/>
      <c r="C610" s="5"/>
      <c r="D610" s="11"/>
      <c r="E610" s="11"/>
      <c r="F610" s="11"/>
      <c r="G610" s="3"/>
      <c r="H610" s="3"/>
      <c r="I610" s="3"/>
      <c r="J610" s="3"/>
      <c r="K610" s="6"/>
      <c r="L610" s="7"/>
      <c r="M610" s="7"/>
      <c r="N610" s="7"/>
      <c r="O610" s="7"/>
      <c r="P610" s="7"/>
      <c r="Q610" s="8"/>
      <c r="Z610" s="9"/>
    </row>
    <row r="611" customFormat="false" ht="15.75" hidden="false" customHeight="false" outlineLevel="0" collapsed="false">
      <c r="A611" s="3"/>
      <c r="B611" s="4"/>
      <c r="C611" s="5"/>
      <c r="D611" s="11"/>
      <c r="E611" s="11"/>
      <c r="F611" s="11"/>
      <c r="G611" s="3"/>
      <c r="H611" s="3"/>
      <c r="I611" s="3"/>
      <c r="J611" s="3"/>
      <c r="K611" s="6"/>
      <c r="L611" s="7"/>
      <c r="M611" s="7"/>
      <c r="N611" s="7"/>
      <c r="O611" s="7"/>
      <c r="P611" s="7"/>
      <c r="Q611" s="8"/>
      <c r="Z611" s="9"/>
    </row>
    <row r="612" customFormat="false" ht="15.75" hidden="false" customHeight="false" outlineLevel="0" collapsed="false">
      <c r="A612" s="3"/>
      <c r="B612" s="4"/>
      <c r="C612" s="5"/>
      <c r="D612" s="11"/>
      <c r="E612" s="11"/>
      <c r="F612" s="11"/>
      <c r="G612" s="3"/>
      <c r="H612" s="3"/>
      <c r="I612" s="3"/>
      <c r="J612" s="3"/>
      <c r="K612" s="6"/>
      <c r="L612" s="7"/>
      <c r="M612" s="7"/>
      <c r="N612" s="7"/>
      <c r="O612" s="7"/>
      <c r="P612" s="7"/>
      <c r="Q612" s="8"/>
      <c r="Z612" s="9"/>
    </row>
    <row r="613" customFormat="false" ht="15.75" hidden="false" customHeight="false" outlineLevel="0" collapsed="false">
      <c r="A613" s="3"/>
      <c r="B613" s="4"/>
      <c r="C613" s="5"/>
      <c r="D613" s="11"/>
      <c r="E613" s="11"/>
      <c r="F613" s="11"/>
      <c r="G613" s="3"/>
      <c r="H613" s="3"/>
      <c r="I613" s="3"/>
      <c r="J613" s="3"/>
      <c r="K613" s="6"/>
      <c r="L613" s="7"/>
      <c r="M613" s="7"/>
      <c r="N613" s="7"/>
      <c r="O613" s="7"/>
      <c r="P613" s="7"/>
      <c r="Q613" s="8"/>
      <c r="Z613" s="9"/>
    </row>
    <row r="614" customFormat="false" ht="15.75" hidden="false" customHeight="false" outlineLevel="0" collapsed="false">
      <c r="A614" s="3"/>
      <c r="B614" s="4"/>
      <c r="C614" s="5"/>
      <c r="D614" s="11"/>
      <c r="E614" s="11"/>
      <c r="F614" s="11"/>
      <c r="G614" s="3"/>
      <c r="H614" s="3"/>
      <c r="I614" s="3"/>
      <c r="J614" s="3"/>
      <c r="K614" s="6"/>
      <c r="L614" s="7"/>
      <c r="M614" s="7"/>
      <c r="N614" s="7"/>
      <c r="O614" s="7"/>
      <c r="P614" s="7"/>
      <c r="Q614" s="8"/>
      <c r="Z614" s="9"/>
    </row>
    <row r="615" customFormat="false" ht="15.75" hidden="false" customHeight="false" outlineLevel="0" collapsed="false">
      <c r="A615" s="3"/>
      <c r="B615" s="4"/>
      <c r="C615" s="5"/>
      <c r="D615" s="11"/>
      <c r="E615" s="11"/>
      <c r="F615" s="11"/>
      <c r="G615" s="3"/>
      <c r="H615" s="3"/>
      <c r="I615" s="3"/>
      <c r="J615" s="3"/>
      <c r="K615" s="6"/>
      <c r="L615" s="7"/>
      <c r="M615" s="7"/>
      <c r="N615" s="7"/>
      <c r="O615" s="7"/>
      <c r="P615" s="7"/>
      <c r="Q615" s="8"/>
      <c r="Z615" s="9"/>
    </row>
    <row r="616" customFormat="false" ht="15.75" hidden="false" customHeight="false" outlineLevel="0" collapsed="false">
      <c r="A616" s="3"/>
      <c r="B616" s="4"/>
      <c r="C616" s="5"/>
      <c r="D616" s="11"/>
      <c r="E616" s="11"/>
      <c r="F616" s="11"/>
      <c r="G616" s="3"/>
      <c r="H616" s="3"/>
      <c r="I616" s="3"/>
      <c r="J616" s="3"/>
      <c r="K616" s="6"/>
      <c r="L616" s="7"/>
      <c r="M616" s="7"/>
      <c r="N616" s="7"/>
      <c r="O616" s="7"/>
      <c r="P616" s="7"/>
      <c r="Q616" s="8"/>
      <c r="Z616" s="9"/>
    </row>
    <row r="617" customFormat="false" ht="15.75" hidden="false" customHeight="false" outlineLevel="0" collapsed="false">
      <c r="A617" s="3"/>
      <c r="B617" s="4"/>
      <c r="C617" s="5"/>
      <c r="D617" s="11"/>
      <c r="E617" s="11"/>
      <c r="F617" s="11"/>
      <c r="G617" s="3"/>
      <c r="H617" s="3"/>
      <c r="I617" s="3"/>
      <c r="J617" s="3"/>
      <c r="K617" s="6"/>
      <c r="L617" s="7"/>
      <c r="M617" s="7"/>
      <c r="N617" s="7"/>
      <c r="O617" s="7"/>
      <c r="P617" s="7"/>
      <c r="Q617" s="8"/>
      <c r="Z617" s="9"/>
    </row>
    <row r="618" customFormat="false" ht="15.75" hidden="false" customHeight="false" outlineLevel="0" collapsed="false">
      <c r="A618" s="3"/>
      <c r="B618" s="4"/>
      <c r="C618" s="5"/>
      <c r="D618" s="11"/>
      <c r="E618" s="11"/>
      <c r="F618" s="11"/>
      <c r="G618" s="3"/>
      <c r="H618" s="3"/>
      <c r="I618" s="3"/>
      <c r="J618" s="3"/>
      <c r="K618" s="6"/>
      <c r="L618" s="7"/>
      <c r="M618" s="7"/>
      <c r="N618" s="7"/>
      <c r="O618" s="7"/>
      <c r="P618" s="7"/>
      <c r="Q618" s="8"/>
      <c r="Z618" s="9"/>
    </row>
    <row r="619" customFormat="false" ht="15.75" hidden="false" customHeight="false" outlineLevel="0" collapsed="false">
      <c r="A619" s="3"/>
      <c r="B619" s="4"/>
      <c r="C619" s="5"/>
      <c r="D619" s="11"/>
      <c r="E619" s="11"/>
      <c r="F619" s="11"/>
      <c r="G619" s="3"/>
      <c r="H619" s="3"/>
      <c r="I619" s="3"/>
      <c r="J619" s="3"/>
      <c r="K619" s="6"/>
      <c r="L619" s="7"/>
      <c r="M619" s="7"/>
      <c r="N619" s="7"/>
      <c r="O619" s="7"/>
      <c r="P619" s="7"/>
      <c r="Q619" s="8"/>
      <c r="Z619" s="9"/>
    </row>
    <row r="620" customFormat="false" ht="15.75" hidden="false" customHeight="false" outlineLevel="0" collapsed="false">
      <c r="A620" s="3"/>
      <c r="B620" s="4"/>
      <c r="C620" s="5"/>
      <c r="D620" s="11"/>
      <c r="E620" s="11"/>
      <c r="F620" s="11"/>
      <c r="G620" s="3"/>
      <c r="H620" s="3"/>
      <c r="I620" s="3"/>
      <c r="J620" s="3"/>
      <c r="K620" s="6"/>
      <c r="L620" s="7"/>
      <c r="M620" s="7"/>
      <c r="N620" s="7"/>
      <c r="O620" s="7"/>
      <c r="P620" s="7"/>
      <c r="Q620" s="8"/>
      <c r="Z620" s="9"/>
    </row>
    <row r="621" customFormat="false" ht="15.75" hidden="false" customHeight="false" outlineLevel="0" collapsed="false">
      <c r="A621" s="3"/>
      <c r="B621" s="4"/>
      <c r="C621" s="5"/>
      <c r="D621" s="11"/>
      <c r="E621" s="11"/>
      <c r="F621" s="11"/>
      <c r="G621" s="3"/>
      <c r="H621" s="3"/>
      <c r="I621" s="3"/>
      <c r="J621" s="3"/>
      <c r="K621" s="6"/>
      <c r="L621" s="7"/>
      <c r="M621" s="7"/>
      <c r="N621" s="7"/>
      <c r="O621" s="7"/>
      <c r="P621" s="7"/>
      <c r="Q621" s="8"/>
      <c r="Z621" s="9"/>
    </row>
    <row r="622" customFormat="false" ht="15.75" hidden="false" customHeight="false" outlineLevel="0" collapsed="false">
      <c r="A622" s="3"/>
      <c r="B622" s="4"/>
      <c r="C622" s="5"/>
      <c r="D622" s="11"/>
      <c r="E622" s="11"/>
      <c r="F622" s="11"/>
      <c r="G622" s="3"/>
      <c r="H622" s="3"/>
      <c r="I622" s="3"/>
      <c r="J622" s="3"/>
      <c r="K622" s="6"/>
      <c r="L622" s="7"/>
      <c r="M622" s="7"/>
      <c r="N622" s="7"/>
      <c r="O622" s="7"/>
      <c r="P622" s="7"/>
      <c r="Q622" s="8"/>
      <c r="Z622" s="9"/>
    </row>
    <row r="623" customFormat="false" ht="15.75" hidden="false" customHeight="false" outlineLevel="0" collapsed="false">
      <c r="A623" s="3"/>
      <c r="B623" s="4"/>
      <c r="C623" s="5"/>
      <c r="D623" s="11"/>
      <c r="E623" s="11"/>
      <c r="F623" s="11"/>
      <c r="G623" s="3"/>
      <c r="H623" s="3"/>
      <c r="I623" s="3"/>
      <c r="J623" s="3"/>
      <c r="K623" s="6"/>
      <c r="L623" s="7"/>
      <c r="M623" s="7"/>
      <c r="N623" s="7"/>
      <c r="O623" s="7"/>
      <c r="P623" s="7"/>
      <c r="Q623" s="8"/>
      <c r="Z623" s="9"/>
    </row>
    <row r="624" customFormat="false" ht="15.75" hidden="false" customHeight="false" outlineLevel="0" collapsed="false">
      <c r="A624" s="3"/>
      <c r="B624" s="4"/>
      <c r="C624" s="5"/>
      <c r="D624" s="11"/>
      <c r="E624" s="11"/>
      <c r="F624" s="11"/>
      <c r="G624" s="3"/>
      <c r="H624" s="3"/>
      <c r="I624" s="3"/>
      <c r="J624" s="3"/>
      <c r="K624" s="6"/>
      <c r="L624" s="7"/>
      <c r="M624" s="7"/>
      <c r="N624" s="7"/>
      <c r="O624" s="7"/>
      <c r="P624" s="7"/>
      <c r="Q624" s="8"/>
      <c r="Z624" s="9"/>
    </row>
    <row r="625" customFormat="false" ht="15.75" hidden="false" customHeight="false" outlineLevel="0" collapsed="false">
      <c r="A625" s="3"/>
      <c r="B625" s="4"/>
      <c r="C625" s="5"/>
      <c r="D625" s="11"/>
      <c r="E625" s="11"/>
      <c r="F625" s="11"/>
      <c r="G625" s="3"/>
      <c r="H625" s="3"/>
      <c r="I625" s="3"/>
      <c r="J625" s="3"/>
      <c r="K625" s="6"/>
      <c r="L625" s="7"/>
      <c r="M625" s="7"/>
      <c r="N625" s="7"/>
      <c r="O625" s="7"/>
      <c r="P625" s="7"/>
      <c r="Q625" s="8"/>
      <c r="Z625" s="9"/>
    </row>
    <row r="626" customFormat="false" ht="15.75" hidden="false" customHeight="false" outlineLevel="0" collapsed="false">
      <c r="A626" s="3"/>
      <c r="B626" s="4"/>
      <c r="C626" s="5"/>
      <c r="D626" s="11"/>
      <c r="E626" s="11"/>
      <c r="F626" s="11"/>
      <c r="G626" s="3"/>
      <c r="H626" s="3"/>
      <c r="I626" s="3"/>
      <c r="J626" s="3"/>
      <c r="K626" s="6"/>
      <c r="L626" s="7"/>
      <c r="M626" s="7"/>
      <c r="N626" s="7"/>
      <c r="O626" s="7"/>
      <c r="P626" s="7"/>
      <c r="Q626" s="8"/>
      <c r="Z626" s="9"/>
    </row>
    <row r="627" customFormat="false" ht="15.75" hidden="false" customHeight="false" outlineLevel="0" collapsed="false">
      <c r="A627" s="3"/>
      <c r="B627" s="4"/>
      <c r="C627" s="5"/>
      <c r="D627" s="11"/>
      <c r="E627" s="11"/>
      <c r="F627" s="11"/>
      <c r="G627" s="3"/>
      <c r="H627" s="3"/>
      <c r="I627" s="3"/>
      <c r="J627" s="3"/>
      <c r="K627" s="6"/>
      <c r="L627" s="7"/>
      <c r="M627" s="7"/>
      <c r="N627" s="7"/>
      <c r="O627" s="7"/>
      <c r="P627" s="7"/>
      <c r="Q627" s="8"/>
      <c r="Z627" s="9"/>
    </row>
    <row r="628" customFormat="false" ht="15.75" hidden="false" customHeight="false" outlineLevel="0" collapsed="false">
      <c r="A628" s="3"/>
      <c r="B628" s="4"/>
      <c r="C628" s="5"/>
      <c r="D628" s="11"/>
      <c r="E628" s="11"/>
      <c r="F628" s="11"/>
      <c r="G628" s="3"/>
      <c r="H628" s="3"/>
      <c r="I628" s="3"/>
      <c r="J628" s="3"/>
      <c r="K628" s="6"/>
      <c r="L628" s="7"/>
      <c r="M628" s="7"/>
      <c r="N628" s="7"/>
      <c r="O628" s="7"/>
      <c r="P628" s="7"/>
      <c r="Q628" s="8"/>
      <c r="Z628" s="9"/>
    </row>
    <row r="629" customFormat="false" ht="15.75" hidden="false" customHeight="false" outlineLevel="0" collapsed="false">
      <c r="A629" s="3"/>
      <c r="B629" s="4"/>
      <c r="C629" s="5"/>
      <c r="D629" s="11"/>
      <c r="E629" s="11"/>
      <c r="F629" s="11"/>
      <c r="G629" s="3"/>
      <c r="H629" s="3"/>
      <c r="I629" s="3"/>
      <c r="J629" s="3"/>
      <c r="K629" s="6"/>
      <c r="L629" s="7"/>
      <c r="M629" s="7"/>
      <c r="N629" s="7"/>
      <c r="O629" s="7"/>
      <c r="P629" s="7"/>
      <c r="Q629" s="8"/>
      <c r="Z629" s="9"/>
    </row>
    <row r="630" customFormat="false" ht="15.75" hidden="false" customHeight="false" outlineLevel="0" collapsed="false">
      <c r="A630" s="3"/>
      <c r="B630" s="4"/>
      <c r="C630" s="5"/>
      <c r="D630" s="11"/>
      <c r="E630" s="11"/>
      <c r="F630" s="11"/>
      <c r="G630" s="3"/>
      <c r="H630" s="3"/>
      <c r="I630" s="3"/>
      <c r="J630" s="3"/>
      <c r="K630" s="6"/>
      <c r="L630" s="7"/>
      <c r="M630" s="7"/>
      <c r="N630" s="7"/>
      <c r="O630" s="7"/>
      <c r="P630" s="7"/>
      <c r="Q630" s="8"/>
      <c r="Z630" s="9"/>
    </row>
    <row r="631" customFormat="false" ht="15.75" hidden="false" customHeight="false" outlineLevel="0" collapsed="false">
      <c r="A631" s="3"/>
      <c r="B631" s="4"/>
      <c r="C631" s="5"/>
      <c r="D631" s="11"/>
      <c r="E631" s="11"/>
      <c r="F631" s="11"/>
      <c r="G631" s="3"/>
      <c r="H631" s="3"/>
      <c r="I631" s="3"/>
      <c r="J631" s="3"/>
      <c r="K631" s="6"/>
      <c r="L631" s="7"/>
      <c r="M631" s="7"/>
      <c r="N631" s="7"/>
      <c r="O631" s="7"/>
      <c r="P631" s="7"/>
      <c r="Q631" s="8"/>
      <c r="Z631" s="9"/>
    </row>
    <row r="632" customFormat="false" ht="15.75" hidden="false" customHeight="false" outlineLevel="0" collapsed="false">
      <c r="A632" s="3"/>
      <c r="B632" s="4"/>
      <c r="C632" s="5"/>
      <c r="D632" s="11"/>
      <c r="E632" s="11"/>
      <c r="F632" s="11"/>
      <c r="G632" s="3"/>
      <c r="H632" s="3"/>
      <c r="I632" s="3"/>
      <c r="J632" s="3"/>
      <c r="K632" s="6"/>
      <c r="L632" s="7"/>
      <c r="M632" s="7"/>
      <c r="N632" s="7"/>
      <c r="O632" s="7"/>
      <c r="P632" s="7"/>
      <c r="Q632" s="8"/>
      <c r="Z632" s="9"/>
    </row>
    <row r="633" customFormat="false" ht="15.75" hidden="false" customHeight="false" outlineLevel="0" collapsed="false">
      <c r="A633" s="3"/>
      <c r="B633" s="4"/>
      <c r="C633" s="5"/>
      <c r="D633" s="11"/>
      <c r="E633" s="11"/>
      <c r="F633" s="11"/>
      <c r="G633" s="3"/>
      <c r="H633" s="3"/>
      <c r="I633" s="3"/>
      <c r="J633" s="3"/>
      <c r="K633" s="6"/>
      <c r="L633" s="7"/>
      <c r="M633" s="7"/>
      <c r="N633" s="7"/>
      <c r="O633" s="7"/>
      <c r="P633" s="7"/>
      <c r="Q633" s="8"/>
      <c r="Z633" s="9"/>
    </row>
    <row r="634" customFormat="false" ht="15.75" hidden="false" customHeight="false" outlineLevel="0" collapsed="false">
      <c r="A634" s="3"/>
      <c r="B634" s="4"/>
      <c r="C634" s="5"/>
      <c r="D634" s="11"/>
      <c r="E634" s="11"/>
      <c r="F634" s="11"/>
      <c r="G634" s="3"/>
      <c r="H634" s="3"/>
      <c r="I634" s="3"/>
      <c r="J634" s="3"/>
      <c r="K634" s="6"/>
      <c r="L634" s="7"/>
      <c r="M634" s="7"/>
      <c r="N634" s="7"/>
      <c r="O634" s="7"/>
      <c r="P634" s="7"/>
      <c r="Q634" s="8"/>
      <c r="Z634" s="9"/>
    </row>
    <row r="635" customFormat="false" ht="15.75" hidden="false" customHeight="false" outlineLevel="0" collapsed="false">
      <c r="A635" s="3"/>
      <c r="B635" s="4"/>
      <c r="C635" s="5"/>
      <c r="D635" s="11"/>
      <c r="E635" s="11"/>
      <c r="F635" s="11"/>
      <c r="G635" s="3"/>
      <c r="H635" s="3"/>
      <c r="I635" s="3"/>
      <c r="J635" s="3"/>
      <c r="K635" s="6"/>
      <c r="L635" s="7"/>
      <c r="M635" s="7"/>
      <c r="N635" s="7"/>
      <c r="O635" s="7"/>
      <c r="P635" s="7"/>
      <c r="Q635" s="8"/>
      <c r="Z635" s="9"/>
    </row>
    <row r="636" customFormat="false" ht="15.75" hidden="false" customHeight="false" outlineLevel="0" collapsed="false">
      <c r="A636" s="3"/>
      <c r="B636" s="4"/>
      <c r="C636" s="5"/>
      <c r="D636" s="11"/>
      <c r="E636" s="11"/>
      <c r="F636" s="11"/>
      <c r="G636" s="3"/>
      <c r="H636" s="3"/>
      <c r="I636" s="3"/>
      <c r="J636" s="3"/>
      <c r="K636" s="6"/>
      <c r="L636" s="7"/>
      <c r="M636" s="7"/>
      <c r="N636" s="7"/>
      <c r="O636" s="7"/>
      <c r="P636" s="7"/>
      <c r="Q636" s="8"/>
      <c r="Z636" s="9"/>
    </row>
    <row r="637" customFormat="false" ht="15.75" hidden="false" customHeight="false" outlineLevel="0" collapsed="false">
      <c r="A637" s="3"/>
      <c r="B637" s="4"/>
      <c r="C637" s="5"/>
      <c r="D637" s="11"/>
      <c r="E637" s="11"/>
      <c r="F637" s="11"/>
      <c r="G637" s="3"/>
      <c r="H637" s="3"/>
      <c r="I637" s="3"/>
      <c r="J637" s="3"/>
      <c r="K637" s="6"/>
      <c r="L637" s="7"/>
      <c r="M637" s="7"/>
      <c r="N637" s="7"/>
      <c r="O637" s="7"/>
      <c r="P637" s="7"/>
      <c r="Q637" s="8"/>
      <c r="Z637" s="9"/>
    </row>
    <row r="638" customFormat="false" ht="15.75" hidden="false" customHeight="false" outlineLevel="0" collapsed="false">
      <c r="A638" s="3"/>
      <c r="B638" s="4"/>
      <c r="C638" s="5"/>
      <c r="D638" s="11"/>
      <c r="E638" s="11"/>
      <c r="F638" s="11"/>
      <c r="G638" s="3"/>
      <c r="H638" s="3"/>
      <c r="I638" s="3"/>
      <c r="J638" s="3"/>
      <c r="K638" s="6"/>
      <c r="L638" s="7"/>
      <c r="M638" s="7"/>
      <c r="N638" s="7"/>
      <c r="O638" s="7"/>
      <c r="P638" s="7"/>
      <c r="Q638" s="8"/>
      <c r="Z638" s="9"/>
    </row>
    <row r="639" customFormat="false" ht="15.75" hidden="false" customHeight="false" outlineLevel="0" collapsed="false">
      <c r="A639" s="3"/>
      <c r="B639" s="4"/>
      <c r="C639" s="5"/>
      <c r="D639" s="11"/>
      <c r="E639" s="11"/>
      <c r="F639" s="11"/>
      <c r="G639" s="3"/>
      <c r="H639" s="3"/>
      <c r="I639" s="3"/>
      <c r="J639" s="3"/>
      <c r="K639" s="6"/>
      <c r="L639" s="7"/>
      <c r="M639" s="7"/>
      <c r="N639" s="7"/>
      <c r="O639" s="7"/>
      <c r="P639" s="7"/>
      <c r="Q639" s="8"/>
      <c r="Z639" s="9"/>
    </row>
    <row r="640" customFormat="false" ht="15.75" hidden="false" customHeight="false" outlineLevel="0" collapsed="false">
      <c r="A640" s="3"/>
      <c r="B640" s="4"/>
      <c r="C640" s="5"/>
      <c r="D640" s="11"/>
      <c r="E640" s="11"/>
      <c r="F640" s="11"/>
      <c r="G640" s="3"/>
      <c r="H640" s="3"/>
      <c r="I640" s="3"/>
      <c r="J640" s="3"/>
      <c r="K640" s="6"/>
      <c r="L640" s="7"/>
      <c r="M640" s="7"/>
      <c r="N640" s="7"/>
      <c r="O640" s="7"/>
      <c r="P640" s="7"/>
      <c r="Q640" s="8"/>
      <c r="Z640" s="9"/>
    </row>
    <row r="641" customFormat="false" ht="15.75" hidden="false" customHeight="false" outlineLevel="0" collapsed="false">
      <c r="A641" s="3"/>
      <c r="B641" s="4"/>
      <c r="C641" s="5"/>
      <c r="D641" s="11"/>
      <c r="E641" s="11"/>
      <c r="F641" s="11"/>
      <c r="G641" s="3"/>
      <c r="H641" s="3"/>
      <c r="I641" s="3"/>
      <c r="J641" s="3"/>
      <c r="K641" s="6"/>
      <c r="L641" s="7"/>
      <c r="M641" s="7"/>
      <c r="N641" s="7"/>
      <c r="O641" s="7"/>
      <c r="P641" s="7"/>
      <c r="Q641" s="8"/>
      <c r="Z641" s="9"/>
    </row>
    <row r="642" customFormat="false" ht="15.75" hidden="false" customHeight="false" outlineLevel="0" collapsed="false">
      <c r="A642" s="3"/>
      <c r="B642" s="4"/>
      <c r="C642" s="5"/>
      <c r="D642" s="11"/>
      <c r="E642" s="11"/>
      <c r="F642" s="11"/>
      <c r="G642" s="3"/>
      <c r="H642" s="3"/>
      <c r="I642" s="3"/>
      <c r="J642" s="3"/>
      <c r="K642" s="6"/>
      <c r="L642" s="7"/>
      <c r="M642" s="7"/>
      <c r="N642" s="7"/>
      <c r="O642" s="7"/>
      <c r="P642" s="7"/>
      <c r="Q642" s="8"/>
      <c r="Z642" s="9"/>
    </row>
    <row r="643" customFormat="false" ht="15.75" hidden="false" customHeight="false" outlineLevel="0" collapsed="false">
      <c r="A643" s="3"/>
      <c r="B643" s="4"/>
      <c r="C643" s="5"/>
      <c r="D643" s="11"/>
      <c r="E643" s="11"/>
      <c r="F643" s="11"/>
      <c r="G643" s="3"/>
      <c r="H643" s="3"/>
      <c r="I643" s="3"/>
      <c r="J643" s="3"/>
      <c r="K643" s="6"/>
      <c r="L643" s="7"/>
      <c r="M643" s="7"/>
      <c r="N643" s="7"/>
      <c r="O643" s="7"/>
      <c r="P643" s="7"/>
      <c r="Q643" s="8"/>
      <c r="Z643" s="9"/>
    </row>
    <row r="644" customFormat="false" ht="15.75" hidden="false" customHeight="false" outlineLevel="0" collapsed="false">
      <c r="A644" s="3"/>
      <c r="B644" s="4"/>
      <c r="C644" s="5"/>
      <c r="D644" s="11"/>
      <c r="E644" s="11"/>
      <c r="F644" s="11"/>
      <c r="G644" s="3"/>
      <c r="H644" s="3"/>
      <c r="I644" s="3"/>
      <c r="J644" s="3"/>
      <c r="K644" s="6"/>
      <c r="L644" s="7"/>
      <c r="M644" s="7"/>
      <c r="N644" s="7"/>
      <c r="O644" s="7"/>
      <c r="P644" s="7"/>
      <c r="Q644" s="8"/>
      <c r="Z644" s="9"/>
    </row>
    <row r="645" customFormat="false" ht="15.75" hidden="false" customHeight="false" outlineLevel="0" collapsed="false">
      <c r="A645" s="7"/>
      <c r="B645" s="16"/>
      <c r="C645" s="17"/>
      <c r="D645" s="18"/>
      <c r="E645" s="18"/>
      <c r="F645" s="18"/>
      <c r="G645" s="7"/>
      <c r="H645" s="7"/>
      <c r="I645" s="7"/>
      <c r="J645" s="12"/>
      <c r="K645" s="8"/>
      <c r="L645" s="7"/>
      <c r="M645" s="7"/>
      <c r="N645" s="7"/>
      <c r="O645" s="7"/>
      <c r="P645" s="7"/>
      <c r="Q645" s="8"/>
      <c r="Z645" s="9"/>
    </row>
    <row r="646" customFormat="false" ht="15.75" hidden="false" customHeight="false" outlineLevel="0" collapsed="false">
      <c r="A646" s="7"/>
      <c r="B646" s="16"/>
      <c r="C646" s="17"/>
      <c r="D646" s="18"/>
      <c r="E646" s="18"/>
      <c r="F646" s="18"/>
      <c r="G646" s="7"/>
      <c r="H646" s="7"/>
      <c r="I646" s="7"/>
      <c r="J646" s="12"/>
      <c r="K646" s="8"/>
      <c r="L646" s="7"/>
      <c r="M646" s="7"/>
      <c r="N646" s="7"/>
      <c r="O646" s="7"/>
      <c r="P646" s="7"/>
      <c r="Q646" s="8"/>
      <c r="Z646" s="9"/>
    </row>
    <row r="647" customFormat="false" ht="15.75" hidden="false" customHeight="false" outlineLevel="0" collapsed="false">
      <c r="A647" s="7"/>
      <c r="B647" s="16"/>
      <c r="C647" s="17"/>
      <c r="D647" s="18"/>
      <c r="E647" s="18"/>
      <c r="F647" s="18"/>
      <c r="G647" s="7"/>
      <c r="H647" s="7"/>
      <c r="I647" s="7"/>
      <c r="J647" s="12"/>
      <c r="K647" s="8"/>
      <c r="L647" s="7"/>
      <c r="M647" s="7"/>
      <c r="N647" s="7"/>
      <c r="O647" s="7"/>
      <c r="P647" s="7"/>
      <c r="Q647" s="8"/>
      <c r="Z647" s="9"/>
    </row>
    <row r="648" customFormat="false" ht="15.75" hidden="false" customHeight="false" outlineLevel="0" collapsed="false">
      <c r="A648" s="7"/>
      <c r="B648" s="16"/>
      <c r="C648" s="17"/>
      <c r="D648" s="18"/>
      <c r="E648" s="18"/>
      <c r="F648" s="18"/>
      <c r="G648" s="7"/>
      <c r="H648" s="7"/>
      <c r="I648" s="7"/>
      <c r="J648" s="12"/>
      <c r="K648" s="8"/>
      <c r="L648" s="7"/>
      <c r="M648" s="7"/>
      <c r="N648" s="7"/>
      <c r="O648" s="7"/>
      <c r="P648" s="7"/>
      <c r="Q648" s="8"/>
      <c r="Z648" s="9"/>
    </row>
    <row r="649" customFormat="false" ht="15.75" hidden="false" customHeight="false" outlineLevel="0" collapsed="false">
      <c r="A649" s="7"/>
      <c r="B649" s="16"/>
      <c r="C649" s="17"/>
      <c r="D649" s="18"/>
      <c r="E649" s="18"/>
      <c r="F649" s="18"/>
      <c r="G649" s="7"/>
      <c r="H649" s="7"/>
      <c r="I649" s="7"/>
      <c r="J649" s="12"/>
      <c r="K649" s="8"/>
      <c r="L649" s="7"/>
      <c r="M649" s="7"/>
      <c r="N649" s="7"/>
      <c r="O649" s="7"/>
      <c r="P649" s="7"/>
      <c r="Q649" s="8"/>
      <c r="Z649" s="9"/>
    </row>
    <row r="650" customFormat="false" ht="15.75" hidden="false" customHeight="false" outlineLevel="0" collapsed="false">
      <c r="A650" s="7"/>
      <c r="B650" s="16"/>
      <c r="C650" s="17"/>
      <c r="D650" s="18"/>
      <c r="E650" s="18"/>
      <c r="F650" s="18"/>
      <c r="G650" s="7"/>
      <c r="H650" s="7"/>
      <c r="I650" s="7"/>
      <c r="J650" s="12"/>
      <c r="K650" s="8"/>
      <c r="L650" s="7"/>
      <c r="M650" s="7"/>
      <c r="N650" s="7"/>
      <c r="O650" s="7"/>
      <c r="P650" s="7"/>
      <c r="Q650" s="8"/>
      <c r="Z650" s="9"/>
    </row>
    <row r="651" customFormat="false" ht="15.75" hidden="false" customHeight="false" outlineLevel="0" collapsed="false">
      <c r="A651" s="7"/>
      <c r="B651" s="16"/>
      <c r="C651" s="17"/>
      <c r="D651" s="18"/>
      <c r="E651" s="18"/>
      <c r="F651" s="18"/>
      <c r="G651" s="7"/>
      <c r="H651" s="7"/>
      <c r="I651" s="7"/>
      <c r="J651" s="12"/>
      <c r="K651" s="8"/>
      <c r="L651" s="7"/>
      <c r="M651" s="7"/>
      <c r="N651" s="7"/>
      <c r="O651" s="7"/>
      <c r="P651" s="7"/>
      <c r="Q651" s="8"/>
      <c r="Z651" s="9"/>
    </row>
    <row r="652" customFormat="false" ht="15.75" hidden="false" customHeight="false" outlineLevel="0" collapsed="false">
      <c r="A652" s="7"/>
      <c r="B652" s="16"/>
      <c r="C652" s="17"/>
      <c r="D652" s="18"/>
      <c r="E652" s="18"/>
      <c r="F652" s="18"/>
      <c r="G652" s="7"/>
      <c r="H652" s="7"/>
      <c r="I652" s="7"/>
      <c r="J652" s="12"/>
      <c r="K652" s="8"/>
      <c r="L652" s="7"/>
      <c r="M652" s="7"/>
      <c r="N652" s="7"/>
      <c r="O652" s="7"/>
      <c r="P652" s="7"/>
      <c r="Q652" s="8"/>
      <c r="Z652" s="9"/>
    </row>
    <row r="653" customFormat="false" ht="15.75" hidden="false" customHeight="false" outlineLevel="0" collapsed="false">
      <c r="A653" s="7"/>
      <c r="B653" s="16"/>
      <c r="C653" s="17"/>
      <c r="D653" s="18"/>
      <c r="E653" s="18"/>
      <c r="F653" s="18"/>
      <c r="G653" s="7"/>
      <c r="H653" s="7"/>
      <c r="I653" s="7"/>
      <c r="J653" s="12"/>
      <c r="K653" s="8"/>
      <c r="L653" s="7"/>
      <c r="M653" s="7"/>
      <c r="N653" s="7"/>
      <c r="O653" s="7"/>
      <c r="P653" s="7"/>
      <c r="Q653" s="8"/>
      <c r="Z653" s="9"/>
    </row>
    <row r="654" customFormat="false" ht="15.75" hidden="false" customHeight="false" outlineLevel="0" collapsed="false">
      <c r="A654" s="7"/>
      <c r="B654" s="16"/>
      <c r="C654" s="17"/>
      <c r="D654" s="18"/>
      <c r="E654" s="18"/>
      <c r="F654" s="18"/>
      <c r="G654" s="7"/>
      <c r="H654" s="7"/>
      <c r="I654" s="7"/>
      <c r="J654" s="12"/>
      <c r="K654" s="8"/>
      <c r="L654" s="7"/>
      <c r="M654" s="7"/>
      <c r="N654" s="7"/>
      <c r="O654" s="7"/>
      <c r="P654" s="7"/>
      <c r="Q654" s="8"/>
      <c r="Z654" s="9"/>
    </row>
    <row r="655" customFormat="false" ht="15.75" hidden="false" customHeight="false" outlineLevel="0" collapsed="false">
      <c r="A655" s="7"/>
      <c r="B655" s="16"/>
      <c r="C655" s="17"/>
      <c r="D655" s="18"/>
      <c r="E655" s="18"/>
      <c r="F655" s="18"/>
      <c r="G655" s="7"/>
      <c r="H655" s="7"/>
      <c r="I655" s="7"/>
      <c r="J655" s="12"/>
      <c r="K655" s="8"/>
      <c r="L655" s="7"/>
      <c r="M655" s="7"/>
      <c r="N655" s="7"/>
      <c r="O655" s="7"/>
      <c r="P655" s="7"/>
      <c r="Q655" s="8"/>
      <c r="Z655" s="9"/>
    </row>
    <row r="656" customFormat="false" ht="15.75" hidden="false" customHeight="false" outlineLevel="0" collapsed="false">
      <c r="A656" s="7"/>
      <c r="B656" s="16"/>
      <c r="C656" s="17"/>
      <c r="D656" s="18"/>
      <c r="E656" s="18"/>
      <c r="F656" s="18"/>
      <c r="G656" s="7"/>
      <c r="H656" s="7"/>
      <c r="I656" s="7"/>
      <c r="J656" s="12"/>
      <c r="K656" s="8"/>
      <c r="L656" s="7"/>
      <c r="M656" s="7"/>
      <c r="N656" s="7"/>
      <c r="O656" s="7"/>
      <c r="P656" s="7"/>
      <c r="Q656" s="8"/>
      <c r="Z656" s="9"/>
    </row>
    <row r="657" customFormat="false" ht="15.75" hidden="false" customHeight="false" outlineLevel="0" collapsed="false">
      <c r="A657" s="7"/>
      <c r="B657" s="16"/>
      <c r="C657" s="17"/>
      <c r="D657" s="18"/>
      <c r="E657" s="18"/>
      <c r="F657" s="18"/>
      <c r="G657" s="7"/>
      <c r="H657" s="7"/>
      <c r="I657" s="7"/>
      <c r="J657" s="12"/>
      <c r="K657" s="8"/>
      <c r="L657" s="7"/>
      <c r="M657" s="7"/>
      <c r="N657" s="7"/>
      <c r="O657" s="7"/>
      <c r="P657" s="7"/>
      <c r="Q657" s="8"/>
      <c r="Z657" s="9"/>
    </row>
    <row r="658" customFormat="false" ht="15.75" hidden="false" customHeight="false" outlineLevel="0" collapsed="false">
      <c r="A658" s="7"/>
      <c r="B658" s="16"/>
      <c r="C658" s="17"/>
      <c r="D658" s="18"/>
      <c r="E658" s="18"/>
      <c r="F658" s="18"/>
      <c r="G658" s="7"/>
      <c r="H658" s="7"/>
      <c r="I658" s="7"/>
      <c r="J658" s="12"/>
      <c r="K658" s="8"/>
      <c r="L658" s="7"/>
      <c r="M658" s="7"/>
      <c r="N658" s="7"/>
      <c r="O658" s="7"/>
      <c r="P658" s="7"/>
      <c r="Q658" s="8"/>
      <c r="Z658" s="9"/>
    </row>
    <row r="659" customFormat="false" ht="15.75" hidden="false" customHeight="false" outlineLevel="0" collapsed="false">
      <c r="A659" s="7"/>
      <c r="B659" s="16"/>
      <c r="C659" s="17"/>
      <c r="D659" s="18"/>
      <c r="E659" s="18"/>
      <c r="F659" s="18"/>
      <c r="G659" s="7"/>
      <c r="H659" s="7"/>
      <c r="I659" s="7"/>
      <c r="J659" s="12"/>
      <c r="K659" s="8"/>
      <c r="L659" s="7"/>
      <c r="M659" s="7"/>
      <c r="N659" s="7"/>
      <c r="O659" s="7"/>
      <c r="P659" s="7"/>
      <c r="Q659" s="8"/>
      <c r="Z659" s="9"/>
    </row>
    <row r="660" customFormat="false" ht="15.75" hidden="false" customHeight="false" outlineLevel="0" collapsed="false">
      <c r="A660" s="7"/>
      <c r="B660" s="16"/>
      <c r="C660" s="17"/>
      <c r="D660" s="18"/>
      <c r="E660" s="18"/>
      <c r="F660" s="18"/>
      <c r="G660" s="7"/>
      <c r="H660" s="7"/>
      <c r="I660" s="7"/>
      <c r="J660" s="12"/>
      <c r="K660" s="8"/>
      <c r="L660" s="7"/>
      <c r="M660" s="7"/>
      <c r="N660" s="7"/>
      <c r="O660" s="7"/>
      <c r="P660" s="7"/>
      <c r="Q660" s="8"/>
      <c r="Z660" s="9"/>
    </row>
    <row r="661" customFormat="false" ht="15.75" hidden="false" customHeight="false" outlineLevel="0" collapsed="false">
      <c r="A661" s="7"/>
      <c r="B661" s="16"/>
      <c r="C661" s="17"/>
      <c r="D661" s="18"/>
      <c r="E661" s="18"/>
      <c r="F661" s="18"/>
      <c r="G661" s="7"/>
      <c r="H661" s="7"/>
      <c r="I661" s="7"/>
      <c r="J661" s="12"/>
      <c r="K661" s="8"/>
      <c r="L661" s="7"/>
      <c r="M661" s="7"/>
      <c r="N661" s="7"/>
      <c r="O661" s="7"/>
      <c r="P661" s="7"/>
      <c r="Q661" s="8"/>
      <c r="Z661" s="9"/>
    </row>
    <row r="662" customFormat="false" ht="15.75" hidden="false" customHeight="false" outlineLevel="0" collapsed="false">
      <c r="A662" s="7"/>
      <c r="B662" s="16"/>
      <c r="C662" s="17"/>
      <c r="D662" s="18"/>
      <c r="E662" s="18"/>
      <c r="F662" s="18"/>
      <c r="G662" s="7"/>
      <c r="H662" s="7"/>
      <c r="I662" s="7"/>
      <c r="J662" s="12"/>
      <c r="K662" s="8"/>
      <c r="L662" s="7"/>
      <c r="M662" s="7"/>
      <c r="N662" s="7"/>
      <c r="O662" s="7"/>
      <c r="P662" s="7"/>
      <c r="Q662" s="8"/>
      <c r="Z662" s="9"/>
    </row>
    <row r="663" customFormat="false" ht="15.75" hidden="false" customHeight="false" outlineLevel="0" collapsed="false">
      <c r="A663" s="7"/>
      <c r="B663" s="16"/>
      <c r="C663" s="17"/>
      <c r="D663" s="18"/>
      <c r="E663" s="18"/>
      <c r="F663" s="18"/>
      <c r="G663" s="7"/>
      <c r="H663" s="7"/>
      <c r="I663" s="7"/>
      <c r="J663" s="12"/>
      <c r="K663" s="8"/>
      <c r="L663" s="7"/>
      <c r="M663" s="7"/>
      <c r="N663" s="7"/>
      <c r="O663" s="7"/>
      <c r="P663" s="7"/>
      <c r="Q663" s="8"/>
      <c r="Z663" s="9"/>
    </row>
    <row r="664" customFormat="false" ht="15.75" hidden="false" customHeight="false" outlineLevel="0" collapsed="false">
      <c r="A664" s="7"/>
      <c r="B664" s="16"/>
      <c r="C664" s="17"/>
      <c r="D664" s="18"/>
      <c r="E664" s="18"/>
      <c r="F664" s="18"/>
      <c r="G664" s="7"/>
      <c r="H664" s="7"/>
      <c r="I664" s="7"/>
      <c r="J664" s="12"/>
      <c r="K664" s="8"/>
      <c r="L664" s="7"/>
      <c r="M664" s="7"/>
      <c r="N664" s="7"/>
      <c r="O664" s="7"/>
      <c r="P664" s="7"/>
      <c r="Q664" s="8"/>
      <c r="Z664" s="9"/>
    </row>
    <row r="665" customFormat="false" ht="15.75" hidden="false" customHeight="false" outlineLevel="0" collapsed="false">
      <c r="A665" s="7"/>
      <c r="B665" s="16"/>
      <c r="C665" s="17"/>
      <c r="D665" s="18"/>
      <c r="E665" s="18"/>
      <c r="F665" s="18"/>
      <c r="G665" s="7"/>
      <c r="H665" s="7"/>
      <c r="I665" s="7"/>
      <c r="J665" s="12"/>
      <c r="K665" s="8"/>
      <c r="L665" s="7"/>
      <c r="M665" s="7"/>
      <c r="N665" s="7"/>
      <c r="O665" s="7"/>
      <c r="P665" s="7"/>
      <c r="Q665" s="8"/>
      <c r="Z665" s="9"/>
    </row>
    <row r="666" customFormat="false" ht="15.75" hidden="false" customHeight="false" outlineLevel="0" collapsed="false">
      <c r="A666" s="7"/>
      <c r="B666" s="16"/>
      <c r="C666" s="17"/>
      <c r="D666" s="18"/>
      <c r="E666" s="18"/>
      <c r="F666" s="18"/>
      <c r="G666" s="7"/>
      <c r="H666" s="7"/>
      <c r="I666" s="7"/>
      <c r="J666" s="12"/>
      <c r="K666" s="8"/>
      <c r="L666" s="7"/>
      <c r="M666" s="7"/>
      <c r="N666" s="7"/>
      <c r="O666" s="7"/>
      <c r="P666" s="7"/>
      <c r="Q666" s="8"/>
      <c r="Z666" s="9"/>
    </row>
    <row r="667" customFormat="false" ht="15.75" hidden="false" customHeight="false" outlineLevel="0" collapsed="false">
      <c r="A667" s="7"/>
      <c r="B667" s="16"/>
      <c r="C667" s="17"/>
      <c r="D667" s="18"/>
      <c r="E667" s="18"/>
      <c r="F667" s="18"/>
      <c r="G667" s="7"/>
      <c r="H667" s="7"/>
      <c r="I667" s="7"/>
      <c r="J667" s="12"/>
      <c r="K667" s="8"/>
      <c r="L667" s="7"/>
      <c r="M667" s="7"/>
      <c r="N667" s="7"/>
      <c r="O667" s="7"/>
      <c r="P667" s="7"/>
      <c r="Q667" s="8"/>
      <c r="Z667" s="9"/>
    </row>
    <row r="668" customFormat="false" ht="15.75" hidden="false" customHeight="false" outlineLevel="0" collapsed="false">
      <c r="A668" s="7"/>
      <c r="B668" s="16"/>
      <c r="C668" s="17"/>
      <c r="D668" s="18"/>
      <c r="E668" s="18"/>
      <c r="F668" s="18"/>
      <c r="G668" s="7"/>
      <c r="H668" s="7"/>
      <c r="I668" s="7"/>
      <c r="J668" s="12"/>
      <c r="K668" s="8"/>
      <c r="L668" s="7"/>
      <c r="M668" s="7"/>
      <c r="N668" s="7"/>
      <c r="O668" s="7"/>
      <c r="P668" s="7"/>
      <c r="Q668" s="8"/>
      <c r="Z668" s="9"/>
    </row>
    <row r="669" customFormat="false" ht="15.75" hidden="false" customHeight="false" outlineLevel="0" collapsed="false">
      <c r="A669" s="7"/>
      <c r="B669" s="16"/>
      <c r="C669" s="17"/>
      <c r="D669" s="18"/>
      <c r="E669" s="18"/>
      <c r="F669" s="18"/>
      <c r="G669" s="7"/>
      <c r="H669" s="7"/>
      <c r="I669" s="7"/>
      <c r="J669" s="12"/>
      <c r="K669" s="8"/>
      <c r="L669" s="7"/>
      <c r="M669" s="7"/>
      <c r="N669" s="7"/>
      <c r="O669" s="7"/>
      <c r="P669" s="7"/>
      <c r="Q669" s="8"/>
      <c r="Z669" s="9"/>
    </row>
    <row r="670" customFormat="false" ht="15.75" hidden="false" customHeight="false" outlineLevel="0" collapsed="false">
      <c r="A670" s="7"/>
      <c r="B670" s="16"/>
      <c r="C670" s="17"/>
      <c r="D670" s="18"/>
      <c r="E670" s="18"/>
      <c r="F670" s="18"/>
      <c r="G670" s="7"/>
      <c r="H670" s="7"/>
      <c r="I670" s="7"/>
      <c r="J670" s="12"/>
      <c r="K670" s="8"/>
      <c r="L670" s="7"/>
      <c r="M670" s="7"/>
      <c r="N670" s="7"/>
      <c r="O670" s="7"/>
      <c r="P670" s="7"/>
      <c r="Q670" s="8"/>
      <c r="Z670" s="9"/>
    </row>
    <row r="671" customFormat="false" ht="15.75" hidden="false" customHeight="false" outlineLevel="0" collapsed="false">
      <c r="A671" s="7"/>
      <c r="B671" s="16"/>
      <c r="C671" s="17"/>
      <c r="D671" s="18"/>
      <c r="E671" s="18"/>
      <c r="F671" s="18"/>
      <c r="G671" s="7"/>
      <c r="H671" s="7"/>
      <c r="I671" s="7"/>
      <c r="J671" s="12"/>
      <c r="K671" s="8"/>
      <c r="L671" s="7"/>
      <c r="M671" s="7"/>
      <c r="N671" s="7"/>
      <c r="O671" s="7"/>
      <c r="P671" s="7"/>
      <c r="Q671" s="8"/>
      <c r="Z671" s="9"/>
    </row>
    <row r="672" customFormat="false" ht="15.75" hidden="false" customHeight="false" outlineLevel="0" collapsed="false">
      <c r="A672" s="7"/>
      <c r="B672" s="16"/>
      <c r="C672" s="17"/>
      <c r="D672" s="18"/>
      <c r="E672" s="18"/>
      <c r="F672" s="18"/>
      <c r="G672" s="7"/>
      <c r="H672" s="7"/>
      <c r="I672" s="7"/>
      <c r="J672" s="12"/>
      <c r="K672" s="8"/>
      <c r="L672" s="7"/>
      <c r="M672" s="7"/>
      <c r="N672" s="7"/>
      <c r="O672" s="7"/>
      <c r="P672" s="7"/>
      <c r="Q672" s="8"/>
      <c r="Z672" s="9"/>
    </row>
    <row r="673" customFormat="false" ht="15.75" hidden="false" customHeight="false" outlineLevel="0" collapsed="false">
      <c r="A673" s="7"/>
      <c r="B673" s="16"/>
      <c r="C673" s="17"/>
      <c r="D673" s="18"/>
      <c r="E673" s="18"/>
      <c r="F673" s="18"/>
      <c r="G673" s="7"/>
      <c r="H673" s="7"/>
      <c r="I673" s="7"/>
      <c r="J673" s="12"/>
      <c r="K673" s="8"/>
      <c r="L673" s="7"/>
      <c r="M673" s="7"/>
      <c r="N673" s="7"/>
      <c r="O673" s="7"/>
      <c r="P673" s="7"/>
      <c r="Q673" s="8"/>
      <c r="Z673" s="9"/>
    </row>
    <row r="674" customFormat="false" ht="15.75" hidden="false" customHeight="false" outlineLevel="0" collapsed="false">
      <c r="A674" s="7"/>
      <c r="B674" s="16"/>
      <c r="C674" s="17"/>
      <c r="D674" s="18"/>
      <c r="E674" s="18"/>
      <c r="F674" s="18"/>
      <c r="G674" s="7"/>
      <c r="H674" s="7"/>
      <c r="I674" s="7"/>
      <c r="J674" s="12"/>
      <c r="K674" s="8"/>
      <c r="L674" s="7"/>
      <c r="M674" s="7"/>
      <c r="N674" s="7"/>
      <c r="O674" s="7"/>
      <c r="P674" s="7"/>
      <c r="Q674" s="8"/>
      <c r="Z674" s="9"/>
    </row>
    <row r="675" customFormat="false" ht="15.75" hidden="false" customHeight="false" outlineLevel="0" collapsed="false">
      <c r="A675" s="7"/>
      <c r="B675" s="16"/>
      <c r="C675" s="17"/>
      <c r="D675" s="18"/>
      <c r="E675" s="18"/>
      <c r="F675" s="18"/>
      <c r="G675" s="7"/>
      <c r="H675" s="7"/>
      <c r="I675" s="7"/>
      <c r="J675" s="12"/>
      <c r="K675" s="8"/>
      <c r="L675" s="7"/>
      <c r="M675" s="7"/>
      <c r="N675" s="7"/>
      <c r="O675" s="7"/>
      <c r="P675" s="7"/>
      <c r="Q675" s="8"/>
      <c r="Z675" s="9"/>
    </row>
    <row r="676" customFormat="false" ht="15.75" hidden="false" customHeight="false" outlineLevel="0" collapsed="false">
      <c r="A676" s="7"/>
      <c r="B676" s="16"/>
      <c r="C676" s="17"/>
      <c r="D676" s="18"/>
      <c r="E676" s="18"/>
      <c r="F676" s="18"/>
      <c r="G676" s="7"/>
      <c r="H676" s="7"/>
      <c r="I676" s="7"/>
      <c r="J676" s="12"/>
      <c r="K676" s="8"/>
      <c r="L676" s="7"/>
      <c r="M676" s="7"/>
      <c r="N676" s="7"/>
      <c r="O676" s="7"/>
      <c r="P676" s="7"/>
      <c r="Q676" s="8"/>
      <c r="Z676" s="9"/>
    </row>
    <row r="677" customFormat="false" ht="15.75" hidden="false" customHeight="false" outlineLevel="0" collapsed="false">
      <c r="A677" s="7"/>
      <c r="B677" s="16"/>
      <c r="C677" s="17"/>
      <c r="D677" s="18"/>
      <c r="E677" s="18"/>
      <c r="F677" s="18"/>
      <c r="G677" s="7"/>
      <c r="H677" s="7"/>
      <c r="I677" s="7"/>
      <c r="J677" s="12"/>
      <c r="K677" s="8"/>
      <c r="L677" s="7"/>
      <c r="M677" s="7"/>
      <c r="N677" s="7"/>
      <c r="O677" s="7"/>
      <c r="P677" s="7"/>
      <c r="Q677" s="8"/>
      <c r="Z677" s="9"/>
    </row>
    <row r="678" customFormat="false" ht="15.75" hidden="false" customHeight="false" outlineLevel="0" collapsed="false">
      <c r="A678" s="7"/>
      <c r="B678" s="16"/>
      <c r="C678" s="17"/>
      <c r="D678" s="18"/>
      <c r="E678" s="18"/>
      <c r="F678" s="18"/>
      <c r="G678" s="7"/>
      <c r="H678" s="7"/>
      <c r="I678" s="7"/>
      <c r="J678" s="12"/>
      <c r="K678" s="8"/>
      <c r="L678" s="7"/>
      <c r="M678" s="7"/>
      <c r="N678" s="7"/>
      <c r="O678" s="7"/>
      <c r="P678" s="7"/>
      <c r="Q678" s="8"/>
      <c r="Z678" s="9"/>
    </row>
    <row r="679" customFormat="false" ht="15.75" hidden="false" customHeight="false" outlineLevel="0" collapsed="false">
      <c r="A679" s="7"/>
      <c r="B679" s="16"/>
      <c r="C679" s="17"/>
      <c r="D679" s="18"/>
      <c r="E679" s="18"/>
      <c r="F679" s="18"/>
      <c r="G679" s="7"/>
      <c r="H679" s="7"/>
      <c r="I679" s="7"/>
      <c r="J679" s="12"/>
      <c r="K679" s="8"/>
      <c r="L679" s="7"/>
      <c r="M679" s="7"/>
      <c r="N679" s="7"/>
      <c r="O679" s="7"/>
      <c r="P679" s="7"/>
      <c r="Q679" s="8"/>
      <c r="Z679" s="9"/>
    </row>
    <row r="680" customFormat="false" ht="15.75" hidden="false" customHeight="false" outlineLevel="0" collapsed="false">
      <c r="A680" s="7"/>
      <c r="B680" s="16"/>
      <c r="C680" s="17"/>
      <c r="D680" s="18"/>
      <c r="E680" s="18"/>
      <c r="F680" s="18"/>
      <c r="G680" s="7"/>
      <c r="H680" s="7"/>
      <c r="I680" s="7"/>
      <c r="J680" s="12"/>
      <c r="K680" s="8"/>
      <c r="L680" s="7"/>
      <c r="M680" s="7"/>
      <c r="N680" s="7"/>
      <c r="O680" s="7"/>
      <c r="P680" s="7"/>
      <c r="Q680" s="8"/>
      <c r="Z680" s="9"/>
    </row>
    <row r="681" customFormat="false" ht="15.75" hidden="false" customHeight="false" outlineLevel="0" collapsed="false">
      <c r="A681" s="7"/>
      <c r="B681" s="16"/>
      <c r="C681" s="17"/>
      <c r="D681" s="18"/>
      <c r="E681" s="18"/>
      <c r="F681" s="18"/>
      <c r="G681" s="7"/>
      <c r="H681" s="7"/>
      <c r="I681" s="7"/>
      <c r="J681" s="12"/>
      <c r="K681" s="8"/>
      <c r="L681" s="7"/>
      <c r="M681" s="7"/>
      <c r="N681" s="7"/>
      <c r="O681" s="7"/>
      <c r="P681" s="7"/>
      <c r="Q681" s="8"/>
      <c r="Z681" s="9"/>
    </row>
    <row r="682" customFormat="false" ht="15.75" hidden="false" customHeight="false" outlineLevel="0" collapsed="false">
      <c r="A682" s="7"/>
      <c r="B682" s="16"/>
      <c r="C682" s="17"/>
      <c r="D682" s="18"/>
      <c r="E682" s="18"/>
      <c r="F682" s="18"/>
      <c r="G682" s="7"/>
      <c r="H682" s="7"/>
      <c r="I682" s="7"/>
      <c r="J682" s="12"/>
      <c r="K682" s="8"/>
      <c r="L682" s="7"/>
      <c r="M682" s="7"/>
      <c r="N682" s="7"/>
      <c r="O682" s="7"/>
      <c r="P682" s="7"/>
      <c r="Q682" s="8"/>
      <c r="Z682" s="9"/>
    </row>
    <row r="683" customFormat="false" ht="15.75" hidden="false" customHeight="false" outlineLevel="0" collapsed="false">
      <c r="A683" s="7"/>
      <c r="B683" s="16"/>
      <c r="C683" s="17"/>
      <c r="D683" s="18"/>
      <c r="E683" s="18"/>
      <c r="F683" s="18"/>
      <c r="G683" s="7"/>
      <c r="H683" s="7"/>
      <c r="I683" s="7"/>
      <c r="J683" s="12"/>
      <c r="K683" s="8"/>
      <c r="L683" s="7"/>
      <c r="M683" s="7"/>
      <c r="N683" s="7"/>
      <c r="O683" s="7"/>
      <c r="P683" s="7"/>
      <c r="Q683" s="8"/>
      <c r="Z683" s="9"/>
    </row>
    <row r="684" customFormat="false" ht="15.75" hidden="false" customHeight="false" outlineLevel="0" collapsed="false">
      <c r="A684" s="7"/>
      <c r="B684" s="16"/>
      <c r="C684" s="17"/>
      <c r="D684" s="18"/>
      <c r="E684" s="18"/>
      <c r="F684" s="18"/>
      <c r="G684" s="7"/>
      <c r="H684" s="7"/>
      <c r="I684" s="7"/>
      <c r="J684" s="12"/>
      <c r="K684" s="8"/>
      <c r="L684" s="7"/>
      <c r="M684" s="7"/>
      <c r="N684" s="7"/>
      <c r="O684" s="7"/>
      <c r="P684" s="7"/>
      <c r="Q684" s="8"/>
      <c r="Z684" s="9"/>
    </row>
    <row r="685" customFormat="false" ht="15.75" hidden="false" customHeight="false" outlineLevel="0" collapsed="false">
      <c r="A685" s="7"/>
      <c r="B685" s="16"/>
      <c r="C685" s="17"/>
      <c r="D685" s="18"/>
      <c r="E685" s="18"/>
      <c r="F685" s="18"/>
      <c r="G685" s="7"/>
      <c r="H685" s="7"/>
      <c r="I685" s="7"/>
      <c r="J685" s="12"/>
      <c r="K685" s="8"/>
      <c r="L685" s="7"/>
      <c r="M685" s="7"/>
      <c r="N685" s="7"/>
      <c r="O685" s="7"/>
      <c r="P685" s="7"/>
      <c r="Q685" s="8"/>
      <c r="Z685" s="9"/>
    </row>
    <row r="686" customFormat="false" ht="15.75" hidden="false" customHeight="false" outlineLevel="0" collapsed="false">
      <c r="A686" s="7"/>
      <c r="B686" s="16"/>
      <c r="C686" s="17"/>
      <c r="D686" s="18"/>
      <c r="E686" s="18"/>
      <c r="F686" s="18"/>
      <c r="G686" s="7"/>
      <c r="H686" s="7"/>
      <c r="I686" s="7"/>
      <c r="J686" s="12"/>
      <c r="K686" s="8"/>
      <c r="L686" s="7"/>
      <c r="M686" s="7"/>
      <c r="N686" s="7"/>
      <c r="O686" s="7"/>
      <c r="P686" s="7"/>
      <c r="Q686" s="8"/>
      <c r="Z686" s="9"/>
    </row>
    <row r="687" customFormat="false" ht="15.75" hidden="false" customHeight="false" outlineLevel="0" collapsed="false">
      <c r="A687" s="7"/>
      <c r="B687" s="16"/>
      <c r="C687" s="17"/>
      <c r="D687" s="18"/>
      <c r="E687" s="18"/>
      <c r="F687" s="18"/>
      <c r="G687" s="7"/>
      <c r="H687" s="7"/>
      <c r="I687" s="7"/>
      <c r="J687" s="12"/>
      <c r="K687" s="8"/>
      <c r="L687" s="7"/>
      <c r="Q687" s="8"/>
      <c r="Z687" s="9"/>
    </row>
    <row r="688" customFormat="false" ht="15.75" hidden="false" customHeight="false" outlineLevel="0" collapsed="false">
      <c r="A688" s="7"/>
      <c r="B688" s="16"/>
      <c r="C688" s="17"/>
      <c r="D688" s="18"/>
      <c r="E688" s="18"/>
      <c r="F688" s="18"/>
      <c r="G688" s="7"/>
      <c r="H688" s="7"/>
      <c r="I688" s="7"/>
      <c r="J688" s="12"/>
      <c r="K688" s="8"/>
      <c r="L688" s="7"/>
      <c r="Q688" s="8"/>
      <c r="Z688" s="9"/>
    </row>
    <row r="689" customFormat="false" ht="15.75" hidden="false" customHeight="false" outlineLevel="0" collapsed="false">
      <c r="A689" s="7"/>
      <c r="B689" s="16"/>
      <c r="C689" s="17"/>
      <c r="D689" s="18"/>
      <c r="E689" s="18"/>
      <c r="F689" s="18"/>
      <c r="G689" s="7"/>
      <c r="H689" s="7"/>
      <c r="I689" s="7"/>
      <c r="J689" s="12"/>
      <c r="K689" s="8"/>
      <c r="L689" s="7"/>
      <c r="Q689" s="8"/>
      <c r="Z689" s="9"/>
    </row>
    <row r="690" customFormat="false" ht="15.75" hidden="false" customHeight="false" outlineLevel="0" collapsed="false">
      <c r="A690" s="7"/>
      <c r="B690" s="16"/>
      <c r="C690" s="17"/>
      <c r="D690" s="18"/>
      <c r="E690" s="18"/>
      <c r="F690" s="18"/>
      <c r="G690" s="7"/>
      <c r="H690" s="7"/>
      <c r="I690" s="7"/>
      <c r="J690" s="12"/>
      <c r="K690" s="8"/>
      <c r="L690" s="7"/>
      <c r="Q690" s="8"/>
      <c r="Z690" s="9"/>
    </row>
    <row r="691" customFormat="false" ht="15.75" hidden="false" customHeight="false" outlineLevel="0" collapsed="false">
      <c r="A691" s="7"/>
      <c r="B691" s="16"/>
      <c r="C691" s="17"/>
      <c r="D691" s="18"/>
      <c r="E691" s="18"/>
      <c r="F691" s="18"/>
      <c r="G691" s="7"/>
      <c r="H691" s="7"/>
      <c r="I691" s="7"/>
      <c r="J691" s="12"/>
      <c r="K691" s="8"/>
      <c r="L691" s="7"/>
      <c r="Q691" s="8"/>
      <c r="Z691" s="9"/>
    </row>
    <row r="692" customFormat="false" ht="15.75" hidden="false" customHeight="false" outlineLevel="0" collapsed="false">
      <c r="A692" s="7"/>
      <c r="B692" s="16"/>
      <c r="C692" s="17"/>
      <c r="D692" s="18"/>
      <c r="E692" s="18"/>
      <c r="F692" s="18"/>
      <c r="G692" s="7"/>
      <c r="H692" s="7"/>
      <c r="I692" s="7"/>
      <c r="J692" s="12"/>
      <c r="K692" s="8"/>
      <c r="L692" s="7"/>
      <c r="Q692" s="8"/>
      <c r="Z692" s="9"/>
    </row>
    <row r="693" customFormat="false" ht="15.75" hidden="false" customHeight="false" outlineLevel="0" collapsed="false">
      <c r="A693" s="7"/>
      <c r="B693" s="16"/>
      <c r="C693" s="17"/>
      <c r="D693" s="18"/>
      <c r="E693" s="18"/>
      <c r="F693" s="18"/>
      <c r="G693" s="7"/>
      <c r="H693" s="7"/>
      <c r="I693" s="7"/>
      <c r="J693" s="12"/>
      <c r="K693" s="8"/>
      <c r="L693" s="7"/>
      <c r="Q693" s="8"/>
      <c r="Z693" s="9"/>
    </row>
    <row r="694" customFormat="false" ht="15.75" hidden="false" customHeight="false" outlineLevel="0" collapsed="false">
      <c r="A694" s="7"/>
      <c r="B694" s="16"/>
      <c r="C694" s="17"/>
      <c r="D694" s="18"/>
      <c r="E694" s="18"/>
      <c r="F694" s="18"/>
      <c r="G694" s="7"/>
      <c r="H694" s="7"/>
      <c r="I694" s="7"/>
      <c r="J694" s="12"/>
      <c r="K694" s="8"/>
      <c r="L694" s="7"/>
      <c r="Q694" s="8"/>
      <c r="Z694" s="9"/>
    </row>
    <row r="695" customFormat="false" ht="15.75" hidden="false" customHeight="false" outlineLevel="0" collapsed="false">
      <c r="A695" s="7"/>
      <c r="B695" s="16"/>
      <c r="C695" s="17"/>
      <c r="D695" s="18"/>
      <c r="E695" s="18"/>
      <c r="F695" s="18"/>
      <c r="G695" s="7"/>
      <c r="H695" s="7"/>
      <c r="I695" s="7"/>
      <c r="J695" s="12"/>
      <c r="K695" s="8"/>
      <c r="L695" s="7"/>
      <c r="Q695" s="8"/>
      <c r="Z695" s="9"/>
    </row>
    <row r="696" customFormat="false" ht="15.75" hidden="false" customHeight="false" outlineLevel="0" collapsed="false">
      <c r="A696" s="7"/>
      <c r="B696" s="16"/>
      <c r="C696" s="17"/>
      <c r="D696" s="18"/>
      <c r="E696" s="18"/>
      <c r="F696" s="18"/>
      <c r="G696" s="7"/>
      <c r="H696" s="7"/>
      <c r="I696" s="7"/>
      <c r="J696" s="12"/>
      <c r="K696" s="8"/>
      <c r="L696" s="7"/>
      <c r="Q696" s="8"/>
      <c r="Z696" s="9"/>
    </row>
    <row r="697" customFormat="false" ht="15.75" hidden="false" customHeight="false" outlineLevel="0" collapsed="false">
      <c r="A697" s="7"/>
      <c r="B697" s="16"/>
      <c r="C697" s="17"/>
      <c r="D697" s="18"/>
      <c r="E697" s="18"/>
      <c r="F697" s="18"/>
      <c r="G697" s="7"/>
      <c r="H697" s="7"/>
      <c r="I697" s="7"/>
      <c r="J697" s="12"/>
      <c r="K697" s="8"/>
      <c r="L697" s="7"/>
      <c r="Q697" s="8"/>
      <c r="Z697" s="9"/>
    </row>
    <row r="698" customFormat="false" ht="15.75" hidden="false" customHeight="false" outlineLevel="0" collapsed="false">
      <c r="A698" s="7"/>
      <c r="B698" s="16"/>
      <c r="C698" s="17"/>
      <c r="D698" s="18"/>
      <c r="E698" s="18"/>
      <c r="F698" s="18"/>
      <c r="G698" s="7"/>
      <c r="H698" s="7"/>
      <c r="I698" s="7"/>
      <c r="J698" s="12"/>
      <c r="K698" s="8"/>
      <c r="L698" s="7"/>
      <c r="Q698" s="8"/>
      <c r="Z698" s="9"/>
    </row>
    <row r="699" customFormat="false" ht="15.75" hidden="false" customHeight="false" outlineLevel="0" collapsed="false">
      <c r="A699" s="7"/>
      <c r="B699" s="16"/>
      <c r="C699" s="17"/>
      <c r="D699" s="18"/>
      <c r="E699" s="18"/>
      <c r="F699" s="18"/>
      <c r="G699" s="7"/>
      <c r="H699" s="7"/>
      <c r="I699" s="7"/>
      <c r="J699" s="12"/>
      <c r="K699" s="8"/>
      <c r="L699" s="7"/>
      <c r="Q699" s="8"/>
      <c r="Z699" s="9"/>
    </row>
    <row r="700" customFormat="false" ht="15.75" hidden="false" customHeight="false" outlineLevel="0" collapsed="false">
      <c r="A700" s="7"/>
      <c r="B700" s="16"/>
      <c r="C700" s="17"/>
      <c r="D700" s="18"/>
      <c r="E700" s="18"/>
      <c r="F700" s="18"/>
      <c r="G700" s="7"/>
      <c r="H700" s="7"/>
      <c r="I700" s="7"/>
      <c r="J700" s="12"/>
      <c r="K700" s="8"/>
      <c r="L700" s="7"/>
      <c r="Q700" s="8"/>
      <c r="Z700" s="9"/>
    </row>
    <row r="701" customFormat="false" ht="15.75" hidden="false" customHeight="false" outlineLevel="0" collapsed="false">
      <c r="A701" s="7"/>
      <c r="B701" s="16"/>
      <c r="C701" s="17"/>
      <c r="D701" s="18"/>
      <c r="E701" s="18"/>
      <c r="F701" s="18"/>
      <c r="G701" s="7"/>
      <c r="H701" s="7"/>
      <c r="I701" s="7"/>
      <c r="J701" s="12"/>
      <c r="K701" s="8"/>
      <c r="L701" s="7"/>
      <c r="Q701" s="8"/>
      <c r="Z701" s="9"/>
    </row>
    <row r="702" customFormat="false" ht="15.75" hidden="false" customHeight="false" outlineLevel="0" collapsed="false">
      <c r="A702" s="7"/>
      <c r="B702" s="16"/>
      <c r="C702" s="17"/>
      <c r="D702" s="18"/>
      <c r="E702" s="18"/>
      <c r="F702" s="18"/>
      <c r="G702" s="7"/>
      <c r="H702" s="7"/>
      <c r="I702" s="7"/>
      <c r="J702" s="12"/>
      <c r="K702" s="8"/>
      <c r="L702" s="7"/>
      <c r="Q702" s="8"/>
      <c r="Z702" s="9"/>
    </row>
    <row r="703" customFormat="false" ht="15.75" hidden="false" customHeight="false" outlineLevel="0" collapsed="false">
      <c r="A703" s="7"/>
      <c r="B703" s="16"/>
      <c r="C703" s="17"/>
      <c r="D703" s="18"/>
      <c r="E703" s="18"/>
      <c r="F703" s="18"/>
      <c r="G703" s="7"/>
      <c r="H703" s="7"/>
      <c r="I703" s="7"/>
      <c r="J703" s="12"/>
      <c r="K703" s="8"/>
      <c r="L703" s="7"/>
      <c r="Q703" s="8"/>
      <c r="Z703" s="9"/>
    </row>
    <row r="704" customFormat="false" ht="15.75" hidden="false" customHeight="false" outlineLevel="0" collapsed="false">
      <c r="A704" s="7"/>
      <c r="B704" s="16"/>
      <c r="C704" s="17"/>
      <c r="D704" s="18"/>
      <c r="E704" s="18"/>
      <c r="F704" s="18"/>
      <c r="G704" s="7"/>
      <c r="H704" s="7"/>
      <c r="I704" s="7"/>
      <c r="J704" s="12"/>
      <c r="K704" s="8"/>
      <c r="L704" s="7"/>
      <c r="Q704" s="8"/>
      <c r="Z704" s="9"/>
    </row>
    <row r="705" customFormat="false" ht="15.75" hidden="false" customHeight="false" outlineLevel="0" collapsed="false">
      <c r="A705" s="7"/>
      <c r="B705" s="16"/>
      <c r="C705" s="17"/>
      <c r="D705" s="18"/>
      <c r="E705" s="18"/>
      <c r="F705" s="18"/>
      <c r="G705" s="7"/>
      <c r="H705" s="7"/>
      <c r="I705" s="7"/>
      <c r="J705" s="12"/>
      <c r="K705" s="8"/>
      <c r="L705" s="7"/>
      <c r="Q705" s="8"/>
      <c r="Z705" s="9"/>
    </row>
    <row r="706" customFormat="false" ht="15.75" hidden="false" customHeight="false" outlineLevel="0" collapsed="false">
      <c r="A706" s="7"/>
      <c r="B706" s="16"/>
      <c r="C706" s="17"/>
      <c r="D706" s="18"/>
      <c r="E706" s="18"/>
      <c r="F706" s="18"/>
      <c r="G706" s="7"/>
      <c r="H706" s="7"/>
      <c r="I706" s="7"/>
      <c r="J706" s="12"/>
      <c r="K706" s="8"/>
      <c r="L706" s="7"/>
      <c r="Q706" s="8"/>
      <c r="Z706" s="9"/>
    </row>
    <row r="707" customFormat="false" ht="15.75" hidden="false" customHeight="false" outlineLevel="0" collapsed="false">
      <c r="A707" s="7"/>
      <c r="B707" s="16"/>
      <c r="C707" s="17"/>
      <c r="D707" s="18"/>
      <c r="E707" s="18"/>
      <c r="F707" s="18"/>
      <c r="G707" s="7"/>
      <c r="H707" s="7"/>
      <c r="I707" s="7"/>
      <c r="J707" s="12"/>
      <c r="K707" s="8"/>
      <c r="L707" s="7"/>
      <c r="Q707" s="8"/>
      <c r="Z707" s="9"/>
    </row>
    <row r="708" customFormat="false" ht="15.75" hidden="false" customHeight="false" outlineLevel="0" collapsed="false">
      <c r="A708" s="7"/>
      <c r="B708" s="16"/>
      <c r="C708" s="17"/>
      <c r="D708" s="18"/>
      <c r="E708" s="18"/>
      <c r="F708" s="18"/>
      <c r="G708" s="7"/>
      <c r="H708" s="7"/>
      <c r="I708" s="7"/>
      <c r="J708" s="12"/>
      <c r="K708" s="8"/>
      <c r="L708" s="7"/>
      <c r="Q708" s="8"/>
      <c r="Z708" s="9"/>
    </row>
    <row r="709" customFormat="false" ht="15.75" hidden="false" customHeight="false" outlineLevel="0" collapsed="false">
      <c r="A709" s="7"/>
      <c r="B709" s="16"/>
      <c r="C709" s="17"/>
      <c r="D709" s="18"/>
      <c r="E709" s="18"/>
      <c r="F709" s="18"/>
      <c r="G709" s="7"/>
      <c r="H709" s="7"/>
      <c r="I709" s="7"/>
      <c r="J709" s="12"/>
      <c r="K709" s="8"/>
      <c r="L709" s="7"/>
      <c r="Q709" s="8"/>
      <c r="Z709" s="9"/>
    </row>
    <row r="710" customFormat="false" ht="15.75" hidden="false" customHeight="false" outlineLevel="0" collapsed="false">
      <c r="A710" s="7"/>
      <c r="B710" s="16"/>
      <c r="C710" s="17"/>
      <c r="D710" s="18"/>
      <c r="E710" s="18"/>
      <c r="F710" s="18"/>
      <c r="G710" s="7"/>
      <c r="H710" s="7"/>
      <c r="I710" s="7"/>
      <c r="J710" s="12"/>
      <c r="K710" s="8"/>
      <c r="L710" s="7"/>
      <c r="Q710" s="8"/>
      <c r="Z710" s="9"/>
    </row>
    <row r="711" customFormat="false" ht="15.75" hidden="false" customHeight="false" outlineLevel="0" collapsed="false">
      <c r="A711" s="7"/>
      <c r="B711" s="16"/>
      <c r="C711" s="17"/>
      <c r="D711" s="18"/>
      <c r="E711" s="18"/>
      <c r="F711" s="18"/>
      <c r="G711" s="7"/>
      <c r="H711" s="7"/>
      <c r="I711" s="7"/>
      <c r="J711" s="12"/>
      <c r="K711" s="8"/>
      <c r="L711" s="7"/>
      <c r="Q711" s="8"/>
      <c r="Z711" s="9"/>
    </row>
    <row r="712" customFormat="false" ht="15.75" hidden="false" customHeight="false" outlineLevel="0" collapsed="false">
      <c r="A712" s="7"/>
      <c r="B712" s="16"/>
      <c r="C712" s="17"/>
      <c r="D712" s="18"/>
      <c r="E712" s="18"/>
      <c r="F712" s="18"/>
      <c r="G712" s="7"/>
      <c r="H712" s="7"/>
      <c r="I712" s="7"/>
      <c r="J712" s="12"/>
      <c r="K712" s="8"/>
      <c r="L712" s="7"/>
      <c r="Q712" s="8"/>
      <c r="Z712" s="9"/>
    </row>
    <row r="713" customFormat="false" ht="15.75" hidden="false" customHeight="false" outlineLevel="0" collapsed="false">
      <c r="A713" s="7"/>
      <c r="B713" s="16"/>
      <c r="C713" s="17"/>
      <c r="D713" s="18"/>
      <c r="E713" s="18"/>
      <c r="F713" s="18"/>
      <c r="G713" s="7"/>
      <c r="H713" s="7"/>
      <c r="I713" s="7"/>
      <c r="J713" s="12"/>
      <c r="K713" s="8"/>
      <c r="L713" s="7"/>
      <c r="Q713" s="8"/>
      <c r="Z713" s="9"/>
    </row>
    <row r="714" customFormat="false" ht="15.75" hidden="false" customHeight="false" outlineLevel="0" collapsed="false">
      <c r="A714" s="7"/>
      <c r="B714" s="16"/>
      <c r="C714" s="17"/>
      <c r="D714" s="18"/>
      <c r="E714" s="18"/>
      <c r="F714" s="18"/>
      <c r="G714" s="7"/>
      <c r="H714" s="7"/>
      <c r="I714" s="7"/>
      <c r="J714" s="12"/>
      <c r="K714" s="8"/>
      <c r="L714" s="7"/>
      <c r="Q714" s="8"/>
      <c r="Z714" s="9"/>
    </row>
    <row r="715" customFormat="false" ht="15.75" hidden="false" customHeight="false" outlineLevel="0" collapsed="false">
      <c r="A715" s="7"/>
      <c r="B715" s="16"/>
      <c r="C715" s="17"/>
      <c r="D715" s="18"/>
      <c r="E715" s="18"/>
      <c r="F715" s="18"/>
      <c r="G715" s="7"/>
      <c r="H715" s="7"/>
      <c r="I715" s="7"/>
      <c r="J715" s="12"/>
      <c r="K715" s="8"/>
      <c r="L715" s="7"/>
      <c r="Q715" s="8"/>
      <c r="Z715" s="9"/>
    </row>
    <row r="716" customFormat="false" ht="15.75" hidden="false" customHeight="false" outlineLevel="0" collapsed="false">
      <c r="A716" s="7"/>
      <c r="B716" s="16"/>
      <c r="C716" s="17"/>
      <c r="D716" s="18"/>
      <c r="E716" s="18"/>
      <c r="F716" s="18"/>
      <c r="G716" s="7"/>
      <c r="H716" s="7"/>
      <c r="I716" s="7"/>
      <c r="J716" s="12"/>
      <c r="K716" s="8"/>
      <c r="L716" s="7"/>
      <c r="Q716" s="8"/>
      <c r="Z716" s="9"/>
    </row>
    <row r="717" customFormat="false" ht="15.75" hidden="false" customHeight="false" outlineLevel="0" collapsed="false">
      <c r="A717" s="7"/>
      <c r="B717" s="16"/>
      <c r="C717" s="17"/>
      <c r="D717" s="18"/>
      <c r="E717" s="18"/>
      <c r="F717" s="18"/>
      <c r="G717" s="7"/>
      <c r="H717" s="7"/>
      <c r="I717" s="7"/>
      <c r="J717" s="12"/>
      <c r="K717" s="8"/>
      <c r="L717" s="7"/>
      <c r="Q717" s="8"/>
      <c r="Z717" s="9"/>
    </row>
    <row r="718" customFormat="false" ht="15.75" hidden="false" customHeight="false" outlineLevel="0" collapsed="false">
      <c r="A718" s="7"/>
      <c r="B718" s="16"/>
      <c r="C718" s="17"/>
      <c r="D718" s="18"/>
      <c r="E718" s="18"/>
      <c r="F718" s="18"/>
      <c r="G718" s="7"/>
      <c r="H718" s="7"/>
      <c r="I718" s="7"/>
      <c r="J718" s="12"/>
      <c r="K718" s="8"/>
      <c r="L718" s="7"/>
      <c r="Q718" s="8"/>
      <c r="Z718" s="9"/>
    </row>
    <row r="719" customFormat="false" ht="15.75" hidden="false" customHeight="false" outlineLevel="0" collapsed="false">
      <c r="A719" s="7"/>
      <c r="B719" s="16"/>
      <c r="C719" s="17"/>
      <c r="D719" s="18"/>
      <c r="E719" s="18"/>
      <c r="F719" s="18"/>
      <c r="G719" s="7"/>
      <c r="H719" s="7"/>
      <c r="I719" s="7"/>
      <c r="J719" s="12"/>
      <c r="K719" s="8"/>
      <c r="L719" s="7"/>
      <c r="Q719" s="8"/>
      <c r="Z719" s="9"/>
    </row>
    <row r="720" customFormat="false" ht="15.75" hidden="false" customHeight="false" outlineLevel="0" collapsed="false">
      <c r="A720" s="7"/>
      <c r="B720" s="16"/>
      <c r="C720" s="17"/>
      <c r="D720" s="18"/>
      <c r="E720" s="18"/>
      <c r="F720" s="18"/>
      <c r="G720" s="7"/>
      <c r="H720" s="7"/>
      <c r="I720" s="7"/>
      <c r="J720" s="12"/>
      <c r="K720" s="8"/>
      <c r="L720" s="7"/>
      <c r="Q720" s="8"/>
      <c r="Z720" s="9"/>
    </row>
    <row r="721" customFormat="false" ht="15.75" hidden="false" customHeight="false" outlineLevel="0" collapsed="false">
      <c r="A721" s="7"/>
      <c r="B721" s="16"/>
      <c r="C721" s="17"/>
      <c r="D721" s="18"/>
      <c r="E721" s="18"/>
      <c r="F721" s="18"/>
      <c r="G721" s="7"/>
      <c r="H721" s="7"/>
      <c r="I721" s="7"/>
      <c r="J721" s="12"/>
      <c r="K721" s="8"/>
      <c r="L721" s="7"/>
      <c r="Q721" s="8"/>
      <c r="Z721" s="9"/>
    </row>
    <row r="722" customFormat="false" ht="15.75" hidden="false" customHeight="false" outlineLevel="0" collapsed="false">
      <c r="A722" s="7"/>
      <c r="B722" s="16"/>
      <c r="C722" s="17"/>
      <c r="D722" s="18"/>
      <c r="E722" s="18"/>
      <c r="F722" s="18"/>
      <c r="G722" s="7"/>
      <c r="H722" s="7"/>
      <c r="I722" s="7"/>
      <c r="J722" s="12"/>
      <c r="K722" s="8"/>
      <c r="L722" s="7"/>
      <c r="Q722" s="8"/>
      <c r="Z722" s="9"/>
    </row>
    <row r="723" customFormat="false" ht="15.75" hidden="false" customHeight="false" outlineLevel="0" collapsed="false">
      <c r="A723" s="7"/>
      <c r="B723" s="16"/>
      <c r="C723" s="17"/>
      <c r="D723" s="18"/>
      <c r="E723" s="18"/>
      <c r="F723" s="18"/>
      <c r="G723" s="7"/>
      <c r="H723" s="7"/>
      <c r="I723" s="7"/>
      <c r="J723" s="12"/>
      <c r="K723" s="8"/>
      <c r="L723" s="7"/>
      <c r="Q723" s="8"/>
      <c r="Z723" s="9"/>
    </row>
    <row r="724" customFormat="false" ht="15.75" hidden="false" customHeight="false" outlineLevel="0" collapsed="false">
      <c r="A724" s="7"/>
      <c r="B724" s="16"/>
      <c r="C724" s="17"/>
      <c r="D724" s="18"/>
      <c r="E724" s="18"/>
      <c r="F724" s="18"/>
      <c r="G724" s="7"/>
      <c r="H724" s="7"/>
      <c r="I724" s="7"/>
      <c r="J724" s="12"/>
      <c r="K724" s="8"/>
      <c r="L724" s="7"/>
      <c r="Q724" s="8"/>
      <c r="Z724" s="9"/>
    </row>
    <row r="725" customFormat="false" ht="15.75" hidden="false" customHeight="false" outlineLevel="0" collapsed="false">
      <c r="A725" s="7"/>
      <c r="B725" s="16"/>
      <c r="C725" s="17"/>
      <c r="D725" s="18"/>
      <c r="E725" s="18"/>
      <c r="F725" s="18"/>
      <c r="G725" s="7"/>
      <c r="H725" s="7"/>
      <c r="I725" s="7"/>
      <c r="J725" s="12"/>
      <c r="K725" s="8"/>
      <c r="L725" s="7"/>
      <c r="Q725" s="8"/>
      <c r="Z725" s="9"/>
    </row>
    <row r="726" customFormat="false" ht="15.75" hidden="false" customHeight="false" outlineLevel="0" collapsed="false">
      <c r="A726" s="7"/>
      <c r="B726" s="16"/>
      <c r="C726" s="17"/>
      <c r="D726" s="18"/>
      <c r="E726" s="18"/>
      <c r="F726" s="18"/>
      <c r="G726" s="7"/>
      <c r="H726" s="7"/>
      <c r="I726" s="7"/>
      <c r="J726" s="12"/>
      <c r="K726" s="8"/>
      <c r="L726" s="7"/>
      <c r="Q726" s="8"/>
      <c r="Z726" s="9"/>
    </row>
    <row r="727" customFormat="false" ht="15.75" hidden="false" customHeight="false" outlineLevel="0" collapsed="false">
      <c r="A727" s="7"/>
      <c r="B727" s="16"/>
      <c r="C727" s="17"/>
      <c r="D727" s="18"/>
      <c r="E727" s="18"/>
      <c r="F727" s="18"/>
      <c r="G727" s="7"/>
      <c r="H727" s="7"/>
      <c r="I727" s="7"/>
      <c r="J727" s="12"/>
      <c r="K727" s="8"/>
      <c r="L727" s="7"/>
      <c r="Q727" s="8"/>
      <c r="Z727" s="9"/>
    </row>
    <row r="728" customFormat="false" ht="15.75" hidden="false" customHeight="false" outlineLevel="0" collapsed="false">
      <c r="A728" s="7"/>
      <c r="B728" s="16"/>
      <c r="C728" s="17"/>
      <c r="D728" s="18"/>
      <c r="E728" s="18"/>
      <c r="F728" s="18"/>
      <c r="G728" s="7"/>
      <c r="H728" s="7"/>
      <c r="I728" s="7"/>
      <c r="J728" s="12"/>
      <c r="K728" s="8"/>
      <c r="L728" s="7"/>
      <c r="Q728" s="8"/>
      <c r="Z728" s="9"/>
    </row>
    <row r="729" customFormat="false" ht="15.75" hidden="false" customHeight="false" outlineLevel="0" collapsed="false">
      <c r="A729" s="7"/>
      <c r="B729" s="16"/>
      <c r="C729" s="17"/>
      <c r="D729" s="18"/>
      <c r="E729" s="18"/>
      <c r="F729" s="18"/>
      <c r="G729" s="7"/>
      <c r="H729" s="7"/>
      <c r="I729" s="7"/>
      <c r="J729" s="12"/>
      <c r="K729" s="8"/>
      <c r="L729" s="7"/>
      <c r="Q729" s="8"/>
      <c r="Z729" s="9"/>
    </row>
    <row r="730" customFormat="false" ht="15.75" hidden="false" customHeight="false" outlineLevel="0" collapsed="false">
      <c r="A730" s="7"/>
      <c r="B730" s="16"/>
      <c r="C730" s="17"/>
      <c r="D730" s="18"/>
      <c r="E730" s="18"/>
      <c r="F730" s="18"/>
      <c r="G730" s="7"/>
      <c r="H730" s="7"/>
      <c r="I730" s="7"/>
      <c r="J730" s="12"/>
      <c r="K730" s="8"/>
      <c r="L730" s="7"/>
      <c r="Q730" s="8"/>
      <c r="Z730" s="9"/>
    </row>
    <row r="731" customFormat="false" ht="15.75" hidden="false" customHeight="false" outlineLevel="0" collapsed="false">
      <c r="A731" s="7"/>
      <c r="B731" s="16"/>
      <c r="C731" s="17"/>
      <c r="D731" s="18"/>
      <c r="E731" s="18"/>
      <c r="F731" s="18"/>
      <c r="G731" s="7"/>
      <c r="H731" s="7"/>
      <c r="I731" s="7"/>
      <c r="J731" s="12"/>
      <c r="K731" s="8"/>
      <c r="L731" s="7"/>
      <c r="Q731" s="8"/>
      <c r="Z731" s="9"/>
    </row>
    <row r="732" customFormat="false" ht="15.75" hidden="false" customHeight="false" outlineLevel="0" collapsed="false">
      <c r="A732" s="7"/>
      <c r="B732" s="16"/>
      <c r="C732" s="17"/>
      <c r="D732" s="18"/>
      <c r="E732" s="18"/>
      <c r="F732" s="18"/>
      <c r="G732" s="7"/>
      <c r="H732" s="7"/>
      <c r="I732" s="7"/>
      <c r="J732" s="12"/>
      <c r="K732" s="8"/>
      <c r="L732" s="7"/>
      <c r="Q732" s="8"/>
      <c r="Z732" s="9"/>
    </row>
    <row r="733" customFormat="false" ht="15.75" hidden="false" customHeight="false" outlineLevel="0" collapsed="false">
      <c r="A733" s="7"/>
      <c r="B733" s="16"/>
      <c r="C733" s="17"/>
      <c r="D733" s="18"/>
      <c r="E733" s="18"/>
      <c r="F733" s="18"/>
      <c r="G733" s="7"/>
      <c r="H733" s="7"/>
      <c r="I733" s="7"/>
      <c r="J733" s="12"/>
      <c r="K733" s="8"/>
      <c r="L733" s="7"/>
      <c r="Q733" s="8"/>
      <c r="Z733" s="9"/>
    </row>
    <row r="734" customFormat="false" ht="15.75" hidden="false" customHeight="false" outlineLevel="0" collapsed="false">
      <c r="A734" s="7"/>
      <c r="B734" s="16"/>
      <c r="C734" s="17"/>
      <c r="D734" s="18"/>
      <c r="E734" s="18"/>
      <c r="F734" s="18"/>
      <c r="G734" s="7"/>
      <c r="H734" s="7"/>
      <c r="I734" s="7"/>
      <c r="J734" s="12"/>
      <c r="K734" s="8"/>
      <c r="L734" s="7"/>
      <c r="Q734" s="8"/>
      <c r="Z734" s="9"/>
    </row>
    <row r="735" customFormat="false" ht="15.75" hidden="false" customHeight="false" outlineLevel="0" collapsed="false">
      <c r="A735" s="7"/>
      <c r="B735" s="16"/>
      <c r="C735" s="17"/>
      <c r="D735" s="18"/>
      <c r="E735" s="18"/>
      <c r="F735" s="18"/>
      <c r="G735" s="7"/>
      <c r="H735" s="7"/>
      <c r="I735" s="7"/>
      <c r="J735" s="12"/>
      <c r="K735" s="8"/>
      <c r="L735" s="7"/>
      <c r="Q735" s="8"/>
      <c r="Z735" s="9"/>
    </row>
    <row r="736" customFormat="false" ht="15.75" hidden="false" customHeight="false" outlineLevel="0" collapsed="false">
      <c r="A736" s="7"/>
      <c r="B736" s="16"/>
      <c r="C736" s="17"/>
      <c r="D736" s="18"/>
      <c r="E736" s="18"/>
      <c r="F736" s="18"/>
      <c r="G736" s="7"/>
      <c r="H736" s="7"/>
      <c r="I736" s="7"/>
      <c r="J736" s="12"/>
      <c r="K736" s="8"/>
      <c r="L736" s="7"/>
      <c r="Q736" s="8"/>
      <c r="Z736" s="9"/>
    </row>
    <row r="737" customFormat="false" ht="15.75" hidden="false" customHeight="false" outlineLevel="0" collapsed="false">
      <c r="A737" s="7"/>
      <c r="B737" s="16"/>
      <c r="C737" s="17"/>
      <c r="D737" s="18"/>
      <c r="E737" s="18"/>
      <c r="F737" s="18"/>
      <c r="G737" s="7"/>
      <c r="H737" s="7"/>
      <c r="I737" s="7"/>
      <c r="J737" s="12"/>
      <c r="K737" s="8"/>
      <c r="L737" s="7"/>
      <c r="Q737" s="8"/>
      <c r="Z737" s="9"/>
    </row>
    <row r="738" customFormat="false" ht="15.75" hidden="false" customHeight="false" outlineLevel="0" collapsed="false">
      <c r="A738" s="7"/>
      <c r="B738" s="16"/>
      <c r="C738" s="17"/>
      <c r="D738" s="18"/>
      <c r="E738" s="18"/>
      <c r="F738" s="18"/>
      <c r="G738" s="7"/>
      <c r="H738" s="7"/>
      <c r="I738" s="7"/>
      <c r="J738" s="12"/>
      <c r="K738" s="8"/>
      <c r="L738" s="7"/>
      <c r="Q738" s="8"/>
      <c r="Z738" s="9"/>
    </row>
    <row r="739" customFormat="false" ht="15.75" hidden="false" customHeight="false" outlineLevel="0" collapsed="false">
      <c r="A739" s="7"/>
      <c r="B739" s="16"/>
      <c r="C739" s="17"/>
      <c r="D739" s="18"/>
      <c r="E739" s="18"/>
      <c r="F739" s="18"/>
      <c r="G739" s="7"/>
      <c r="H739" s="7"/>
      <c r="I739" s="7"/>
      <c r="J739" s="12"/>
      <c r="K739" s="8"/>
      <c r="L739" s="7"/>
      <c r="Q739" s="8"/>
      <c r="Z739" s="9"/>
    </row>
    <row r="740" customFormat="false" ht="15.75" hidden="false" customHeight="false" outlineLevel="0" collapsed="false">
      <c r="A740" s="7"/>
      <c r="B740" s="16"/>
      <c r="C740" s="17"/>
      <c r="D740" s="18"/>
      <c r="E740" s="18"/>
      <c r="F740" s="18"/>
      <c r="G740" s="7"/>
      <c r="H740" s="7"/>
      <c r="I740" s="7"/>
      <c r="J740" s="12"/>
      <c r="K740" s="8"/>
      <c r="L740" s="7"/>
      <c r="Q740" s="8"/>
      <c r="Z740" s="9"/>
    </row>
    <row r="741" customFormat="false" ht="15.75" hidden="false" customHeight="false" outlineLevel="0" collapsed="false">
      <c r="A741" s="7"/>
      <c r="B741" s="16"/>
      <c r="C741" s="17"/>
      <c r="D741" s="18"/>
      <c r="E741" s="18"/>
      <c r="F741" s="18"/>
      <c r="G741" s="7"/>
      <c r="H741" s="7"/>
      <c r="I741" s="7"/>
      <c r="J741" s="12"/>
      <c r="K741" s="8"/>
      <c r="L741" s="7"/>
      <c r="Q741" s="8"/>
      <c r="Z741" s="9"/>
    </row>
    <row r="742" customFormat="false" ht="15.75" hidden="false" customHeight="false" outlineLevel="0" collapsed="false">
      <c r="A742" s="7"/>
      <c r="B742" s="16"/>
      <c r="C742" s="17"/>
      <c r="D742" s="18"/>
      <c r="E742" s="18"/>
      <c r="F742" s="18"/>
      <c r="G742" s="7"/>
      <c r="H742" s="7"/>
      <c r="I742" s="7"/>
      <c r="J742" s="12"/>
      <c r="K742" s="8"/>
      <c r="L742" s="7"/>
      <c r="Q742" s="8"/>
      <c r="Z742" s="9"/>
    </row>
    <row r="743" customFormat="false" ht="15.75" hidden="false" customHeight="false" outlineLevel="0" collapsed="false">
      <c r="A743" s="7"/>
      <c r="B743" s="16"/>
      <c r="C743" s="17"/>
      <c r="D743" s="18"/>
      <c r="E743" s="18"/>
      <c r="F743" s="18"/>
      <c r="G743" s="7"/>
      <c r="H743" s="7"/>
      <c r="I743" s="7"/>
      <c r="J743" s="12"/>
      <c r="K743" s="8"/>
      <c r="L743" s="7"/>
      <c r="Q743" s="8"/>
      <c r="Z743" s="9"/>
    </row>
    <row r="744" customFormat="false" ht="15.75" hidden="false" customHeight="false" outlineLevel="0" collapsed="false">
      <c r="A744" s="7"/>
      <c r="B744" s="16"/>
      <c r="C744" s="17"/>
      <c r="D744" s="18"/>
      <c r="E744" s="18"/>
      <c r="F744" s="18"/>
      <c r="G744" s="7"/>
      <c r="H744" s="7"/>
      <c r="I744" s="7"/>
      <c r="J744" s="12"/>
      <c r="K744" s="8"/>
      <c r="L744" s="7"/>
      <c r="Q744" s="8"/>
      <c r="Z744" s="9"/>
    </row>
    <row r="745" customFormat="false" ht="15.75" hidden="false" customHeight="false" outlineLevel="0" collapsed="false">
      <c r="A745" s="7"/>
      <c r="B745" s="16"/>
      <c r="C745" s="17"/>
      <c r="D745" s="18"/>
      <c r="E745" s="18"/>
      <c r="F745" s="18"/>
      <c r="G745" s="7"/>
      <c r="H745" s="7"/>
      <c r="I745" s="7"/>
      <c r="J745" s="12"/>
      <c r="K745" s="8"/>
      <c r="L745" s="7"/>
      <c r="Q745" s="8"/>
      <c r="Z745" s="9"/>
    </row>
    <row r="746" customFormat="false" ht="15.75" hidden="false" customHeight="false" outlineLevel="0" collapsed="false">
      <c r="A746" s="7"/>
      <c r="B746" s="16"/>
      <c r="C746" s="17"/>
      <c r="D746" s="18"/>
      <c r="E746" s="18"/>
      <c r="F746" s="18"/>
      <c r="G746" s="7"/>
      <c r="H746" s="7"/>
      <c r="I746" s="7"/>
      <c r="J746" s="12"/>
      <c r="K746" s="8"/>
      <c r="L746" s="7"/>
      <c r="Q746" s="8"/>
      <c r="Z746" s="9"/>
    </row>
    <row r="747" customFormat="false" ht="15.75" hidden="false" customHeight="false" outlineLevel="0" collapsed="false">
      <c r="A747" s="7"/>
      <c r="B747" s="16"/>
      <c r="C747" s="17"/>
      <c r="D747" s="18"/>
      <c r="E747" s="18"/>
      <c r="F747" s="18"/>
      <c r="G747" s="7"/>
      <c r="H747" s="7"/>
      <c r="I747" s="7"/>
      <c r="J747" s="12"/>
      <c r="K747" s="8"/>
      <c r="L747" s="7"/>
      <c r="Q747" s="8"/>
      <c r="Z747" s="9"/>
    </row>
    <row r="748" customFormat="false" ht="15.75" hidden="false" customHeight="false" outlineLevel="0" collapsed="false">
      <c r="A748" s="7"/>
      <c r="B748" s="16"/>
      <c r="C748" s="17"/>
      <c r="D748" s="18"/>
      <c r="E748" s="18"/>
      <c r="F748" s="18"/>
      <c r="G748" s="7"/>
      <c r="H748" s="7"/>
      <c r="I748" s="7"/>
      <c r="J748" s="12"/>
      <c r="K748" s="8"/>
      <c r="L748" s="7"/>
      <c r="Q748" s="8"/>
      <c r="Z748" s="9"/>
    </row>
    <row r="749" customFormat="false" ht="15.75" hidden="false" customHeight="false" outlineLevel="0" collapsed="false">
      <c r="A749" s="7"/>
      <c r="B749" s="16"/>
      <c r="C749" s="17"/>
      <c r="D749" s="18"/>
      <c r="E749" s="18"/>
      <c r="F749" s="18"/>
      <c r="G749" s="7"/>
      <c r="H749" s="7"/>
      <c r="I749" s="7"/>
      <c r="J749" s="12"/>
      <c r="K749" s="8"/>
      <c r="L749" s="7"/>
      <c r="Q749" s="8"/>
      <c r="Z749" s="9"/>
    </row>
    <row r="750" customFormat="false" ht="15.75" hidden="false" customHeight="false" outlineLevel="0" collapsed="false">
      <c r="A750" s="7"/>
      <c r="B750" s="16"/>
      <c r="C750" s="17"/>
      <c r="D750" s="18"/>
      <c r="E750" s="18"/>
      <c r="F750" s="18"/>
      <c r="G750" s="7"/>
      <c r="H750" s="7"/>
      <c r="I750" s="7"/>
      <c r="J750" s="12"/>
      <c r="K750" s="8"/>
      <c r="L750" s="7"/>
      <c r="Q750" s="8"/>
      <c r="Z750" s="9"/>
    </row>
    <row r="751" customFormat="false" ht="15.75" hidden="false" customHeight="false" outlineLevel="0" collapsed="false">
      <c r="A751" s="7"/>
      <c r="B751" s="16"/>
      <c r="C751" s="17"/>
      <c r="D751" s="18"/>
      <c r="E751" s="18"/>
      <c r="F751" s="18"/>
      <c r="G751" s="7"/>
      <c r="H751" s="7"/>
      <c r="I751" s="7"/>
      <c r="J751" s="12"/>
      <c r="K751" s="8"/>
      <c r="L751" s="7"/>
      <c r="Q751" s="8"/>
      <c r="Z751" s="9"/>
    </row>
    <row r="752" customFormat="false" ht="15.75" hidden="false" customHeight="false" outlineLevel="0" collapsed="false">
      <c r="A752" s="7"/>
      <c r="B752" s="16"/>
      <c r="C752" s="17"/>
      <c r="D752" s="18"/>
      <c r="E752" s="18"/>
      <c r="F752" s="18"/>
      <c r="G752" s="7"/>
      <c r="H752" s="7"/>
      <c r="I752" s="7"/>
      <c r="J752" s="12"/>
      <c r="K752" s="8"/>
      <c r="L752" s="7"/>
      <c r="Q752" s="8"/>
      <c r="Z752" s="9"/>
    </row>
    <row r="753" customFormat="false" ht="15.75" hidden="false" customHeight="false" outlineLevel="0" collapsed="false">
      <c r="A753" s="7"/>
      <c r="B753" s="16"/>
      <c r="C753" s="17"/>
      <c r="D753" s="18"/>
      <c r="E753" s="18"/>
      <c r="F753" s="18"/>
      <c r="G753" s="7"/>
      <c r="H753" s="7"/>
      <c r="I753" s="7"/>
      <c r="J753" s="12"/>
      <c r="K753" s="8"/>
      <c r="L753" s="7"/>
      <c r="Q753" s="8"/>
      <c r="Z753" s="9"/>
    </row>
    <row r="754" customFormat="false" ht="15.75" hidden="false" customHeight="false" outlineLevel="0" collapsed="false">
      <c r="A754" s="7"/>
      <c r="B754" s="16"/>
      <c r="C754" s="17"/>
      <c r="D754" s="18"/>
      <c r="E754" s="18"/>
      <c r="F754" s="18"/>
      <c r="G754" s="7"/>
      <c r="H754" s="7"/>
      <c r="I754" s="7"/>
      <c r="J754" s="12"/>
      <c r="K754" s="8"/>
      <c r="L754" s="7"/>
      <c r="Q754" s="8"/>
      <c r="Z754" s="9"/>
    </row>
    <row r="755" customFormat="false" ht="15.75" hidden="false" customHeight="false" outlineLevel="0" collapsed="false">
      <c r="A755" s="7"/>
      <c r="B755" s="16"/>
      <c r="C755" s="17"/>
      <c r="D755" s="18"/>
      <c r="E755" s="18"/>
      <c r="F755" s="18"/>
      <c r="G755" s="7"/>
      <c r="H755" s="7"/>
      <c r="I755" s="7"/>
      <c r="J755" s="12"/>
      <c r="K755" s="8"/>
      <c r="L755" s="7"/>
      <c r="Q755" s="8"/>
      <c r="Z755" s="9"/>
    </row>
    <row r="756" customFormat="false" ht="15.75" hidden="false" customHeight="false" outlineLevel="0" collapsed="false">
      <c r="A756" s="7"/>
      <c r="B756" s="16"/>
      <c r="C756" s="17"/>
      <c r="D756" s="18"/>
      <c r="E756" s="18"/>
      <c r="F756" s="18"/>
      <c r="G756" s="7"/>
      <c r="H756" s="7"/>
      <c r="I756" s="7"/>
      <c r="J756" s="12"/>
      <c r="K756" s="8"/>
      <c r="L756" s="7"/>
      <c r="Q756" s="8"/>
      <c r="Z756" s="9"/>
    </row>
    <row r="757" customFormat="false" ht="15.75" hidden="false" customHeight="false" outlineLevel="0" collapsed="false">
      <c r="A757" s="7"/>
      <c r="B757" s="16"/>
      <c r="C757" s="17"/>
      <c r="D757" s="18"/>
      <c r="E757" s="18"/>
      <c r="F757" s="18"/>
      <c r="G757" s="7"/>
      <c r="H757" s="7"/>
      <c r="I757" s="7"/>
      <c r="J757" s="12"/>
      <c r="K757" s="8"/>
      <c r="L757" s="7"/>
      <c r="Q757" s="8"/>
      <c r="Z757" s="9"/>
    </row>
    <row r="758" customFormat="false" ht="15.75" hidden="false" customHeight="false" outlineLevel="0" collapsed="false">
      <c r="A758" s="7"/>
      <c r="B758" s="16"/>
      <c r="C758" s="17"/>
      <c r="D758" s="18"/>
      <c r="E758" s="18"/>
      <c r="F758" s="18"/>
      <c r="G758" s="7"/>
      <c r="H758" s="7"/>
      <c r="I758" s="7"/>
      <c r="J758" s="12"/>
      <c r="K758" s="8"/>
      <c r="L758" s="7"/>
      <c r="Q758" s="8"/>
      <c r="Z758" s="9"/>
    </row>
    <row r="759" customFormat="false" ht="15.75" hidden="false" customHeight="false" outlineLevel="0" collapsed="false">
      <c r="A759" s="7"/>
      <c r="B759" s="16"/>
      <c r="C759" s="17"/>
      <c r="D759" s="18"/>
      <c r="E759" s="18"/>
      <c r="F759" s="18"/>
      <c r="G759" s="7"/>
      <c r="H759" s="7"/>
      <c r="I759" s="7"/>
      <c r="J759" s="12"/>
      <c r="K759" s="8"/>
      <c r="L759" s="7"/>
      <c r="Q759" s="8"/>
      <c r="Z759" s="9"/>
    </row>
    <row r="760" customFormat="false" ht="15.75" hidden="false" customHeight="false" outlineLevel="0" collapsed="false">
      <c r="A760" s="7"/>
      <c r="B760" s="16"/>
      <c r="C760" s="17"/>
      <c r="D760" s="18"/>
      <c r="E760" s="18"/>
      <c r="F760" s="18"/>
      <c r="G760" s="7"/>
      <c r="H760" s="7"/>
      <c r="I760" s="7"/>
      <c r="J760" s="12"/>
      <c r="K760" s="8"/>
      <c r="L760" s="7"/>
      <c r="Q760" s="8"/>
      <c r="Z760" s="9"/>
    </row>
    <row r="761" customFormat="false" ht="15.75" hidden="false" customHeight="false" outlineLevel="0" collapsed="false">
      <c r="A761" s="7"/>
      <c r="B761" s="16"/>
      <c r="C761" s="17"/>
      <c r="D761" s="18"/>
      <c r="E761" s="18"/>
      <c r="F761" s="18"/>
      <c r="G761" s="7"/>
      <c r="H761" s="7"/>
      <c r="I761" s="7"/>
      <c r="J761" s="12"/>
      <c r="K761" s="8"/>
      <c r="L761" s="7"/>
      <c r="Q761" s="8"/>
      <c r="Z761" s="9"/>
    </row>
    <row r="762" customFormat="false" ht="15.75" hidden="false" customHeight="false" outlineLevel="0" collapsed="false">
      <c r="A762" s="7"/>
      <c r="B762" s="16"/>
      <c r="C762" s="17"/>
      <c r="D762" s="18"/>
      <c r="E762" s="18"/>
      <c r="F762" s="18"/>
      <c r="G762" s="7"/>
      <c r="H762" s="7"/>
      <c r="I762" s="7"/>
      <c r="J762" s="12"/>
      <c r="K762" s="8"/>
      <c r="L762" s="7"/>
      <c r="Q762" s="8"/>
      <c r="Z762" s="9"/>
    </row>
    <row r="763" customFormat="false" ht="15.75" hidden="false" customHeight="false" outlineLevel="0" collapsed="false">
      <c r="A763" s="7"/>
      <c r="B763" s="16"/>
      <c r="C763" s="17"/>
      <c r="D763" s="18"/>
      <c r="E763" s="18"/>
      <c r="F763" s="18"/>
      <c r="G763" s="7"/>
      <c r="H763" s="7"/>
      <c r="I763" s="7"/>
      <c r="J763" s="12"/>
      <c r="K763" s="8"/>
      <c r="L763" s="7"/>
      <c r="Q763" s="8"/>
      <c r="Z763" s="9"/>
    </row>
    <row r="764" customFormat="false" ht="15.75" hidden="false" customHeight="false" outlineLevel="0" collapsed="false">
      <c r="A764" s="7"/>
      <c r="B764" s="16"/>
      <c r="C764" s="17"/>
      <c r="D764" s="18"/>
      <c r="E764" s="18"/>
      <c r="F764" s="18"/>
      <c r="G764" s="7"/>
      <c r="H764" s="7"/>
      <c r="I764" s="7"/>
      <c r="J764" s="12"/>
      <c r="K764" s="8"/>
      <c r="L764" s="7"/>
      <c r="Q764" s="8"/>
      <c r="Z764" s="9"/>
    </row>
    <row r="765" customFormat="false" ht="15.75" hidden="false" customHeight="false" outlineLevel="0" collapsed="false">
      <c r="A765" s="7"/>
      <c r="B765" s="16"/>
      <c r="C765" s="17"/>
      <c r="D765" s="18"/>
      <c r="E765" s="18"/>
      <c r="F765" s="18"/>
      <c r="G765" s="7"/>
      <c r="H765" s="7"/>
      <c r="I765" s="7"/>
      <c r="J765" s="12"/>
      <c r="K765" s="8"/>
      <c r="L765" s="7"/>
      <c r="Q765" s="8"/>
      <c r="Z765" s="9"/>
    </row>
    <row r="766" customFormat="false" ht="15.75" hidden="false" customHeight="false" outlineLevel="0" collapsed="false">
      <c r="A766" s="7"/>
      <c r="B766" s="16"/>
      <c r="C766" s="17"/>
      <c r="D766" s="18"/>
      <c r="E766" s="18"/>
      <c r="F766" s="18"/>
      <c r="G766" s="7"/>
      <c r="H766" s="7"/>
      <c r="I766" s="7"/>
      <c r="J766" s="12"/>
      <c r="K766" s="8"/>
      <c r="L766" s="7"/>
      <c r="Q766" s="8"/>
      <c r="Z766" s="9"/>
    </row>
    <row r="767" customFormat="false" ht="15.75" hidden="false" customHeight="false" outlineLevel="0" collapsed="false">
      <c r="A767" s="7"/>
      <c r="B767" s="16"/>
      <c r="C767" s="17"/>
      <c r="D767" s="18"/>
      <c r="E767" s="18"/>
      <c r="F767" s="18"/>
      <c r="G767" s="7"/>
      <c r="H767" s="7"/>
      <c r="I767" s="7"/>
      <c r="J767" s="12"/>
      <c r="K767" s="8"/>
      <c r="L767" s="7"/>
      <c r="Q767" s="8"/>
      <c r="Z767" s="9"/>
    </row>
    <row r="768" customFormat="false" ht="15.75" hidden="false" customHeight="false" outlineLevel="0" collapsed="false">
      <c r="A768" s="7"/>
      <c r="B768" s="16"/>
      <c r="C768" s="17"/>
      <c r="D768" s="18"/>
      <c r="E768" s="18"/>
      <c r="F768" s="18"/>
      <c r="G768" s="7"/>
      <c r="H768" s="7"/>
      <c r="I768" s="7"/>
      <c r="J768" s="12"/>
      <c r="K768" s="8"/>
      <c r="L768" s="7"/>
      <c r="Q768" s="8"/>
      <c r="Z768" s="9"/>
    </row>
    <row r="769" customFormat="false" ht="15.75" hidden="false" customHeight="false" outlineLevel="0" collapsed="false">
      <c r="A769" s="7"/>
      <c r="B769" s="16"/>
      <c r="C769" s="17"/>
      <c r="D769" s="18"/>
      <c r="E769" s="18"/>
      <c r="F769" s="18"/>
      <c r="G769" s="7"/>
      <c r="H769" s="7"/>
      <c r="I769" s="7"/>
      <c r="J769" s="12"/>
      <c r="K769" s="8"/>
      <c r="L769" s="7"/>
      <c r="Q769" s="8"/>
      <c r="Z769" s="9"/>
    </row>
    <row r="770" customFormat="false" ht="15.75" hidden="false" customHeight="false" outlineLevel="0" collapsed="false">
      <c r="A770" s="7"/>
      <c r="B770" s="16"/>
      <c r="C770" s="17"/>
      <c r="D770" s="18"/>
      <c r="E770" s="18"/>
      <c r="F770" s="18"/>
      <c r="G770" s="7"/>
      <c r="H770" s="7"/>
      <c r="I770" s="7"/>
      <c r="J770" s="12"/>
      <c r="K770" s="8"/>
      <c r="L770" s="7"/>
      <c r="Q770" s="8"/>
      <c r="Z770" s="9"/>
    </row>
    <row r="771" customFormat="false" ht="15.75" hidden="false" customHeight="false" outlineLevel="0" collapsed="false">
      <c r="A771" s="7"/>
      <c r="B771" s="16"/>
      <c r="C771" s="17"/>
      <c r="D771" s="18"/>
      <c r="E771" s="18"/>
      <c r="F771" s="18"/>
      <c r="G771" s="7"/>
      <c r="H771" s="7"/>
      <c r="I771" s="7"/>
      <c r="J771" s="12"/>
      <c r="K771" s="8"/>
      <c r="L771" s="7"/>
      <c r="Q771" s="8"/>
      <c r="Z771" s="9"/>
    </row>
    <row r="772" customFormat="false" ht="15.75" hidden="false" customHeight="false" outlineLevel="0" collapsed="false">
      <c r="A772" s="7"/>
      <c r="B772" s="16"/>
      <c r="C772" s="17"/>
      <c r="D772" s="18"/>
      <c r="E772" s="18"/>
      <c r="F772" s="18"/>
      <c r="G772" s="7"/>
      <c r="H772" s="7"/>
      <c r="I772" s="7"/>
      <c r="J772" s="12"/>
      <c r="K772" s="8"/>
      <c r="L772" s="7"/>
      <c r="Q772" s="8"/>
      <c r="Z772" s="9"/>
    </row>
    <row r="773" customFormat="false" ht="15.75" hidden="false" customHeight="false" outlineLevel="0" collapsed="false">
      <c r="A773" s="7"/>
      <c r="B773" s="16"/>
      <c r="C773" s="17"/>
      <c r="D773" s="18"/>
      <c r="E773" s="18"/>
      <c r="F773" s="18"/>
      <c r="G773" s="7"/>
      <c r="H773" s="7"/>
      <c r="I773" s="7"/>
      <c r="J773" s="12"/>
      <c r="K773" s="8"/>
      <c r="L773" s="7"/>
      <c r="Q773" s="8"/>
      <c r="Z773" s="9"/>
    </row>
    <row r="774" customFormat="false" ht="15.75" hidden="false" customHeight="false" outlineLevel="0" collapsed="false">
      <c r="A774" s="7"/>
      <c r="B774" s="16"/>
      <c r="C774" s="17"/>
      <c r="D774" s="18"/>
      <c r="E774" s="18"/>
      <c r="F774" s="18"/>
      <c r="G774" s="7"/>
      <c r="H774" s="7"/>
      <c r="I774" s="7"/>
      <c r="J774" s="12"/>
      <c r="K774" s="8"/>
      <c r="L774" s="7"/>
      <c r="Q774" s="8"/>
      <c r="Z774" s="9"/>
    </row>
    <row r="775" customFormat="false" ht="15.75" hidden="false" customHeight="false" outlineLevel="0" collapsed="false">
      <c r="A775" s="7"/>
      <c r="B775" s="16"/>
      <c r="C775" s="17"/>
      <c r="D775" s="18"/>
      <c r="E775" s="18"/>
      <c r="F775" s="18"/>
      <c r="G775" s="7"/>
      <c r="H775" s="7"/>
      <c r="I775" s="7"/>
      <c r="J775" s="12"/>
      <c r="K775" s="8"/>
      <c r="L775" s="7"/>
      <c r="Q775" s="8"/>
      <c r="Z775" s="9"/>
    </row>
    <row r="776" customFormat="false" ht="15.75" hidden="false" customHeight="false" outlineLevel="0" collapsed="false">
      <c r="A776" s="7"/>
      <c r="B776" s="16"/>
      <c r="C776" s="17"/>
      <c r="D776" s="18"/>
      <c r="E776" s="18"/>
      <c r="F776" s="18"/>
      <c r="G776" s="7"/>
      <c r="H776" s="7"/>
      <c r="I776" s="7"/>
      <c r="J776" s="12"/>
      <c r="K776" s="8"/>
      <c r="L776" s="7"/>
      <c r="Q776" s="8"/>
      <c r="Z776" s="9"/>
    </row>
    <row r="777" customFormat="false" ht="15.75" hidden="false" customHeight="false" outlineLevel="0" collapsed="false">
      <c r="A777" s="7"/>
      <c r="B777" s="16"/>
      <c r="C777" s="17"/>
      <c r="D777" s="18"/>
      <c r="E777" s="18"/>
      <c r="F777" s="18"/>
      <c r="G777" s="7"/>
      <c r="H777" s="7"/>
      <c r="I777" s="7"/>
      <c r="J777" s="12"/>
      <c r="K777" s="8"/>
      <c r="L777" s="7"/>
      <c r="Q777" s="8"/>
      <c r="Z777" s="9"/>
    </row>
    <row r="778" customFormat="false" ht="15.75" hidden="false" customHeight="false" outlineLevel="0" collapsed="false">
      <c r="A778" s="7"/>
      <c r="B778" s="16"/>
      <c r="C778" s="17"/>
      <c r="D778" s="18"/>
      <c r="E778" s="18"/>
      <c r="F778" s="18"/>
      <c r="G778" s="7"/>
      <c r="H778" s="7"/>
      <c r="I778" s="7"/>
      <c r="J778" s="12"/>
      <c r="K778" s="8"/>
      <c r="L778" s="7"/>
      <c r="Q778" s="8"/>
      <c r="Z778" s="9"/>
    </row>
    <row r="779" customFormat="false" ht="15.75" hidden="false" customHeight="false" outlineLevel="0" collapsed="false">
      <c r="A779" s="7"/>
      <c r="B779" s="16"/>
      <c r="C779" s="17"/>
      <c r="D779" s="18"/>
      <c r="E779" s="18"/>
      <c r="F779" s="18"/>
      <c r="G779" s="7"/>
      <c r="H779" s="7"/>
      <c r="I779" s="7"/>
      <c r="J779" s="12"/>
      <c r="K779" s="8"/>
      <c r="L779" s="7"/>
      <c r="Q779" s="8"/>
      <c r="Z779" s="9"/>
    </row>
    <row r="780" customFormat="false" ht="15.75" hidden="false" customHeight="false" outlineLevel="0" collapsed="false">
      <c r="A780" s="7"/>
      <c r="B780" s="16"/>
      <c r="C780" s="17"/>
      <c r="D780" s="18"/>
      <c r="E780" s="18"/>
      <c r="F780" s="18"/>
      <c r="G780" s="7"/>
      <c r="H780" s="7"/>
      <c r="I780" s="7"/>
      <c r="J780" s="12"/>
      <c r="K780" s="8"/>
      <c r="L780" s="7"/>
      <c r="Q780" s="8"/>
      <c r="Z780" s="9"/>
    </row>
    <row r="781" customFormat="false" ht="15.75" hidden="false" customHeight="false" outlineLevel="0" collapsed="false">
      <c r="A781" s="7"/>
      <c r="B781" s="16"/>
      <c r="C781" s="17"/>
      <c r="D781" s="18"/>
      <c r="E781" s="18"/>
      <c r="F781" s="18"/>
      <c r="G781" s="7"/>
      <c r="H781" s="7"/>
      <c r="I781" s="7"/>
      <c r="J781" s="12"/>
      <c r="K781" s="8"/>
      <c r="L781" s="7"/>
      <c r="Q781" s="8"/>
      <c r="Z781" s="9"/>
    </row>
    <row r="782" customFormat="false" ht="15.75" hidden="false" customHeight="false" outlineLevel="0" collapsed="false">
      <c r="A782" s="7"/>
      <c r="B782" s="16"/>
      <c r="C782" s="17"/>
      <c r="D782" s="18"/>
      <c r="E782" s="18"/>
      <c r="F782" s="18"/>
      <c r="G782" s="7"/>
      <c r="H782" s="7"/>
      <c r="I782" s="7"/>
      <c r="J782" s="12"/>
      <c r="K782" s="8"/>
      <c r="L782" s="7"/>
      <c r="Q782" s="8"/>
      <c r="Z782" s="9"/>
    </row>
    <row r="783" customFormat="false" ht="15.75" hidden="false" customHeight="false" outlineLevel="0" collapsed="false">
      <c r="A783" s="7"/>
      <c r="B783" s="16"/>
      <c r="C783" s="17"/>
      <c r="D783" s="18"/>
      <c r="E783" s="18"/>
      <c r="F783" s="18"/>
      <c r="G783" s="7"/>
      <c r="H783" s="7"/>
      <c r="I783" s="7"/>
      <c r="J783" s="12"/>
      <c r="K783" s="8"/>
      <c r="L783" s="7"/>
      <c r="Q783" s="8"/>
      <c r="Z783" s="9"/>
    </row>
    <row r="784" customFormat="false" ht="15.75" hidden="false" customHeight="false" outlineLevel="0" collapsed="false">
      <c r="A784" s="7"/>
      <c r="B784" s="16"/>
      <c r="C784" s="17"/>
      <c r="D784" s="18"/>
      <c r="E784" s="18"/>
      <c r="F784" s="18"/>
      <c r="G784" s="7"/>
      <c r="H784" s="7"/>
      <c r="I784" s="7"/>
      <c r="J784" s="12"/>
      <c r="K784" s="8"/>
      <c r="L784" s="7"/>
      <c r="Q784" s="8"/>
      <c r="Z784" s="9"/>
    </row>
    <row r="785" customFormat="false" ht="15.75" hidden="false" customHeight="false" outlineLevel="0" collapsed="false">
      <c r="A785" s="7"/>
      <c r="B785" s="16"/>
      <c r="C785" s="17"/>
      <c r="D785" s="18"/>
      <c r="E785" s="18"/>
      <c r="F785" s="18"/>
      <c r="G785" s="7"/>
      <c r="H785" s="7"/>
      <c r="I785" s="7"/>
      <c r="J785" s="12"/>
      <c r="K785" s="8"/>
      <c r="L785" s="7"/>
      <c r="Q785" s="8"/>
      <c r="Z785" s="9"/>
    </row>
    <row r="786" customFormat="false" ht="15.75" hidden="false" customHeight="false" outlineLevel="0" collapsed="false">
      <c r="A786" s="7"/>
      <c r="B786" s="16"/>
      <c r="C786" s="17"/>
      <c r="D786" s="18"/>
      <c r="E786" s="18"/>
      <c r="F786" s="18"/>
      <c r="G786" s="7"/>
      <c r="H786" s="7"/>
      <c r="I786" s="7"/>
      <c r="J786" s="12"/>
      <c r="K786" s="8"/>
      <c r="L786" s="7"/>
      <c r="Q786" s="8"/>
      <c r="Z786" s="9"/>
    </row>
    <row r="787" customFormat="false" ht="15.75" hidden="false" customHeight="false" outlineLevel="0" collapsed="false">
      <c r="A787" s="7"/>
      <c r="B787" s="16"/>
      <c r="C787" s="17"/>
      <c r="D787" s="18"/>
      <c r="E787" s="18"/>
      <c r="F787" s="18"/>
      <c r="G787" s="7"/>
      <c r="H787" s="7"/>
      <c r="I787" s="7"/>
      <c r="J787" s="12"/>
      <c r="K787" s="8"/>
      <c r="L787" s="7"/>
      <c r="Q787" s="8"/>
      <c r="Z787" s="9"/>
    </row>
    <row r="788" customFormat="false" ht="15.75" hidden="false" customHeight="false" outlineLevel="0" collapsed="false">
      <c r="A788" s="7"/>
      <c r="B788" s="16"/>
      <c r="C788" s="17"/>
      <c r="D788" s="18"/>
      <c r="E788" s="18"/>
      <c r="F788" s="18"/>
      <c r="G788" s="7"/>
      <c r="H788" s="7"/>
      <c r="I788" s="7"/>
      <c r="J788" s="12"/>
      <c r="K788" s="8"/>
      <c r="L788" s="7"/>
      <c r="Q788" s="8"/>
      <c r="Z788" s="9"/>
    </row>
    <row r="789" customFormat="false" ht="15.75" hidden="false" customHeight="false" outlineLevel="0" collapsed="false">
      <c r="A789" s="7"/>
      <c r="B789" s="16"/>
      <c r="C789" s="17"/>
      <c r="D789" s="18"/>
      <c r="E789" s="18"/>
      <c r="F789" s="18"/>
      <c r="G789" s="7"/>
      <c r="H789" s="7"/>
      <c r="I789" s="7"/>
      <c r="J789" s="12"/>
      <c r="K789" s="8"/>
      <c r="L789" s="7"/>
      <c r="Q789" s="8"/>
      <c r="Z789" s="9"/>
    </row>
    <row r="790" customFormat="false" ht="15.75" hidden="false" customHeight="false" outlineLevel="0" collapsed="false">
      <c r="A790" s="7"/>
      <c r="B790" s="16"/>
      <c r="C790" s="17"/>
      <c r="D790" s="18"/>
      <c r="E790" s="18"/>
      <c r="F790" s="18"/>
      <c r="G790" s="7"/>
      <c r="H790" s="7"/>
      <c r="I790" s="7"/>
      <c r="J790" s="12"/>
      <c r="K790" s="8"/>
      <c r="L790" s="7"/>
      <c r="Q790" s="8"/>
      <c r="Z790" s="9"/>
    </row>
    <row r="791" customFormat="false" ht="15.75" hidden="false" customHeight="false" outlineLevel="0" collapsed="false">
      <c r="A791" s="7"/>
      <c r="B791" s="16"/>
      <c r="C791" s="17"/>
      <c r="D791" s="18"/>
      <c r="E791" s="18"/>
      <c r="F791" s="18"/>
      <c r="G791" s="7"/>
      <c r="H791" s="7"/>
      <c r="I791" s="7"/>
      <c r="J791" s="12"/>
      <c r="K791" s="8"/>
      <c r="L791" s="7"/>
      <c r="Q791" s="8"/>
      <c r="Z791" s="9"/>
    </row>
    <row r="792" customFormat="false" ht="15.75" hidden="false" customHeight="false" outlineLevel="0" collapsed="false">
      <c r="A792" s="7"/>
      <c r="B792" s="16"/>
      <c r="C792" s="17"/>
      <c r="D792" s="18"/>
      <c r="E792" s="18"/>
      <c r="F792" s="18"/>
      <c r="G792" s="7"/>
      <c r="H792" s="7"/>
      <c r="I792" s="7"/>
      <c r="J792" s="12"/>
      <c r="K792" s="8"/>
      <c r="L792" s="7"/>
      <c r="Q792" s="8"/>
      <c r="Z792" s="9"/>
    </row>
    <row r="793" customFormat="false" ht="15.75" hidden="false" customHeight="false" outlineLevel="0" collapsed="false">
      <c r="A793" s="7"/>
      <c r="B793" s="16"/>
      <c r="C793" s="17"/>
      <c r="D793" s="18"/>
      <c r="E793" s="18"/>
      <c r="F793" s="18"/>
      <c r="G793" s="7"/>
      <c r="H793" s="7"/>
      <c r="I793" s="7"/>
      <c r="J793" s="12"/>
      <c r="K793" s="8"/>
      <c r="L793" s="7"/>
      <c r="Q793" s="8"/>
      <c r="Z793" s="9"/>
    </row>
    <row r="794" customFormat="false" ht="15.75" hidden="false" customHeight="false" outlineLevel="0" collapsed="false">
      <c r="A794" s="7"/>
      <c r="B794" s="16"/>
      <c r="C794" s="17"/>
      <c r="D794" s="18"/>
      <c r="E794" s="18"/>
      <c r="F794" s="18"/>
      <c r="G794" s="7"/>
      <c r="H794" s="7"/>
      <c r="I794" s="7"/>
      <c r="J794" s="12"/>
      <c r="K794" s="8"/>
      <c r="L794" s="7"/>
      <c r="Q794" s="8"/>
      <c r="Z794" s="9"/>
    </row>
    <row r="795" customFormat="false" ht="15.75" hidden="false" customHeight="false" outlineLevel="0" collapsed="false">
      <c r="A795" s="7"/>
      <c r="B795" s="16"/>
      <c r="C795" s="17"/>
      <c r="D795" s="18"/>
      <c r="E795" s="18"/>
      <c r="F795" s="18"/>
      <c r="G795" s="7"/>
      <c r="H795" s="7"/>
      <c r="I795" s="7"/>
      <c r="J795" s="12"/>
      <c r="K795" s="8"/>
      <c r="L795" s="7"/>
      <c r="Q795" s="8"/>
      <c r="Z795" s="9"/>
    </row>
    <row r="796" customFormat="false" ht="15.75" hidden="false" customHeight="false" outlineLevel="0" collapsed="false">
      <c r="A796" s="7"/>
      <c r="B796" s="16"/>
      <c r="C796" s="17"/>
      <c r="D796" s="18"/>
      <c r="E796" s="18"/>
      <c r="F796" s="18"/>
      <c r="G796" s="7"/>
      <c r="H796" s="7"/>
      <c r="I796" s="7"/>
      <c r="J796" s="12"/>
      <c r="K796" s="8"/>
      <c r="L796" s="7"/>
      <c r="Q796" s="8"/>
      <c r="Z796" s="9"/>
    </row>
    <row r="797" customFormat="false" ht="15.75" hidden="false" customHeight="false" outlineLevel="0" collapsed="false">
      <c r="A797" s="7"/>
      <c r="B797" s="16"/>
      <c r="C797" s="17"/>
      <c r="D797" s="18"/>
      <c r="E797" s="18"/>
      <c r="F797" s="18"/>
      <c r="G797" s="7"/>
      <c r="H797" s="7"/>
      <c r="I797" s="7"/>
      <c r="J797" s="12"/>
      <c r="K797" s="8"/>
      <c r="L797" s="7"/>
      <c r="Q797" s="8"/>
      <c r="Z797" s="9"/>
    </row>
    <row r="798" customFormat="false" ht="15.75" hidden="false" customHeight="false" outlineLevel="0" collapsed="false">
      <c r="A798" s="7"/>
      <c r="B798" s="16"/>
      <c r="C798" s="17"/>
      <c r="D798" s="18"/>
      <c r="E798" s="18"/>
      <c r="F798" s="18"/>
      <c r="G798" s="7"/>
      <c r="H798" s="7"/>
      <c r="I798" s="7"/>
      <c r="J798" s="12"/>
      <c r="K798" s="8"/>
      <c r="L798" s="7"/>
      <c r="Q798" s="8"/>
      <c r="Z798" s="9"/>
    </row>
    <row r="799" customFormat="false" ht="15.75" hidden="false" customHeight="false" outlineLevel="0" collapsed="false">
      <c r="A799" s="7"/>
      <c r="B799" s="16"/>
      <c r="C799" s="17"/>
      <c r="D799" s="18"/>
      <c r="E799" s="18"/>
      <c r="F799" s="18"/>
      <c r="G799" s="7"/>
      <c r="H799" s="7"/>
      <c r="I799" s="7"/>
      <c r="J799" s="12"/>
      <c r="K799" s="8"/>
      <c r="L799" s="7"/>
      <c r="Q799" s="8"/>
      <c r="Z799" s="9"/>
    </row>
    <row r="800" customFormat="false" ht="15.75" hidden="false" customHeight="false" outlineLevel="0" collapsed="false">
      <c r="A800" s="7"/>
      <c r="B800" s="16"/>
      <c r="C800" s="17"/>
      <c r="D800" s="18"/>
      <c r="E800" s="18"/>
      <c r="F800" s="18"/>
      <c r="G800" s="7"/>
      <c r="H800" s="7"/>
      <c r="I800" s="7"/>
      <c r="J800" s="12"/>
      <c r="K800" s="8"/>
      <c r="L800" s="7"/>
      <c r="Q800" s="8"/>
      <c r="Z800" s="9"/>
    </row>
    <row r="801" customFormat="false" ht="15.75" hidden="false" customHeight="false" outlineLevel="0" collapsed="false">
      <c r="A801" s="7"/>
      <c r="B801" s="16"/>
      <c r="C801" s="17"/>
      <c r="D801" s="18"/>
      <c r="E801" s="18"/>
      <c r="F801" s="18"/>
      <c r="G801" s="7"/>
      <c r="H801" s="7"/>
      <c r="I801" s="7"/>
      <c r="J801" s="12"/>
      <c r="K801" s="8"/>
      <c r="L801" s="7"/>
      <c r="Q801" s="8"/>
      <c r="Z801" s="9"/>
    </row>
    <row r="802" customFormat="false" ht="15.75" hidden="false" customHeight="false" outlineLevel="0" collapsed="false">
      <c r="A802" s="7"/>
      <c r="B802" s="16"/>
      <c r="C802" s="17"/>
      <c r="D802" s="18"/>
      <c r="E802" s="18"/>
      <c r="F802" s="18"/>
      <c r="G802" s="7"/>
      <c r="H802" s="7"/>
      <c r="I802" s="7"/>
      <c r="J802" s="12"/>
      <c r="K802" s="8"/>
      <c r="L802" s="7"/>
      <c r="Q802" s="8"/>
      <c r="Z802" s="9"/>
    </row>
    <row r="803" customFormat="false" ht="15.75" hidden="false" customHeight="false" outlineLevel="0" collapsed="false">
      <c r="A803" s="7"/>
      <c r="B803" s="16"/>
      <c r="C803" s="17"/>
      <c r="D803" s="18"/>
      <c r="E803" s="18"/>
      <c r="F803" s="18"/>
      <c r="G803" s="7"/>
      <c r="H803" s="7"/>
      <c r="I803" s="7"/>
      <c r="J803" s="12"/>
      <c r="K803" s="8"/>
      <c r="L803" s="7"/>
      <c r="Q803" s="8"/>
      <c r="Z803" s="9"/>
    </row>
    <row r="804" customFormat="false" ht="15.75" hidden="false" customHeight="false" outlineLevel="0" collapsed="false">
      <c r="A804" s="7"/>
      <c r="B804" s="16"/>
      <c r="C804" s="17"/>
      <c r="D804" s="18"/>
      <c r="E804" s="18"/>
      <c r="F804" s="18"/>
      <c r="G804" s="7"/>
      <c r="H804" s="7"/>
      <c r="I804" s="7"/>
      <c r="J804" s="12"/>
      <c r="K804" s="8"/>
      <c r="L804" s="7"/>
      <c r="Q804" s="8"/>
      <c r="Z804" s="9"/>
    </row>
    <row r="805" customFormat="false" ht="15.75" hidden="false" customHeight="false" outlineLevel="0" collapsed="false">
      <c r="A805" s="7"/>
      <c r="B805" s="16"/>
      <c r="C805" s="17"/>
      <c r="D805" s="18"/>
      <c r="E805" s="18"/>
      <c r="F805" s="18"/>
      <c r="G805" s="7"/>
      <c r="H805" s="7"/>
      <c r="I805" s="7"/>
      <c r="J805" s="12"/>
      <c r="K805" s="8"/>
      <c r="L805" s="7"/>
      <c r="Q805" s="8"/>
      <c r="Z805" s="9"/>
    </row>
    <row r="806" customFormat="false" ht="15.75" hidden="false" customHeight="false" outlineLevel="0" collapsed="false">
      <c r="A806" s="7"/>
      <c r="B806" s="16"/>
      <c r="C806" s="17"/>
      <c r="D806" s="18"/>
      <c r="E806" s="18"/>
      <c r="F806" s="18"/>
      <c r="G806" s="7"/>
      <c r="H806" s="7"/>
      <c r="I806" s="7"/>
      <c r="J806" s="12"/>
      <c r="K806" s="8"/>
      <c r="L806" s="7"/>
      <c r="Q806" s="8"/>
      <c r="Z806" s="9"/>
    </row>
    <row r="807" customFormat="false" ht="15.75" hidden="false" customHeight="false" outlineLevel="0" collapsed="false">
      <c r="A807" s="7"/>
      <c r="B807" s="16"/>
      <c r="C807" s="17"/>
      <c r="D807" s="18"/>
      <c r="E807" s="18"/>
      <c r="F807" s="18"/>
      <c r="G807" s="7"/>
      <c r="H807" s="7"/>
      <c r="I807" s="7"/>
      <c r="J807" s="12"/>
      <c r="K807" s="8"/>
      <c r="L807" s="7"/>
      <c r="Q807" s="8"/>
      <c r="Z807" s="9"/>
    </row>
    <row r="808" customFormat="false" ht="15.75" hidden="false" customHeight="false" outlineLevel="0" collapsed="false">
      <c r="A808" s="7"/>
      <c r="B808" s="16"/>
      <c r="C808" s="17"/>
      <c r="D808" s="18"/>
      <c r="E808" s="18"/>
      <c r="F808" s="18"/>
      <c r="G808" s="7"/>
      <c r="H808" s="7"/>
      <c r="I808" s="7"/>
      <c r="J808" s="12"/>
      <c r="K808" s="8"/>
      <c r="L808" s="7"/>
      <c r="Q808" s="8"/>
      <c r="Z808" s="9"/>
    </row>
    <row r="809" customFormat="false" ht="15.75" hidden="false" customHeight="false" outlineLevel="0" collapsed="false">
      <c r="A809" s="7"/>
      <c r="B809" s="16"/>
      <c r="C809" s="17"/>
      <c r="D809" s="18"/>
      <c r="E809" s="18"/>
      <c r="F809" s="18"/>
      <c r="G809" s="7"/>
      <c r="H809" s="7"/>
      <c r="I809" s="7"/>
      <c r="J809" s="12"/>
      <c r="K809" s="8"/>
      <c r="L809" s="7"/>
      <c r="Q809" s="8"/>
      <c r="Z809" s="9"/>
    </row>
    <row r="810" customFormat="false" ht="15.75" hidden="false" customHeight="false" outlineLevel="0" collapsed="false">
      <c r="A810" s="7"/>
      <c r="B810" s="16"/>
      <c r="C810" s="17"/>
      <c r="D810" s="18"/>
      <c r="E810" s="18"/>
      <c r="F810" s="18"/>
      <c r="G810" s="7"/>
      <c r="H810" s="7"/>
      <c r="I810" s="7"/>
      <c r="J810" s="12"/>
      <c r="K810" s="8"/>
      <c r="L810" s="7"/>
      <c r="Q810" s="8"/>
      <c r="Z810" s="9"/>
    </row>
    <row r="811" customFormat="false" ht="15.75" hidden="false" customHeight="false" outlineLevel="0" collapsed="false">
      <c r="A811" s="7"/>
      <c r="B811" s="16"/>
      <c r="C811" s="17"/>
      <c r="D811" s="18"/>
      <c r="E811" s="18"/>
      <c r="F811" s="18"/>
      <c r="G811" s="7"/>
      <c r="H811" s="7"/>
      <c r="I811" s="7"/>
      <c r="J811" s="12"/>
      <c r="K811" s="8"/>
      <c r="L811" s="7"/>
      <c r="Q811" s="8"/>
      <c r="Z811" s="9"/>
    </row>
    <row r="812" customFormat="false" ht="15.75" hidden="false" customHeight="false" outlineLevel="0" collapsed="false">
      <c r="A812" s="7"/>
      <c r="B812" s="16"/>
      <c r="C812" s="17"/>
      <c r="D812" s="18"/>
      <c r="E812" s="18"/>
      <c r="F812" s="18"/>
      <c r="G812" s="7"/>
      <c r="H812" s="7"/>
      <c r="I812" s="7"/>
      <c r="J812" s="12"/>
      <c r="K812" s="8"/>
      <c r="L812" s="7"/>
      <c r="Q812" s="8"/>
      <c r="Z812" s="9"/>
    </row>
    <row r="813" customFormat="false" ht="15.75" hidden="false" customHeight="false" outlineLevel="0" collapsed="false">
      <c r="A813" s="7"/>
      <c r="B813" s="16"/>
      <c r="C813" s="17"/>
      <c r="D813" s="18"/>
      <c r="E813" s="18"/>
      <c r="F813" s="18"/>
      <c r="G813" s="7"/>
      <c r="H813" s="7"/>
      <c r="I813" s="7"/>
      <c r="J813" s="12"/>
      <c r="K813" s="8"/>
      <c r="L813" s="7"/>
      <c r="Q813" s="8"/>
      <c r="Z813" s="9"/>
    </row>
    <row r="814" customFormat="false" ht="15.75" hidden="false" customHeight="false" outlineLevel="0" collapsed="false">
      <c r="A814" s="7"/>
      <c r="B814" s="16"/>
      <c r="C814" s="17"/>
      <c r="D814" s="18"/>
      <c r="E814" s="18"/>
      <c r="F814" s="18"/>
      <c r="G814" s="7"/>
      <c r="H814" s="7"/>
      <c r="I814" s="7"/>
      <c r="J814" s="12"/>
      <c r="K814" s="8"/>
      <c r="Q814" s="8"/>
      <c r="Z814" s="9"/>
    </row>
    <row r="815" customFormat="false" ht="15.75" hidden="false" customHeight="false" outlineLevel="0" collapsed="false">
      <c r="A815" s="7"/>
      <c r="B815" s="16"/>
      <c r="C815" s="17"/>
      <c r="D815" s="18"/>
      <c r="E815" s="18"/>
      <c r="F815" s="18"/>
      <c r="G815" s="7"/>
      <c r="H815" s="7"/>
      <c r="I815" s="7"/>
      <c r="J815" s="12"/>
      <c r="K815" s="8"/>
      <c r="Q815" s="8"/>
      <c r="Z815" s="9"/>
    </row>
    <row r="816" customFormat="false" ht="15.75" hidden="false" customHeight="false" outlineLevel="0" collapsed="false">
      <c r="A816" s="7"/>
      <c r="B816" s="16"/>
      <c r="C816" s="17"/>
      <c r="D816" s="18"/>
      <c r="E816" s="18"/>
      <c r="F816" s="18"/>
      <c r="G816" s="7"/>
      <c r="H816" s="7"/>
      <c r="I816" s="7"/>
      <c r="J816" s="12"/>
      <c r="K816" s="8"/>
      <c r="Q816" s="8"/>
      <c r="Z816" s="9"/>
    </row>
    <row r="817" customFormat="false" ht="15.75" hidden="false" customHeight="false" outlineLevel="0" collapsed="false">
      <c r="A817" s="7"/>
      <c r="B817" s="16"/>
      <c r="C817" s="17"/>
      <c r="D817" s="18"/>
      <c r="E817" s="18"/>
      <c r="F817" s="18"/>
      <c r="G817" s="7"/>
      <c r="H817" s="7"/>
      <c r="I817" s="7"/>
      <c r="J817" s="12"/>
      <c r="K817" s="8"/>
      <c r="Q817" s="8"/>
      <c r="Z817" s="9"/>
    </row>
    <row r="818" customFormat="false" ht="15.75" hidden="false" customHeight="false" outlineLevel="0" collapsed="false">
      <c r="A818" s="7"/>
      <c r="B818" s="16"/>
      <c r="C818" s="17"/>
      <c r="D818" s="18"/>
      <c r="E818" s="18"/>
      <c r="F818" s="18"/>
      <c r="G818" s="7"/>
      <c r="H818" s="7"/>
      <c r="I818" s="7"/>
      <c r="J818" s="12"/>
      <c r="K818" s="8"/>
      <c r="Q818" s="8"/>
      <c r="Z818" s="9"/>
    </row>
    <row r="819" customFormat="false" ht="15.75" hidden="false" customHeight="false" outlineLevel="0" collapsed="false">
      <c r="A819" s="7"/>
      <c r="B819" s="16"/>
      <c r="C819" s="17"/>
      <c r="D819" s="18"/>
      <c r="E819" s="18"/>
      <c r="F819" s="18"/>
      <c r="G819" s="7"/>
      <c r="H819" s="7"/>
      <c r="I819" s="7"/>
      <c r="J819" s="12"/>
      <c r="K819" s="8"/>
      <c r="Q819" s="8"/>
      <c r="Z819" s="9"/>
    </row>
    <row r="820" customFormat="false" ht="15.75" hidden="false" customHeight="false" outlineLevel="0" collapsed="false">
      <c r="A820" s="7"/>
      <c r="B820" s="16"/>
      <c r="C820" s="17"/>
      <c r="D820" s="18"/>
      <c r="E820" s="18"/>
      <c r="F820" s="18"/>
      <c r="G820" s="7"/>
      <c r="H820" s="7"/>
      <c r="I820" s="7"/>
      <c r="J820" s="12"/>
      <c r="K820" s="8"/>
      <c r="Q820" s="8"/>
      <c r="Z820" s="9"/>
    </row>
    <row r="821" customFormat="false" ht="15.75" hidden="false" customHeight="false" outlineLevel="0" collapsed="false">
      <c r="A821" s="7"/>
      <c r="B821" s="16"/>
      <c r="C821" s="17"/>
      <c r="D821" s="18"/>
      <c r="E821" s="18"/>
      <c r="F821" s="18"/>
      <c r="G821" s="7"/>
      <c r="H821" s="7"/>
      <c r="I821" s="7"/>
      <c r="J821" s="12"/>
      <c r="K821" s="8"/>
      <c r="Q821" s="8"/>
      <c r="Z821" s="9"/>
    </row>
    <row r="822" customFormat="false" ht="15.75" hidden="false" customHeight="false" outlineLevel="0" collapsed="false">
      <c r="A822" s="7"/>
      <c r="B822" s="16"/>
      <c r="C822" s="17"/>
      <c r="D822" s="18"/>
      <c r="E822" s="18"/>
      <c r="F822" s="18"/>
      <c r="G822" s="7"/>
      <c r="H822" s="7"/>
      <c r="I822" s="7"/>
      <c r="J822" s="12"/>
      <c r="K822" s="8"/>
      <c r="Q822" s="8"/>
      <c r="Z822" s="9"/>
    </row>
    <row r="823" customFormat="false" ht="15.75" hidden="false" customHeight="false" outlineLevel="0" collapsed="false">
      <c r="A823" s="7"/>
      <c r="B823" s="16"/>
      <c r="C823" s="17"/>
      <c r="D823" s="18"/>
      <c r="E823" s="18"/>
      <c r="F823" s="18"/>
      <c r="G823" s="7"/>
      <c r="H823" s="7"/>
      <c r="I823" s="7"/>
      <c r="J823" s="12"/>
      <c r="K823" s="8"/>
      <c r="Q823" s="8"/>
      <c r="Z823" s="9"/>
    </row>
    <row r="824" customFormat="false" ht="15.75" hidden="false" customHeight="false" outlineLevel="0" collapsed="false">
      <c r="A824" s="7"/>
      <c r="B824" s="16"/>
      <c r="C824" s="17"/>
      <c r="D824" s="18"/>
      <c r="E824" s="18"/>
      <c r="F824" s="18"/>
      <c r="G824" s="7"/>
      <c r="H824" s="7"/>
      <c r="I824" s="7"/>
      <c r="J824" s="12"/>
      <c r="K824" s="8"/>
      <c r="Q824" s="8"/>
      <c r="Z824" s="9"/>
    </row>
    <row r="825" customFormat="false" ht="15.75" hidden="false" customHeight="false" outlineLevel="0" collapsed="false">
      <c r="A825" s="7"/>
      <c r="B825" s="16"/>
      <c r="C825" s="17"/>
      <c r="D825" s="18"/>
      <c r="E825" s="18"/>
      <c r="F825" s="18"/>
      <c r="G825" s="7"/>
      <c r="H825" s="7"/>
      <c r="I825" s="7"/>
      <c r="J825" s="12"/>
      <c r="K825" s="8"/>
      <c r="Q825" s="8"/>
      <c r="Z825" s="9"/>
    </row>
    <row r="826" customFormat="false" ht="15.75" hidden="false" customHeight="false" outlineLevel="0" collapsed="false">
      <c r="A826" s="7"/>
      <c r="B826" s="16"/>
      <c r="C826" s="17"/>
      <c r="D826" s="18"/>
      <c r="E826" s="18"/>
      <c r="F826" s="18"/>
      <c r="G826" s="7"/>
      <c r="H826" s="7"/>
      <c r="I826" s="7"/>
      <c r="J826" s="12"/>
      <c r="K826" s="8"/>
      <c r="Q826" s="8"/>
      <c r="Z826" s="9"/>
    </row>
    <row r="827" customFormat="false" ht="15.75" hidden="false" customHeight="false" outlineLevel="0" collapsed="false">
      <c r="A827" s="7"/>
      <c r="B827" s="16"/>
      <c r="C827" s="17"/>
      <c r="D827" s="18"/>
      <c r="E827" s="18"/>
      <c r="F827" s="18"/>
      <c r="G827" s="7"/>
      <c r="H827" s="7"/>
      <c r="I827" s="7"/>
      <c r="J827" s="12"/>
      <c r="K827" s="8"/>
      <c r="Q827" s="8"/>
      <c r="Z827" s="9"/>
    </row>
    <row r="828" customFormat="false" ht="15.75" hidden="false" customHeight="false" outlineLevel="0" collapsed="false">
      <c r="A828" s="7"/>
      <c r="B828" s="16"/>
      <c r="C828" s="17"/>
      <c r="D828" s="18"/>
      <c r="E828" s="18"/>
      <c r="F828" s="18"/>
      <c r="G828" s="7"/>
      <c r="H828" s="7"/>
      <c r="I828" s="7"/>
      <c r="J828" s="12"/>
      <c r="K828" s="8"/>
      <c r="Q828" s="8"/>
      <c r="Z828" s="9"/>
    </row>
    <row r="829" customFormat="false" ht="15.75" hidden="false" customHeight="false" outlineLevel="0" collapsed="false">
      <c r="A829" s="7"/>
      <c r="B829" s="16"/>
      <c r="C829" s="17"/>
      <c r="D829" s="18"/>
      <c r="E829" s="18"/>
      <c r="F829" s="18"/>
      <c r="G829" s="7"/>
      <c r="H829" s="7"/>
      <c r="I829" s="7"/>
      <c r="J829" s="12"/>
      <c r="K829" s="8"/>
      <c r="Q829" s="8"/>
      <c r="Z829" s="9"/>
    </row>
    <row r="830" customFormat="false" ht="15.75" hidden="false" customHeight="false" outlineLevel="0" collapsed="false">
      <c r="A830" s="7"/>
      <c r="B830" s="16"/>
      <c r="C830" s="17"/>
      <c r="D830" s="18"/>
      <c r="E830" s="18"/>
      <c r="F830" s="18"/>
      <c r="G830" s="7"/>
      <c r="H830" s="7"/>
      <c r="I830" s="7"/>
      <c r="J830" s="12"/>
      <c r="K830" s="8"/>
      <c r="Q830" s="8"/>
      <c r="Z830" s="9"/>
    </row>
    <row r="831" customFormat="false" ht="15.75" hidden="false" customHeight="false" outlineLevel="0" collapsed="false">
      <c r="A831" s="7"/>
      <c r="B831" s="16"/>
      <c r="C831" s="17"/>
      <c r="D831" s="18"/>
      <c r="E831" s="18"/>
      <c r="F831" s="18"/>
      <c r="G831" s="7"/>
      <c r="H831" s="7"/>
      <c r="I831" s="7"/>
      <c r="J831" s="12"/>
      <c r="K831" s="8"/>
      <c r="Q831" s="8"/>
      <c r="Z831" s="9"/>
    </row>
    <row r="832" customFormat="false" ht="15.75" hidden="false" customHeight="false" outlineLevel="0" collapsed="false">
      <c r="A832" s="7"/>
      <c r="B832" s="16"/>
      <c r="C832" s="17"/>
      <c r="D832" s="18"/>
      <c r="E832" s="18"/>
      <c r="F832" s="18"/>
      <c r="G832" s="7"/>
      <c r="H832" s="7"/>
      <c r="I832" s="7"/>
      <c r="J832" s="12"/>
      <c r="K832" s="8"/>
      <c r="Q832" s="8"/>
      <c r="Z832" s="9"/>
    </row>
    <row r="833" customFormat="false" ht="15.75" hidden="false" customHeight="false" outlineLevel="0" collapsed="false">
      <c r="A833" s="7"/>
      <c r="B833" s="16"/>
      <c r="C833" s="17"/>
      <c r="D833" s="18"/>
      <c r="E833" s="18"/>
      <c r="F833" s="18"/>
      <c r="G833" s="7"/>
      <c r="H833" s="7"/>
      <c r="I833" s="7"/>
      <c r="J833" s="12"/>
      <c r="K833" s="8"/>
      <c r="Q833" s="8"/>
      <c r="Z833" s="9"/>
    </row>
    <row r="834" customFormat="false" ht="15.75" hidden="false" customHeight="false" outlineLevel="0" collapsed="false">
      <c r="A834" s="7"/>
      <c r="B834" s="16"/>
      <c r="C834" s="17"/>
      <c r="D834" s="18"/>
      <c r="E834" s="18"/>
      <c r="F834" s="18"/>
      <c r="G834" s="7"/>
      <c r="H834" s="7"/>
      <c r="I834" s="7"/>
      <c r="J834" s="12"/>
      <c r="K834" s="8"/>
      <c r="Q834" s="8"/>
      <c r="Z834" s="9"/>
    </row>
    <row r="835" customFormat="false" ht="15.75" hidden="false" customHeight="false" outlineLevel="0" collapsed="false">
      <c r="A835" s="7"/>
      <c r="B835" s="16"/>
      <c r="C835" s="17"/>
      <c r="D835" s="18"/>
      <c r="E835" s="18"/>
      <c r="F835" s="18"/>
      <c r="G835" s="7"/>
      <c r="H835" s="7"/>
      <c r="I835" s="7"/>
      <c r="J835" s="12"/>
      <c r="K835" s="8"/>
      <c r="Q835" s="8"/>
      <c r="Z835" s="9"/>
    </row>
    <row r="836" customFormat="false" ht="15.75" hidden="false" customHeight="false" outlineLevel="0" collapsed="false">
      <c r="A836" s="7"/>
      <c r="B836" s="16"/>
      <c r="C836" s="17"/>
      <c r="D836" s="18"/>
      <c r="E836" s="18"/>
      <c r="F836" s="18"/>
      <c r="G836" s="7"/>
      <c r="H836" s="7"/>
      <c r="I836" s="7"/>
      <c r="J836" s="12"/>
      <c r="K836" s="8"/>
      <c r="Q836" s="8"/>
      <c r="Z836" s="9"/>
    </row>
    <row r="837" customFormat="false" ht="15.75" hidden="false" customHeight="false" outlineLevel="0" collapsed="false">
      <c r="A837" s="7"/>
      <c r="B837" s="16"/>
      <c r="C837" s="17"/>
      <c r="D837" s="18"/>
      <c r="E837" s="18"/>
      <c r="F837" s="18"/>
      <c r="G837" s="7"/>
      <c r="H837" s="7"/>
      <c r="I837" s="7"/>
      <c r="J837" s="12"/>
      <c r="K837" s="8"/>
      <c r="Q837" s="8"/>
      <c r="Z837" s="9"/>
    </row>
    <row r="838" customFormat="false" ht="15.75" hidden="false" customHeight="false" outlineLevel="0" collapsed="false">
      <c r="A838" s="7"/>
      <c r="B838" s="16"/>
      <c r="C838" s="17"/>
      <c r="D838" s="18"/>
      <c r="E838" s="18"/>
      <c r="F838" s="18"/>
      <c r="G838" s="7"/>
      <c r="H838" s="7"/>
      <c r="I838" s="7"/>
      <c r="J838" s="12"/>
      <c r="K838" s="8"/>
      <c r="Q838" s="8"/>
      <c r="Z838" s="9"/>
    </row>
    <row r="839" customFormat="false" ht="15.75" hidden="false" customHeight="false" outlineLevel="0" collapsed="false">
      <c r="A839" s="7"/>
      <c r="B839" s="16"/>
      <c r="C839" s="17"/>
      <c r="D839" s="18"/>
      <c r="E839" s="18"/>
      <c r="F839" s="18"/>
      <c r="G839" s="7"/>
      <c r="H839" s="7"/>
      <c r="I839" s="7"/>
      <c r="J839" s="12"/>
      <c r="K839" s="8"/>
      <c r="Q839" s="8"/>
      <c r="Z839" s="9"/>
    </row>
    <row r="840" customFormat="false" ht="15.75" hidden="false" customHeight="false" outlineLevel="0" collapsed="false">
      <c r="A840" s="7"/>
      <c r="B840" s="16"/>
      <c r="C840" s="17"/>
      <c r="D840" s="18"/>
      <c r="E840" s="18"/>
      <c r="F840" s="18"/>
      <c r="G840" s="7"/>
      <c r="H840" s="7"/>
      <c r="I840" s="7"/>
      <c r="J840" s="12"/>
      <c r="K840" s="8"/>
      <c r="Q840" s="8"/>
      <c r="Z840" s="9"/>
    </row>
    <row r="841" customFormat="false" ht="15.75" hidden="false" customHeight="false" outlineLevel="0" collapsed="false">
      <c r="A841" s="7"/>
      <c r="B841" s="16"/>
      <c r="C841" s="17"/>
      <c r="D841" s="18"/>
      <c r="E841" s="18"/>
      <c r="F841" s="18"/>
      <c r="G841" s="7"/>
      <c r="H841" s="7"/>
      <c r="I841" s="7"/>
      <c r="J841" s="12"/>
      <c r="K841" s="8"/>
      <c r="Q841" s="8"/>
      <c r="Z841" s="9"/>
    </row>
    <row r="842" customFormat="false" ht="15.75" hidden="false" customHeight="false" outlineLevel="0" collapsed="false">
      <c r="A842" s="7"/>
      <c r="B842" s="16"/>
      <c r="C842" s="17"/>
      <c r="D842" s="18"/>
      <c r="E842" s="18"/>
      <c r="F842" s="18"/>
      <c r="G842" s="7"/>
      <c r="H842" s="7"/>
      <c r="I842" s="7"/>
      <c r="J842" s="12"/>
      <c r="K842" s="8"/>
      <c r="Q842" s="8"/>
      <c r="Z842" s="9"/>
    </row>
    <row r="843" customFormat="false" ht="15.75" hidden="false" customHeight="false" outlineLevel="0" collapsed="false">
      <c r="A843" s="7"/>
      <c r="B843" s="16"/>
      <c r="C843" s="17"/>
      <c r="D843" s="18"/>
      <c r="E843" s="18"/>
      <c r="F843" s="18"/>
      <c r="G843" s="7"/>
      <c r="H843" s="7"/>
      <c r="I843" s="7"/>
      <c r="J843" s="12"/>
      <c r="K843" s="8"/>
      <c r="Q843" s="8"/>
      <c r="Z843" s="9"/>
    </row>
    <row r="844" customFormat="false" ht="15.75" hidden="false" customHeight="false" outlineLevel="0" collapsed="false">
      <c r="A844" s="7"/>
      <c r="B844" s="16"/>
      <c r="C844" s="17"/>
      <c r="D844" s="18"/>
      <c r="E844" s="18"/>
      <c r="F844" s="18"/>
      <c r="G844" s="7"/>
      <c r="H844" s="7"/>
      <c r="I844" s="7"/>
      <c r="J844" s="12"/>
      <c r="K844" s="8"/>
      <c r="Q844" s="8"/>
      <c r="Z844" s="9"/>
    </row>
    <row r="845" customFormat="false" ht="15.75" hidden="false" customHeight="false" outlineLevel="0" collapsed="false">
      <c r="A845" s="7"/>
      <c r="B845" s="16"/>
      <c r="C845" s="17"/>
      <c r="D845" s="18"/>
      <c r="E845" s="18"/>
      <c r="F845" s="18"/>
      <c r="G845" s="7"/>
      <c r="H845" s="7"/>
      <c r="I845" s="7"/>
      <c r="J845" s="12"/>
      <c r="K845" s="8"/>
      <c r="Q845" s="8"/>
      <c r="Z845" s="9"/>
    </row>
    <row r="846" customFormat="false" ht="15.75" hidden="false" customHeight="false" outlineLevel="0" collapsed="false">
      <c r="A846" s="7"/>
      <c r="B846" s="16"/>
      <c r="C846" s="17"/>
      <c r="D846" s="18"/>
      <c r="E846" s="18"/>
      <c r="F846" s="18"/>
      <c r="G846" s="7"/>
      <c r="H846" s="7"/>
      <c r="I846" s="7"/>
      <c r="J846" s="12"/>
      <c r="K846" s="8"/>
      <c r="Q846" s="8"/>
      <c r="Z846" s="9"/>
    </row>
    <row r="847" customFormat="false" ht="15.75" hidden="false" customHeight="false" outlineLevel="0" collapsed="false">
      <c r="A847" s="7"/>
      <c r="B847" s="16"/>
      <c r="C847" s="17"/>
      <c r="D847" s="18"/>
      <c r="E847" s="18"/>
      <c r="F847" s="18"/>
      <c r="G847" s="7"/>
      <c r="H847" s="7"/>
      <c r="I847" s="7"/>
      <c r="J847" s="12"/>
      <c r="K847" s="8"/>
      <c r="Q847" s="8"/>
      <c r="Z847" s="9"/>
    </row>
    <row r="848" customFormat="false" ht="15.75" hidden="false" customHeight="false" outlineLevel="0" collapsed="false">
      <c r="A848" s="7"/>
      <c r="B848" s="16"/>
      <c r="C848" s="17"/>
      <c r="D848" s="18"/>
      <c r="E848" s="18"/>
      <c r="F848" s="18"/>
      <c r="G848" s="7"/>
      <c r="H848" s="7"/>
      <c r="I848" s="7"/>
      <c r="J848" s="12"/>
      <c r="K848" s="8"/>
      <c r="Q848" s="8"/>
      <c r="Z848" s="9"/>
    </row>
    <row r="849" customFormat="false" ht="15.75" hidden="false" customHeight="false" outlineLevel="0" collapsed="false">
      <c r="A849" s="7"/>
      <c r="B849" s="16"/>
      <c r="C849" s="17"/>
      <c r="D849" s="18"/>
      <c r="E849" s="18"/>
      <c r="F849" s="18"/>
      <c r="G849" s="7"/>
      <c r="H849" s="7"/>
      <c r="I849" s="7"/>
      <c r="J849" s="12"/>
      <c r="K849" s="8"/>
      <c r="Q849" s="8"/>
      <c r="Z849" s="9"/>
    </row>
    <row r="850" customFormat="false" ht="15.75" hidden="false" customHeight="false" outlineLevel="0" collapsed="false">
      <c r="A850" s="7"/>
      <c r="B850" s="16"/>
      <c r="C850" s="17"/>
      <c r="D850" s="18"/>
      <c r="E850" s="18"/>
      <c r="F850" s="18"/>
      <c r="G850" s="7"/>
      <c r="H850" s="7"/>
      <c r="I850" s="7"/>
      <c r="J850" s="12"/>
      <c r="K850" s="8"/>
      <c r="Q850" s="8"/>
      <c r="Z850" s="9"/>
    </row>
    <row r="851" customFormat="false" ht="15.75" hidden="false" customHeight="false" outlineLevel="0" collapsed="false">
      <c r="A851" s="7"/>
      <c r="B851" s="16"/>
      <c r="C851" s="17"/>
      <c r="D851" s="18"/>
      <c r="E851" s="18"/>
      <c r="F851" s="18"/>
      <c r="G851" s="7"/>
      <c r="H851" s="7"/>
      <c r="I851" s="7"/>
      <c r="J851" s="12"/>
      <c r="K851" s="8"/>
      <c r="Q851" s="8"/>
      <c r="Z851" s="9"/>
    </row>
    <row r="852" customFormat="false" ht="15.75" hidden="false" customHeight="false" outlineLevel="0" collapsed="false">
      <c r="A852" s="7"/>
      <c r="B852" s="16"/>
      <c r="C852" s="17"/>
      <c r="D852" s="18"/>
      <c r="E852" s="18"/>
      <c r="F852" s="18"/>
      <c r="G852" s="7"/>
      <c r="H852" s="7"/>
      <c r="I852" s="7"/>
      <c r="J852" s="12"/>
      <c r="K852" s="8"/>
      <c r="Q852" s="8"/>
      <c r="Z852" s="9"/>
    </row>
    <row r="853" customFormat="false" ht="15.75" hidden="false" customHeight="false" outlineLevel="0" collapsed="false">
      <c r="A853" s="7"/>
      <c r="B853" s="16"/>
      <c r="C853" s="17"/>
      <c r="D853" s="18"/>
      <c r="E853" s="18"/>
      <c r="F853" s="18"/>
      <c r="G853" s="7"/>
      <c r="H853" s="7"/>
      <c r="I853" s="7"/>
      <c r="J853" s="12"/>
      <c r="K853" s="8"/>
      <c r="Q853" s="8"/>
      <c r="Z853" s="9"/>
    </row>
    <row r="854" customFormat="false" ht="15.75" hidden="false" customHeight="false" outlineLevel="0" collapsed="false">
      <c r="A854" s="7"/>
      <c r="B854" s="16"/>
      <c r="C854" s="17"/>
      <c r="D854" s="18"/>
      <c r="E854" s="18"/>
      <c r="F854" s="18"/>
      <c r="G854" s="7"/>
      <c r="H854" s="7"/>
      <c r="I854" s="7"/>
      <c r="J854" s="12"/>
      <c r="K854" s="8"/>
      <c r="Q854" s="8"/>
      <c r="Z854" s="9"/>
    </row>
    <row r="855" customFormat="false" ht="15.75" hidden="false" customHeight="false" outlineLevel="0" collapsed="false">
      <c r="A855" s="7"/>
      <c r="B855" s="16"/>
      <c r="C855" s="17"/>
      <c r="D855" s="18"/>
      <c r="E855" s="18"/>
      <c r="F855" s="18"/>
      <c r="G855" s="7"/>
      <c r="H855" s="7"/>
      <c r="I855" s="7"/>
      <c r="J855" s="12"/>
      <c r="K855" s="8"/>
      <c r="Q855" s="8"/>
      <c r="Z855" s="9"/>
    </row>
    <row r="856" customFormat="false" ht="15.75" hidden="false" customHeight="false" outlineLevel="0" collapsed="false">
      <c r="A856" s="7"/>
      <c r="B856" s="16"/>
      <c r="C856" s="17"/>
      <c r="D856" s="18"/>
      <c r="E856" s="18"/>
      <c r="F856" s="18"/>
      <c r="G856" s="7"/>
      <c r="H856" s="7"/>
      <c r="I856" s="7"/>
      <c r="J856" s="12"/>
      <c r="K856" s="8"/>
      <c r="Q856" s="8"/>
      <c r="Z856" s="9"/>
    </row>
    <row r="857" customFormat="false" ht="15.75" hidden="false" customHeight="false" outlineLevel="0" collapsed="false">
      <c r="A857" s="7"/>
      <c r="B857" s="16"/>
      <c r="C857" s="17"/>
      <c r="D857" s="18"/>
      <c r="E857" s="18"/>
      <c r="F857" s="18"/>
      <c r="G857" s="7"/>
      <c r="H857" s="7"/>
      <c r="I857" s="7"/>
      <c r="J857" s="12"/>
      <c r="K857" s="8"/>
      <c r="Q857" s="8"/>
      <c r="Z857" s="9"/>
    </row>
    <row r="858" customFormat="false" ht="15.75" hidden="false" customHeight="false" outlineLevel="0" collapsed="false">
      <c r="A858" s="7"/>
      <c r="B858" s="16"/>
      <c r="C858" s="17"/>
      <c r="D858" s="18"/>
      <c r="E858" s="18"/>
      <c r="F858" s="18"/>
      <c r="G858" s="7"/>
      <c r="H858" s="7"/>
      <c r="I858" s="7"/>
      <c r="J858" s="12"/>
      <c r="K858" s="8"/>
      <c r="Q858" s="8"/>
      <c r="Z858" s="9"/>
    </row>
    <row r="859" customFormat="false" ht="15.75" hidden="false" customHeight="false" outlineLevel="0" collapsed="false">
      <c r="A859" s="7"/>
      <c r="B859" s="16"/>
      <c r="C859" s="17"/>
      <c r="D859" s="18"/>
      <c r="E859" s="18"/>
      <c r="F859" s="18"/>
      <c r="G859" s="7"/>
      <c r="H859" s="7"/>
      <c r="I859" s="7"/>
      <c r="J859" s="12"/>
      <c r="K859" s="8"/>
      <c r="Q859" s="8"/>
      <c r="Z859" s="9"/>
    </row>
    <row r="860" customFormat="false" ht="15.75" hidden="false" customHeight="false" outlineLevel="0" collapsed="false">
      <c r="A860" s="7"/>
      <c r="B860" s="16"/>
      <c r="C860" s="17"/>
      <c r="D860" s="18"/>
      <c r="E860" s="18"/>
      <c r="F860" s="18"/>
      <c r="G860" s="7"/>
      <c r="H860" s="7"/>
      <c r="I860" s="7"/>
      <c r="J860" s="12"/>
      <c r="K860" s="8"/>
      <c r="Q860" s="8"/>
      <c r="Z860" s="9"/>
    </row>
    <row r="861" customFormat="false" ht="15.75" hidden="false" customHeight="false" outlineLevel="0" collapsed="false">
      <c r="A861" s="7"/>
      <c r="B861" s="16"/>
      <c r="C861" s="17"/>
      <c r="D861" s="18"/>
      <c r="E861" s="18"/>
      <c r="F861" s="18"/>
      <c r="G861" s="7"/>
      <c r="H861" s="7"/>
      <c r="I861" s="7"/>
      <c r="J861" s="12"/>
      <c r="K861" s="8"/>
      <c r="Q861" s="8"/>
      <c r="Z861" s="9"/>
    </row>
    <row r="862" customFormat="false" ht="15.75" hidden="false" customHeight="false" outlineLevel="0" collapsed="false">
      <c r="A862" s="7"/>
      <c r="B862" s="16"/>
      <c r="C862" s="17"/>
      <c r="D862" s="18"/>
      <c r="E862" s="18"/>
      <c r="F862" s="18"/>
      <c r="G862" s="7"/>
      <c r="H862" s="7"/>
      <c r="I862" s="7"/>
      <c r="J862" s="12"/>
      <c r="K862" s="8"/>
      <c r="Q862" s="8"/>
      <c r="Z862" s="9"/>
    </row>
    <row r="863" customFormat="false" ht="15.75" hidden="false" customHeight="false" outlineLevel="0" collapsed="false">
      <c r="A863" s="7"/>
      <c r="B863" s="16"/>
      <c r="C863" s="17"/>
      <c r="D863" s="18"/>
      <c r="E863" s="18"/>
      <c r="F863" s="18"/>
      <c r="G863" s="7"/>
      <c r="H863" s="7"/>
      <c r="I863" s="7"/>
      <c r="J863" s="12"/>
      <c r="K863" s="8"/>
      <c r="Q863" s="8"/>
      <c r="Z863" s="9"/>
    </row>
    <row r="864" customFormat="false" ht="15.75" hidden="false" customHeight="false" outlineLevel="0" collapsed="false">
      <c r="A864" s="7"/>
      <c r="B864" s="16"/>
      <c r="C864" s="19"/>
      <c r="D864" s="18"/>
      <c r="E864" s="18"/>
      <c r="F864" s="18"/>
      <c r="G864" s="7"/>
      <c r="H864" s="7"/>
      <c r="I864" s="7"/>
      <c r="J864" s="12"/>
      <c r="K864" s="8"/>
      <c r="Q864" s="8"/>
      <c r="Z864" s="9"/>
    </row>
    <row r="865" customFormat="false" ht="15.75" hidden="false" customHeight="false" outlineLevel="0" collapsed="false">
      <c r="A865" s="7"/>
      <c r="B865" s="16"/>
      <c r="C865" s="19"/>
      <c r="D865" s="18"/>
      <c r="E865" s="18"/>
      <c r="F865" s="18"/>
      <c r="G865" s="7"/>
      <c r="H865" s="7"/>
      <c r="I865" s="7"/>
      <c r="J865" s="12"/>
      <c r="K865" s="8"/>
      <c r="Q865" s="8"/>
      <c r="Z865" s="9"/>
    </row>
    <row r="866" customFormat="false" ht="15.75" hidden="false" customHeight="false" outlineLevel="0" collapsed="false">
      <c r="A866" s="7"/>
      <c r="B866" s="16"/>
      <c r="C866" s="19"/>
      <c r="D866" s="18"/>
      <c r="E866" s="18"/>
      <c r="F866" s="18"/>
      <c r="G866" s="7"/>
      <c r="H866" s="7"/>
      <c r="I866" s="7"/>
      <c r="J866" s="12"/>
      <c r="K866" s="8"/>
      <c r="Q866" s="8"/>
      <c r="Z866" s="9"/>
    </row>
    <row r="867" customFormat="false" ht="15.75" hidden="false" customHeight="false" outlineLevel="0" collapsed="false">
      <c r="A867" s="7"/>
      <c r="B867" s="16"/>
      <c r="C867" s="19"/>
      <c r="D867" s="18"/>
      <c r="E867" s="18"/>
      <c r="F867" s="18"/>
      <c r="G867" s="7"/>
      <c r="H867" s="7"/>
      <c r="I867" s="7"/>
      <c r="J867" s="12"/>
      <c r="K867" s="8"/>
      <c r="Q867" s="8"/>
      <c r="Z867" s="9"/>
    </row>
    <row r="868" customFormat="false" ht="15.75" hidden="false" customHeight="false" outlineLevel="0" collapsed="false">
      <c r="A868" s="7"/>
      <c r="B868" s="16"/>
      <c r="C868" s="19"/>
      <c r="D868" s="18"/>
      <c r="E868" s="18"/>
      <c r="F868" s="18"/>
      <c r="G868" s="7"/>
      <c r="H868" s="7"/>
      <c r="I868" s="7"/>
      <c r="J868" s="12"/>
      <c r="K868" s="8"/>
      <c r="Q868" s="8"/>
      <c r="Z868" s="9"/>
    </row>
    <row r="869" customFormat="false" ht="15.75" hidden="false" customHeight="false" outlineLevel="0" collapsed="false">
      <c r="A869" s="7"/>
      <c r="B869" s="16"/>
      <c r="C869" s="19"/>
      <c r="D869" s="18"/>
      <c r="E869" s="18"/>
      <c r="F869" s="18"/>
      <c r="G869" s="7"/>
      <c r="H869" s="7"/>
      <c r="I869" s="7"/>
      <c r="J869" s="12"/>
      <c r="K869" s="8"/>
      <c r="Q869" s="8"/>
      <c r="Z869" s="9"/>
    </row>
    <row r="870" customFormat="false" ht="15.75" hidden="false" customHeight="false" outlineLevel="0" collapsed="false">
      <c r="A870" s="7"/>
      <c r="B870" s="16"/>
      <c r="C870" s="19"/>
      <c r="D870" s="18"/>
      <c r="E870" s="18"/>
      <c r="F870" s="18"/>
      <c r="G870" s="7"/>
      <c r="H870" s="7"/>
      <c r="I870" s="7"/>
      <c r="J870" s="12"/>
      <c r="K870" s="8"/>
      <c r="Q870" s="8"/>
      <c r="Z870" s="9"/>
    </row>
    <row r="871" customFormat="false" ht="15.75" hidden="false" customHeight="false" outlineLevel="0" collapsed="false">
      <c r="A871" s="7"/>
      <c r="B871" s="16"/>
      <c r="C871" s="19"/>
      <c r="D871" s="18"/>
      <c r="E871" s="18"/>
      <c r="F871" s="18"/>
      <c r="G871" s="7"/>
      <c r="H871" s="7"/>
      <c r="I871" s="7"/>
      <c r="J871" s="12"/>
      <c r="K871" s="8"/>
      <c r="Q871" s="8"/>
      <c r="Z871" s="9"/>
    </row>
    <row r="872" customFormat="false" ht="15.75" hidden="false" customHeight="false" outlineLevel="0" collapsed="false">
      <c r="A872" s="7"/>
      <c r="B872" s="16"/>
      <c r="C872" s="19"/>
      <c r="D872" s="18"/>
      <c r="E872" s="18"/>
      <c r="F872" s="18"/>
      <c r="G872" s="7"/>
      <c r="H872" s="7"/>
      <c r="I872" s="7"/>
      <c r="J872" s="12"/>
      <c r="K872" s="8"/>
      <c r="Q872" s="8"/>
      <c r="Z872" s="9"/>
    </row>
    <row r="873" customFormat="false" ht="15.75" hidden="false" customHeight="false" outlineLevel="0" collapsed="false">
      <c r="A873" s="7"/>
      <c r="B873" s="16"/>
      <c r="C873" s="19"/>
      <c r="D873" s="18"/>
      <c r="E873" s="18"/>
      <c r="F873" s="18"/>
      <c r="G873" s="7"/>
      <c r="H873" s="7"/>
      <c r="I873" s="7"/>
      <c r="J873" s="12"/>
      <c r="K873" s="8"/>
      <c r="Q873" s="8"/>
      <c r="Z873" s="9"/>
    </row>
    <row r="874" customFormat="false" ht="15.75" hidden="false" customHeight="false" outlineLevel="0" collapsed="false">
      <c r="A874" s="7"/>
      <c r="B874" s="16"/>
      <c r="C874" s="19"/>
      <c r="D874" s="18"/>
      <c r="E874" s="18"/>
      <c r="F874" s="18"/>
      <c r="G874" s="7"/>
      <c r="H874" s="7"/>
      <c r="I874" s="7"/>
      <c r="J874" s="12"/>
      <c r="K874" s="8"/>
      <c r="Q874" s="8"/>
      <c r="Z874" s="9"/>
    </row>
    <row r="875" customFormat="false" ht="15.75" hidden="false" customHeight="false" outlineLevel="0" collapsed="false">
      <c r="A875" s="7"/>
      <c r="B875" s="16"/>
      <c r="C875" s="19"/>
      <c r="D875" s="18"/>
      <c r="E875" s="18"/>
      <c r="F875" s="18"/>
      <c r="G875" s="7"/>
      <c r="H875" s="7"/>
      <c r="I875" s="7"/>
      <c r="J875" s="12"/>
      <c r="K875" s="8"/>
      <c r="Q875" s="8"/>
      <c r="Z875" s="9"/>
    </row>
    <row r="876" customFormat="false" ht="15.75" hidden="false" customHeight="false" outlineLevel="0" collapsed="false">
      <c r="A876" s="7"/>
      <c r="B876" s="16"/>
      <c r="C876" s="19"/>
      <c r="D876" s="18"/>
      <c r="E876" s="18"/>
      <c r="F876" s="18"/>
      <c r="G876" s="7"/>
      <c r="H876" s="7"/>
      <c r="I876" s="7"/>
      <c r="J876" s="12"/>
      <c r="K876" s="8"/>
      <c r="Q876" s="8"/>
      <c r="Z876" s="9"/>
    </row>
    <row r="877" customFormat="false" ht="15.75" hidden="false" customHeight="false" outlineLevel="0" collapsed="false">
      <c r="A877" s="7"/>
      <c r="B877" s="16"/>
      <c r="C877" s="19"/>
      <c r="D877" s="18"/>
      <c r="E877" s="18"/>
      <c r="F877" s="18"/>
      <c r="G877" s="7"/>
      <c r="H877" s="7"/>
      <c r="I877" s="7"/>
      <c r="J877" s="12"/>
      <c r="K877" s="8"/>
      <c r="Q877" s="8"/>
      <c r="Z877" s="9"/>
    </row>
    <row r="878" customFormat="false" ht="15.75" hidden="false" customHeight="false" outlineLevel="0" collapsed="false">
      <c r="A878" s="7"/>
      <c r="B878" s="16"/>
      <c r="C878" s="19"/>
      <c r="D878" s="18"/>
      <c r="E878" s="18"/>
      <c r="F878" s="18"/>
      <c r="G878" s="7"/>
      <c r="H878" s="7"/>
      <c r="I878" s="7"/>
      <c r="J878" s="12"/>
      <c r="K878" s="8"/>
      <c r="Q878" s="8"/>
      <c r="Z878" s="9"/>
    </row>
    <row r="879" customFormat="false" ht="15.75" hidden="false" customHeight="false" outlineLevel="0" collapsed="false">
      <c r="A879" s="7"/>
      <c r="B879" s="16"/>
      <c r="C879" s="19"/>
      <c r="D879" s="18"/>
      <c r="E879" s="18"/>
      <c r="F879" s="18"/>
      <c r="G879" s="7"/>
      <c r="H879" s="7"/>
      <c r="I879" s="7"/>
      <c r="J879" s="12"/>
      <c r="K879" s="8"/>
      <c r="Q879" s="8"/>
      <c r="Z879" s="9"/>
    </row>
    <row r="880" customFormat="false" ht="15.75" hidden="false" customHeight="false" outlineLevel="0" collapsed="false">
      <c r="A880" s="7"/>
      <c r="B880" s="16"/>
      <c r="C880" s="19"/>
      <c r="D880" s="18"/>
      <c r="E880" s="18"/>
      <c r="F880" s="18"/>
      <c r="G880" s="7"/>
      <c r="H880" s="7"/>
      <c r="I880" s="7"/>
      <c r="J880" s="12"/>
      <c r="K880" s="8"/>
      <c r="Q880" s="8"/>
      <c r="Z880" s="9"/>
    </row>
    <row r="881" customFormat="false" ht="15.75" hidden="false" customHeight="false" outlineLevel="0" collapsed="false">
      <c r="A881" s="7"/>
      <c r="B881" s="16"/>
      <c r="C881" s="19"/>
      <c r="D881" s="18"/>
      <c r="E881" s="18"/>
      <c r="F881" s="18"/>
      <c r="G881" s="7"/>
      <c r="H881" s="7"/>
      <c r="I881" s="7"/>
      <c r="J881" s="12"/>
      <c r="K881" s="8"/>
      <c r="Q881" s="8"/>
      <c r="Z881" s="9"/>
    </row>
    <row r="882" customFormat="false" ht="15.75" hidden="false" customHeight="false" outlineLevel="0" collapsed="false">
      <c r="A882" s="7"/>
      <c r="B882" s="16"/>
      <c r="C882" s="19"/>
      <c r="D882" s="18"/>
      <c r="E882" s="18"/>
      <c r="F882" s="18"/>
      <c r="G882" s="7"/>
      <c r="H882" s="7"/>
      <c r="I882" s="7"/>
      <c r="J882" s="12"/>
      <c r="K882" s="8"/>
      <c r="Q882" s="8"/>
      <c r="Z882" s="9"/>
    </row>
    <row r="883" customFormat="false" ht="15.75" hidden="false" customHeight="false" outlineLevel="0" collapsed="false">
      <c r="A883" s="7"/>
      <c r="B883" s="16"/>
      <c r="C883" s="19"/>
      <c r="D883" s="18"/>
      <c r="E883" s="18"/>
      <c r="F883" s="18"/>
      <c r="G883" s="7"/>
      <c r="H883" s="7"/>
      <c r="I883" s="7"/>
      <c r="J883" s="12"/>
      <c r="K883" s="8"/>
      <c r="Q883" s="8"/>
      <c r="Z883" s="9"/>
    </row>
    <row r="884" customFormat="false" ht="15.75" hidden="false" customHeight="false" outlineLevel="0" collapsed="false">
      <c r="A884" s="7"/>
      <c r="B884" s="16"/>
      <c r="C884" s="19"/>
      <c r="D884" s="18"/>
      <c r="E884" s="18"/>
      <c r="F884" s="18"/>
      <c r="G884" s="7"/>
      <c r="H884" s="7"/>
      <c r="I884" s="7"/>
      <c r="J884" s="12"/>
      <c r="K884" s="8"/>
      <c r="Q884" s="8"/>
      <c r="Z884" s="9"/>
    </row>
    <row r="885" customFormat="false" ht="15.75" hidden="false" customHeight="false" outlineLevel="0" collapsed="false">
      <c r="A885" s="7"/>
      <c r="B885" s="16"/>
      <c r="C885" s="19"/>
      <c r="D885" s="18"/>
      <c r="E885" s="18"/>
      <c r="F885" s="18"/>
      <c r="G885" s="7"/>
      <c r="H885" s="7"/>
      <c r="I885" s="7"/>
      <c r="J885" s="12"/>
      <c r="K885" s="8"/>
      <c r="Q885" s="8"/>
      <c r="Z885" s="9"/>
    </row>
    <row r="886" customFormat="false" ht="15.75" hidden="false" customHeight="false" outlineLevel="0" collapsed="false">
      <c r="A886" s="7"/>
      <c r="B886" s="16"/>
      <c r="C886" s="19"/>
      <c r="D886" s="18"/>
      <c r="E886" s="18"/>
      <c r="F886" s="18"/>
      <c r="G886" s="7"/>
      <c r="H886" s="7"/>
      <c r="I886" s="7"/>
      <c r="J886" s="12"/>
      <c r="K886" s="8"/>
      <c r="Q886" s="8"/>
      <c r="Z886" s="9"/>
    </row>
    <row r="887" customFormat="false" ht="15.75" hidden="false" customHeight="false" outlineLevel="0" collapsed="false">
      <c r="A887" s="7"/>
      <c r="B887" s="16"/>
      <c r="C887" s="19"/>
      <c r="D887" s="18"/>
      <c r="E887" s="18"/>
      <c r="F887" s="18"/>
      <c r="G887" s="7"/>
      <c r="H887" s="7"/>
      <c r="I887" s="7"/>
      <c r="J887" s="12"/>
      <c r="K887" s="8"/>
      <c r="Q887" s="8"/>
      <c r="Z887" s="9"/>
    </row>
    <row r="888" customFormat="false" ht="15.75" hidden="false" customHeight="false" outlineLevel="0" collapsed="false">
      <c r="A888" s="7"/>
      <c r="B888" s="16"/>
      <c r="C888" s="19"/>
      <c r="D888" s="18"/>
      <c r="E888" s="18"/>
      <c r="F888" s="18"/>
      <c r="G888" s="7"/>
      <c r="H888" s="7"/>
      <c r="I888" s="7"/>
      <c r="J888" s="12"/>
      <c r="K888" s="8"/>
      <c r="Q888" s="8"/>
      <c r="Z888" s="9"/>
    </row>
    <row r="889" customFormat="false" ht="15.75" hidden="false" customHeight="false" outlineLevel="0" collapsed="false">
      <c r="A889" s="7"/>
      <c r="B889" s="16"/>
      <c r="C889" s="19"/>
      <c r="D889" s="18"/>
      <c r="E889" s="18"/>
      <c r="F889" s="18"/>
      <c r="G889" s="7"/>
      <c r="H889" s="7"/>
      <c r="I889" s="7"/>
      <c r="J889" s="12"/>
      <c r="K889" s="8"/>
      <c r="Q889" s="8"/>
      <c r="Z889" s="9"/>
    </row>
    <row r="890" customFormat="false" ht="15.75" hidden="false" customHeight="false" outlineLevel="0" collapsed="false">
      <c r="A890" s="7"/>
      <c r="B890" s="16"/>
      <c r="C890" s="19"/>
      <c r="D890" s="18"/>
      <c r="E890" s="18"/>
      <c r="F890" s="18"/>
      <c r="G890" s="7"/>
      <c r="H890" s="7"/>
      <c r="I890" s="7"/>
      <c r="J890" s="12"/>
      <c r="K890" s="8"/>
      <c r="Q890" s="8"/>
      <c r="Z890" s="9"/>
    </row>
    <row r="891" customFormat="false" ht="15.75" hidden="false" customHeight="false" outlineLevel="0" collapsed="false">
      <c r="A891" s="7"/>
      <c r="B891" s="16"/>
      <c r="C891" s="19"/>
      <c r="D891" s="18"/>
      <c r="E891" s="18"/>
      <c r="F891" s="18"/>
      <c r="G891" s="7"/>
      <c r="H891" s="7"/>
      <c r="I891" s="7"/>
      <c r="J891" s="12"/>
      <c r="K891" s="8"/>
      <c r="Q891" s="8"/>
      <c r="Z891" s="9"/>
    </row>
    <row r="892" customFormat="false" ht="15.75" hidden="false" customHeight="false" outlineLevel="0" collapsed="false">
      <c r="A892" s="7"/>
      <c r="B892" s="16"/>
      <c r="C892" s="19"/>
      <c r="D892" s="18"/>
      <c r="E892" s="18"/>
      <c r="F892" s="18"/>
      <c r="G892" s="7"/>
      <c r="H892" s="7"/>
      <c r="I892" s="7"/>
      <c r="J892" s="12"/>
      <c r="K892" s="8"/>
      <c r="Q892" s="8"/>
      <c r="Z892" s="9"/>
    </row>
    <row r="893" customFormat="false" ht="15.75" hidden="false" customHeight="false" outlineLevel="0" collapsed="false">
      <c r="A893" s="7"/>
      <c r="B893" s="16"/>
      <c r="C893" s="19"/>
      <c r="D893" s="18"/>
      <c r="E893" s="18"/>
      <c r="F893" s="18"/>
      <c r="G893" s="7"/>
      <c r="H893" s="7"/>
      <c r="I893" s="7"/>
      <c r="J893" s="12"/>
      <c r="K893" s="8"/>
      <c r="Q893" s="8"/>
      <c r="Z893" s="9"/>
    </row>
    <row r="894" customFormat="false" ht="15.75" hidden="false" customHeight="false" outlineLevel="0" collapsed="false">
      <c r="A894" s="7"/>
      <c r="B894" s="16"/>
      <c r="C894" s="19"/>
      <c r="D894" s="18"/>
      <c r="E894" s="18"/>
      <c r="F894" s="18"/>
      <c r="G894" s="7"/>
      <c r="H894" s="7"/>
      <c r="I894" s="7"/>
      <c r="J894" s="12"/>
      <c r="K894" s="8"/>
      <c r="Q894" s="8"/>
      <c r="Z894" s="9"/>
    </row>
    <row r="895" customFormat="false" ht="15.75" hidden="false" customHeight="false" outlineLevel="0" collapsed="false">
      <c r="A895" s="7"/>
      <c r="B895" s="16"/>
      <c r="C895" s="19"/>
      <c r="D895" s="18"/>
      <c r="E895" s="18"/>
      <c r="F895" s="18"/>
      <c r="G895" s="7"/>
      <c r="H895" s="7"/>
      <c r="I895" s="7"/>
      <c r="J895" s="12"/>
      <c r="K895" s="8"/>
      <c r="Q895" s="8"/>
      <c r="Z895" s="9"/>
    </row>
    <row r="896" customFormat="false" ht="15.75" hidden="false" customHeight="false" outlineLevel="0" collapsed="false">
      <c r="A896" s="7"/>
      <c r="B896" s="16"/>
      <c r="C896" s="19"/>
      <c r="D896" s="18"/>
      <c r="E896" s="18"/>
      <c r="F896" s="18"/>
      <c r="G896" s="7"/>
      <c r="H896" s="7"/>
      <c r="I896" s="7"/>
      <c r="J896" s="12"/>
      <c r="K896" s="8"/>
      <c r="Q896" s="8"/>
      <c r="Z896" s="9"/>
    </row>
    <row r="897" customFormat="false" ht="15.75" hidden="false" customHeight="false" outlineLevel="0" collapsed="false">
      <c r="A897" s="7"/>
      <c r="B897" s="16"/>
      <c r="C897" s="19"/>
      <c r="D897" s="18"/>
      <c r="E897" s="18"/>
      <c r="F897" s="18"/>
      <c r="G897" s="7"/>
      <c r="H897" s="7"/>
      <c r="I897" s="7"/>
      <c r="J897" s="12"/>
      <c r="K897" s="8"/>
      <c r="Q897" s="8"/>
      <c r="Z897" s="9"/>
    </row>
    <row r="898" customFormat="false" ht="15.75" hidden="false" customHeight="false" outlineLevel="0" collapsed="false">
      <c r="A898" s="7"/>
      <c r="B898" s="16"/>
      <c r="C898" s="19"/>
      <c r="D898" s="18"/>
      <c r="E898" s="18"/>
      <c r="F898" s="18"/>
      <c r="G898" s="7"/>
      <c r="H898" s="7"/>
      <c r="I898" s="7"/>
      <c r="J898" s="12"/>
      <c r="K898" s="8"/>
      <c r="Q898" s="8"/>
      <c r="Z898" s="9"/>
    </row>
    <row r="899" customFormat="false" ht="15.75" hidden="false" customHeight="false" outlineLevel="0" collapsed="false">
      <c r="A899" s="7"/>
      <c r="B899" s="16"/>
      <c r="C899" s="19"/>
      <c r="D899" s="18"/>
      <c r="E899" s="18"/>
      <c r="F899" s="18"/>
      <c r="G899" s="7"/>
      <c r="H899" s="7"/>
      <c r="I899" s="7"/>
      <c r="J899" s="12"/>
      <c r="K899" s="8"/>
      <c r="Q899" s="8"/>
      <c r="Z899" s="9"/>
    </row>
    <row r="900" customFormat="false" ht="15.75" hidden="false" customHeight="false" outlineLevel="0" collapsed="false">
      <c r="A900" s="7"/>
      <c r="B900" s="16"/>
      <c r="C900" s="19"/>
      <c r="D900" s="18"/>
      <c r="E900" s="18"/>
      <c r="F900" s="18"/>
      <c r="G900" s="7"/>
      <c r="H900" s="7"/>
      <c r="I900" s="7"/>
      <c r="J900" s="12"/>
      <c r="K900" s="8"/>
      <c r="Q900" s="8"/>
      <c r="Z900" s="9"/>
    </row>
    <row r="901" customFormat="false" ht="15.75" hidden="false" customHeight="false" outlineLevel="0" collapsed="false">
      <c r="A901" s="7"/>
      <c r="B901" s="16"/>
      <c r="C901" s="19"/>
      <c r="D901" s="18"/>
      <c r="E901" s="18"/>
      <c r="F901" s="18"/>
      <c r="G901" s="7"/>
      <c r="H901" s="7"/>
      <c r="I901" s="7"/>
      <c r="J901" s="12"/>
      <c r="K901" s="8"/>
      <c r="Q901" s="8"/>
      <c r="Z901" s="9"/>
    </row>
    <row r="902" customFormat="false" ht="15.75" hidden="false" customHeight="false" outlineLevel="0" collapsed="false">
      <c r="A902" s="7"/>
      <c r="B902" s="16"/>
      <c r="C902" s="19"/>
      <c r="D902" s="18"/>
      <c r="E902" s="18"/>
      <c r="F902" s="18"/>
      <c r="G902" s="7"/>
      <c r="H902" s="7"/>
      <c r="I902" s="7"/>
      <c r="J902" s="12"/>
      <c r="K902" s="8"/>
      <c r="Q902" s="8"/>
      <c r="Z902" s="9"/>
    </row>
    <row r="903" customFormat="false" ht="15.75" hidden="false" customHeight="false" outlineLevel="0" collapsed="false">
      <c r="A903" s="7"/>
      <c r="B903" s="16"/>
      <c r="C903" s="19"/>
      <c r="D903" s="18"/>
      <c r="E903" s="18"/>
      <c r="F903" s="18"/>
      <c r="G903" s="7"/>
      <c r="H903" s="7"/>
      <c r="I903" s="7"/>
      <c r="J903" s="12"/>
      <c r="K903" s="8"/>
      <c r="Q903" s="8"/>
      <c r="Z903" s="9"/>
    </row>
    <row r="904" customFormat="false" ht="15.75" hidden="false" customHeight="false" outlineLevel="0" collapsed="false">
      <c r="A904" s="7"/>
      <c r="B904" s="16"/>
      <c r="C904" s="19"/>
      <c r="D904" s="18"/>
      <c r="E904" s="18"/>
      <c r="F904" s="18"/>
      <c r="G904" s="7"/>
      <c r="H904" s="7"/>
      <c r="I904" s="7"/>
      <c r="J904" s="12"/>
      <c r="K904" s="8"/>
      <c r="Q904" s="8"/>
      <c r="Z904" s="9"/>
    </row>
    <row r="905" customFormat="false" ht="15.75" hidden="false" customHeight="false" outlineLevel="0" collapsed="false">
      <c r="A905" s="7"/>
      <c r="B905" s="16"/>
      <c r="C905" s="19"/>
      <c r="D905" s="18"/>
      <c r="E905" s="18"/>
      <c r="F905" s="18"/>
      <c r="G905" s="7"/>
      <c r="H905" s="7"/>
      <c r="I905" s="7"/>
      <c r="J905" s="12"/>
      <c r="K905" s="8"/>
      <c r="Q905" s="8"/>
      <c r="Z905" s="9"/>
    </row>
    <row r="906" customFormat="false" ht="15.75" hidden="false" customHeight="false" outlineLevel="0" collapsed="false">
      <c r="A906" s="7"/>
      <c r="B906" s="16"/>
      <c r="C906" s="19"/>
      <c r="D906" s="18"/>
      <c r="E906" s="18"/>
      <c r="F906" s="18"/>
      <c r="G906" s="7"/>
      <c r="H906" s="7"/>
      <c r="I906" s="7"/>
      <c r="J906" s="12"/>
      <c r="K906" s="8"/>
      <c r="Q906" s="8"/>
      <c r="Z906" s="9"/>
    </row>
    <row r="907" customFormat="false" ht="15.75" hidden="false" customHeight="false" outlineLevel="0" collapsed="false">
      <c r="A907" s="7"/>
      <c r="B907" s="16"/>
      <c r="C907" s="19"/>
      <c r="D907" s="18"/>
      <c r="E907" s="18"/>
      <c r="F907" s="18"/>
      <c r="G907" s="7"/>
      <c r="H907" s="7"/>
      <c r="I907" s="7"/>
      <c r="J907" s="12"/>
      <c r="K907" s="8"/>
      <c r="Q907" s="8"/>
      <c r="Z907" s="9"/>
    </row>
    <row r="908" customFormat="false" ht="15.75" hidden="false" customHeight="false" outlineLevel="0" collapsed="false">
      <c r="A908" s="7"/>
      <c r="B908" s="16"/>
      <c r="C908" s="19"/>
      <c r="D908" s="18"/>
      <c r="E908" s="18"/>
      <c r="F908" s="18"/>
      <c r="G908" s="7"/>
      <c r="H908" s="7"/>
      <c r="I908" s="7"/>
      <c r="J908" s="12"/>
      <c r="K908" s="8"/>
      <c r="Q908" s="8"/>
      <c r="Z908" s="9"/>
    </row>
    <row r="909" customFormat="false" ht="15.75" hidden="false" customHeight="false" outlineLevel="0" collapsed="false">
      <c r="A909" s="7"/>
      <c r="B909" s="16"/>
      <c r="C909" s="19"/>
      <c r="D909" s="18"/>
      <c r="E909" s="18"/>
      <c r="F909" s="18"/>
      <c r="G909" s="7"/>
      <c r="H909" s="7"/>
      <c r="I909" s="7"/>
      <c r="J909" s="12"/>
      <c r="K909" s="8"/>
      <c r="Q909" s="8"/>
      <c r="Z909" s="9"/>
    </row>
    <row r="910" customFormat="false" ht="15.75" hidden="false" customHeight="false" outlineLevel="0" collapsed="false">
      <c r="A910" s="7"/>
      <c r="B910" s="16"/>
      <c r="C910" s="19"/>
      <c r="D910" s="18"/>
      <c r="E910" s="18"/>
      <c r="F910" s="18"/>
      <c r="G910" s="7"/>
      <c r="H910" s="7"/>
      <c r="I910" s="7"/>
      <c r="J910" s="12"/>
      <c r="K910" s="8"/>
      <c r="Q910" s="8"/>
      <c r="Z910" s="9"/>
    </row>
    <row r="911" customFormat="false" ht="15.75" hidden="false" customHeight="false" outlineLevel="0" collapsed="false">
      <c r="A911" s="7"/>
      <c r="B911" s="16"/>
      <c r="C911" s="19"/>
      <c r="D911" s="18"/>
      <c r="E911" s="18"/>
      <c r="F911" s="18"/>
      <c r="G911" s="7"/>
      <c r="H911" s="7"/>
      <c r="I911" s="7"/>
      <c r="J911" s="12"/>
      <c r="K911" s="8"/>
      <c r="Q911" s="8"/>
      <c r="Z911" s="9"/>
    </row>
    <row r="912" customFormat="false" ht="15.75" hidden="false" customHeight="false" outlineLevel="0" collapsed="false">
      <c r="A912" s="7"/>
      <c r="B912" s="16"/>
      <c r="C912" s="19"/>
      <c r="D912" s="18"/>
      <c r="E912" s="18"/>
      <c r="F912" s="18"/>
      <c r="G912" s="7"/>
      <c r="H912" s="7"/>
      <c r="I912" s="7"/>
      <c r="J912" s="12"/>
      <c r="K912" s="8"/>
      <c r="Q912" s="8"/>
      <c r="Z912" s="9"/>
    </row>
    <row r="913" customFormat="false" ht="15.75" hidden="false" customHeight="false" outlineLevel="0" collapsed="false">
      <c r="A913" s="7"/>
      <c r="B913" s="16"/>
      <c r="C913" s="19"/>
      <c r="D913" s="18"/>
      <c r="E913" s="18"/>
      <c r="F913" s="18"/>
      <c r="G913" s="7"/>
      <c r="H913" s="7"/>
      <c r="I913" s="7"/>
      <c r="J913" s="12"/>
      <c r="K913" s="8"/>
      <c r="Q913" s="8"/>
      <c r="Z913" s="9"/>
    </row>
    <row r="914" customFormat="false" ht="15.75" hidden="false" customHeight="false" outlineLevel="0" collapsed="false">
      <c r="A914" s="7"/>
      <c r="B914" s="16"/>
      <c r="C914" s="19"/>
      <c r="D914" s="18"/>
      <c r="E914" s="18"/>
      <c r="F914" s="18"/>
      <c r="G914" s="7"/>
      <c r="H914" s="7"/>
      <c r="I914" s="7"/>
      <c r="J914" s="12"/>
      <c r="K914" s="8"/>
      <c r="Q914" s="8"/>
      <c r="Z914" s="9"/>
    </row>
    <row r="915" customFormat="false" ht="15.75" hidden="false" customHeight="false" outlineLevel="0" collapsed="false">
      <c r="A915" s="7"/>
      <c r="B915" s="16"/>
      <c r="C915" s="19"/>
      <c r="D915" s="18"/>
      <c r="E915" s="18"/>
      <c r="F915" s="18"/>
      <c r="G915" s="7"/>
      <c r="H915" s="7"/>
      <c r="I915" s="7"/>
      <c r="J915" s="12"/>
      <c r="K915" s="8"/>
      <c r="Q915" s="8"/>
      <c r="Z915" s="9"/>
    </row>
    <row r="916" customFormat="false" ht="15.75" hidden="false" customHeight="false" outlineLevel="0" collapsed="false">
      <c r="A916" s="7"/>
      <c r="B916" s="16"/>
      <c r="C916" s="19"/>
      <c r="D916" s="18"/>
      <c r="E916" s="18"/>
      <c r="F916" s="18"/>
      <c r="G916" s="7"/>
      <c r="H916" s="7"/>
      <c r="I916" s="7"/>
      <c r="J916" s="12"/>
      <c r="K916" s="8"/>
      <c r="Q916" s="8"/>
      <c r="Z916" s="9"/>
    </row>
    <row r="917" customFormat="false" ht="15.75" hidden="false" customHeight="false" outlineLevel="0" collapsed="false">
      <c r="A917" s="7"/>
      <c r="B917" s="16"/>
      <c r="C917" s="19"/>
      <c r="D917" s="18"/>
      <c r="E917" s="18"/>
      <c r="F917" s="18"/>
      <c r="G917" s="7"/>
      <c r="H917" s="7"/>
      <c r="I917" s="7"/>
      <c r="J917" s="12"/>
      <c r="K917" s="8"/>
      <c r="Q917" s="8"/>
      <c r="Z917" s="9"/>
    </row>
    <row r="918" customFormat="false" ht="15.75" hidden="false" customHeight="false" outlineLevel="0" collapsed="false">
      <c r="A918" s="7"/>
      <c r="B918" s="16"/>
      <c r="C918" s="19"/>
      <c r="D918" s="18"/>
      <c r="E918" s="18"/>
      <c r="F918" s="18"/>
      <c r="G918" s="7"/>
      <c r="H918" s="7"/>
      <c r="I918" s="7"/>
      <c r="J918" s="12"/>
      <c r="K918" s="8"/>
      <c r="Q918" s="8"/>
      <c r="Z918" s="9"/>
    </row>
    <row r="919" customFormat="false" ht="15.75" hidden="false" customHeight="false" outlineLevel="0" collapsed="false">
      <c r="A919" s="7"/>
      <c r="B919" s="16"/>
      <c r="C919" s="19"/>
      <c r="D919" s="18"/>
      <c r="E919" s="18"/>
      <c r="F919" s="18"/>
      <c r="G919" s="7"/>
      <c r="H919" s="7"/>
      <c r="I919" s="7"/>
      <c r="J919" s="12"/>
      <c r="K919" s="8"/>
      <c r="Q919" s="8"/>
      <c r="Z919" s="9"/>
    </row>
    <row r="920" customFormat="false" ht="15.75" hidden="false" customHeight="false" outlineLevel="0" collapsed="false">
      <c r="A920" s="7"/>
      <c r="B920" s="16"/>
      <c r="C920" s="19"/>
      <c r="D920" s="18"/>
      <c r="E920" s="18"/>
      <c r="F920" s="18"/>
      <c r="G920" s="7"/>
      <c r="H920" s="7"/>
      <c r="I920" s="7"/>
      <c r="J920" s="12"/>
      <c r="K920" s="8"/>
      <c r="Q920" s="8"/>
      <c r="Z920" s="9"/>
    </row>
    <row r="921" customFormat="false" ht="15.75" hidden="false" customHeight="false" outlineLevel="0" collapsed="false">
      <c r="A921" s="7"/>
      <c r="B921" s="16"/>
      <c r="C921" s="19"/>
      <c r="D921" s="18"/>
      <c r="E921" s="18"/>
      <c r="F921" s="18"/>
      <c r="G921" s="7"/>
      <c r="H921" s="7"/>
      <c r="I921" s="7"/>
      <c r="J921" s="12"/>
      <c r="K921" s="8"/>
      <c r="Q921" s="8"/>
      <c r="Z921" s="9"/>
    </row>
    <row r="922" customFormat="false" ht="15.75" hidden="false" customHeight="false" outlineLevel="0" collapsed="false">
      <c r="A922" s="7"/>
      <c r="B922" s="16"/>
      <c r="C922" s="19"/>
      <c r="D922" s="18"/>
      <c r="E922" s="18"/>
      <c r="F922" s="18"/>
      <c r="G922" s="7"/>
      <c r="H922" s="7"/>
      <c r="I922" s="7"/>
      <c r="J922" s="12"/>
      <c r="K922" s="8"/>
      <c r="Q922" s="8"/>
      <c r="Z922" s="9"/>
    </row>
    <row r="923" customFormat="false" ht="15.75" hidden="false" customHeight="false" outlineLevel="0" collapsed="false">
      <c r="A923" s="7"/>
      <c r="B923" s="16"/>
      <c r="C923" s="19"/>
      <c r="D923" s="18"/>
      <c r="E923" s="18"/>
      <c r="F923" s="18"/>
      <c r="G923" s="7"/>
      <c r="H923" s="7"/>
      <c r="I923" s="7"/>
      <c r="J923" s="12"/>
      <c r="K923" s="8"/>
      <c r="Q923" s="8"/>
      <c r="Z923" s="9"/>
    </row>
    <row r="924" customFormat="false" ht="15.75" hidden="false" customHeight="false" outlineLevel="0" collapsed="false">
      <c r="A924" s="7"/>
      <c r="B924" s="16"/>
      <c r="C924" s="19"/>
      <c r="D924" s="18"/>
      <c r="E924" s="18"/>
      <c r="F924" s="18"/>
      <c r="G924" s="7"/>
      <c r="H924" s="7"/>
      <c r="I924" s="7"/>
      <c r="J924" s="12"/>
      <c r="K924" s="8"/>
      <c r="Q924" s="8"/>
      <c r="Z924" s="9"/>
    </row>
    <row r="925" customFormat="false" ht="15.75" hidden="false" customHeight="false" outlineLevel="0" collapsed="false">
      <c r="A925" s="7"/>
      <c r="B925" s="16"/>
      <c r="C925" s="19"/>
      <c r="D925" s="18"/>
      <c r="E925" s="18"/>
      <c r="F925" s="18"/>
      <c r="G925" s="7"/>
      <c r="H925" s="7"/>
      <c r="I925" s="7"/>
      <c r="J925" s="12"/>
      <c r="K925" s="8"/>
      <c r="Q925" s="8"/>
      <c r="Z925" s="9"/>
    </row>
    <row r="926" customFormat="false" ht="15.75" hidden="false" customHeight="false" outlineLevel="0" collapsed="false">
      <c r="A926" s="7"/>
      <c r="B926" s="16"/>
      <c r="C926" s="19"/>
      <c r="D926" s="18"/>
      <c r="E926" s="18"/>
      <c r="F926" s="18"/>
      <c r="G926" s="7"/>
      <c r="H926" s="7"/>
      <c r="I926" s="7"/>
      <c r="J926" s="12"/>
      <c r="K926" s="8"/>
      <c r="Q926" s="8"/>
      <c r="Z926" s="9"/>
    </row>
    <row r="927" customFormat="false" ht="15.75" hidden="false" customHeight="false" outlineLevel="0" collapsed="false">
      <c r="A927" s="7"/>
      <c r="B927" s="16"/>
      <c r="C927" s="19"/>
      <c r="D927" s="18"/>
      <c r="E927" s="18"/>
      <c r="F927" s="18"/>
      <c r="G927" s="7"/>
      <c r="H927" s="7"/>
      <c r="I927" s="7"/>
      <c r="J927" s="12"/>
      <c r="K927" s="8"/>
      <c r="Q927" s="8"/>
      <c r="Z927" s="9"/>
    </row>
    <row r="928" customFormat="false" ht="15.75" hidden="false" customHeight="false" outlineLevel="0" collapsed="false">
      <c r="A928" s="7"/>
      <c r="B928" s="16"/>
      <c r="C928" s="19"/>
      <c r="D928" s="18"/>
      <c r="E928" s="18"/>
      <c r="F928" s="18"/>
      <c r="G928" s="7"/>
      <c r="H928" s="7"/>
      <c r="I928" s="7"/>
      <c r="J928" s="12"/>
      <c r="K928" s="8"/>
      <c r="Q928" s="8"/>
      <c r="Z928" s="9"/>
    </row>
    <row r="929" customFormat="false" ht="15.75" hidden="false" customHeight="false" outlineLevel="0" collapsed="false">
      <c r="A929" s="7"/>
      <c r="B929" s="16"/>
      <c r="C929" s="19"/>
      <c r="D929" s="18"/>
      <c r="E929" s="18"/>
      <c r="F929" s="18"/>
      <c r="G929" s="7"/>
      <c r="H929" s="7"/>
      <c r="I929" s="7"/>
      <c r="J929" s="12"/>
      <c r="K929" s="8"/>
      <c r="Q929" s="8"/>
      <c r="Z929" s="9"/>
    </row>
    <row r="930" customFormat="false" ht="15.75" hidden="false" customHeight="false" outlineLevel="0" collapsed="false">
      <c r="A930" s="7"/>
      <c r="B930" s="16"/>
      <c r="C930" s="19"/>
      <c r="D930" s="18"/>
      <c r="E930" s="18"/>
      <c r="F930" s="18"/>
      <c r="G930" s="7"/>
      <c r="H930" s="7"/>
      <c r="I930" s="7"/>
      <c r="J930" s="12"/>
      <c r="K930" s="8"/>
      <c r="Q930" s="8"/>
      <c r="Z930" s="9"/>
    </row>
    <row r="931" customFormat="false" ht="15.75" hidden="false" customHeight="false" outlineLevel="0" collapsed="false">
      <c r="A931" s="7"/>
      <c r="B931" s="16"/>
      <c r="C931" s="19"/>
      <c r="D931" s="18"/>
      <c r="E931" s="18"/>
      <c r="F931" s="18"/>
      <c r="G931" s="7"/>
      <c r="H931" s="7"/>
      <c r="I931" s="7"/>
      <c r="J931" s="12"/>
      <c r="K931" s="8"/>
      <c r="Q931" s="8"/>
      <c r="Z931" s="9"/>
    </row>
    <row r="932" customFormat="false" ht="15.75" hidden="false" customHeight="false" outlineLevel="0" collapsed="false">
      <c r="A932" s="7"/>
      <c r="B932" s="16"/>
      <c r="C932" s="19"/>
      <c r="D932" s="18"/>
      <c r="E932" s="18"/>
      <c r="F932" s="18"/>
      <c r="G932" s="7"/>
      <c r="H932" s="7"/>
      <c r="I932" s="7"/>
      <c r="J932" s="12"/>
      <c r="K932" s="8"/>
      <c r="Q932" s="8"/>
      <c r="Z932" s="9"/>
    </row>
    <row r="933" customFormat="false" ht="15.75" hidden="false" customHeight="false" outlineLevel="0" collapsed="false">
      <c r="A933" s="7"/>
      <c r="B933" s="16"/>
      <c r="C933" s="19"/>
      <c r="D933" s="18"/>
      <c r="E933" s="18"/>
      <c r="F933" s="18"/>
      <c r="G933" s="7"/>
      <c r="H933" s="7"/>
      <c r="I933" s="7"/>
      <c r="J933" s="12"/>
      <c r="K933" s="8"/>
      <c r="Q933" s="8"/>
      <c r="Z933" s="9"/>
    </row>
    <row r="934" customFormat="false" ht="15.75" hidden="false" customHeight="false" outlineLevel="0" collapsed="false">
      <c r="A934" s="7"/>
      <c r="B934" s="16"/>
      <c r="C934" s="19"/>
      <c r="D934" s="18"/>
      <c r="E934" s="18"/>
      <c r="F934" s="18"/>
      <c r="G934" s="7"/>
      <c r="H934" s="7"/>
      <c r="I934" s="7"/>
      <c r="J934" s="12"/>
      <c r="K934" s="8"/>
      <c r="Q934" s="8"/>
      <c r="Z934" s="9"/>
    </row>
    <row r="935" customFormat="false" ht="15.75" hidden="false" customHeight="false" outlineLevel="0" collapsed="false">
      <c r="A935" s="7"/>
      <c r="B935" s="16"/>
      <c r="C935" s="19"/>
      <c r="D935" s="18"/>
      <c r="E935" s="18"/>
      <c r="F935" s="18"/>
      <c r="G935" s="7"/>
      <c r="H935" s="7"/>
      <c r="I935" s="7"/>
      <c r="J935" s="12"/>
      <c r="K935" s="8"/>
      <c r="Q935" s="8"/>
      <c r="Z935" s="9"/>
    </row>
    <row r="936" customFormat="false" ht="15.75" hidden="false" customHeight="false" outlineLevel="0" collapsed="false">
      <c r="A936" s="7"/>
      <c r="B936" s="16"/>
      <c r="C936" s="19"/>
      <c r="D936" s="18"/>
      <c r="E936" s="18"/>
      <c r="F936" s="18"/>
      <c r="G936" s="7"/>
      <c r="H936" s="7"/>
      <c r="I936" s="7"/>
      <c r="J936" s="12"/>
      <c r="K936" s="8"/>
      <c r="Q936" s="8"/>
      <c r="Z936" s="9"/>
    </row>
    <row r="937" customFormat="false" ht="15.75" hidden="false" customHeight="false" outlineLevel="0" collapsed="false">
      <c r="A937" s="7"/>
      <c r="B937" s="16"/>
      <c r="C937" s="19"/>
      <c r="D937" s="18"/>
      <c r="E937" s="18"/>
      <c r="F937" s="18"/>
      <c r="G937" s="7"/>
      <c r="H937" s="7"/>
      <c r="I937" s="7"/>
      <c r="J937" s="12"/>
      <c r="K937" s="8"/>
      <c r="Q937" s="8"/>
      <c r="Z937" s="9"/>
    </row>
    <row r="938" customFormat="false" ht="15.75" hidden="false" customHeight="false" outlineLevel="0" collapsed="false">
      <c r="A938" s="7"/>
      <c r="B938" s="16"/>
      <c r="C938" s="19"/>
      <c r="D938" s="18"/>
      <c r="E938" s="18"/>
      <c r="F938" s="18"/>
      <c r="G938" s="7"/>
      <c r="H938" s="7"/>
      <c r="I938" s="7"/>
      <c r="J938" s="12"/>
      <c r="K938" s="8"/>
      <c r="Q938" s="8"/>
      <c r="Z938" s="9"/>
    </row>
    <row r="939" customFormat="false" ht="15.75" hidden="false" customHeight="false" outlineLevel="0" collapsed="false">
      <c r="A939" s="7"/>
      <c r="B939" s="16"/>
      <c r="C939" s="19"/>
      <c r="D939" s="18"/>
      <c r="E939" s="18"/>
      <c r="F939" s="18"/>
      <c r="G939" s="7"/>
      <c r="H939" s="7"/>
      <c r="I939" s="7"/>
      <c r="J939" s="12"/>
      <c r="K939" s="8"/>
      <c r="Q939" s="8"/>
      <c r="Z939" s="9"/>
    </row>
    <row r="940" customFormat="false" ht="15.75" hidden="false" customHeight="false" outlineLevel="0" collapsed="false">
      <c r="A940" s="7"/>
      <c r="B940" s="16"/>
      <c r="C940" s="19"/>
      <c r="D940" s="18"/>
      <c r="E940" s="18"/>
      <c r="F940" s="18"/>
      <c r="G940" s="7"/>
      <c r="H940" s="7"/>
      <c r="I940" s="7"/>
      <c r="J940" s="12"/>
      <c r="K940" s="8"/>
      <c r="Q940" s="8"/>
      <c r="Z940" s="9"/>
    </row>
    <row r="941" customFormat="false" ht="15.75" hidden="false" customHeight="false" outlineLevel="0" collapsed="false">
      <c r="A941" s="7"/>
      <c r="B941" s="16"/>
      <c r="C941" s="19"/>
      <c r="D941" s="18"/>
      <c r="E941" s="18"/>
      <c r="F941" s="18"/>
      <c r="G941" s="7"/>
      <c r="H941" s="7"/>
      <c r="I941" s="7"/>
      <c r="J941" s="12"/>
      <c r="K941" s="8"/>
      <c r="Q941" s="8"/>
      <c r="Z941" s="9"/>
    </row>
    <row r="942" customFormat="false" ht="15.75" hidden="false" customHeight="false" outlineLevel="0" collapsed="false">
      <c r="A942" s="7"/>
      <c r="B942" s="16"/>
      <c r="C942" s="19"/>
      <c r="D942" s="18"/>
      <c r="E942" s="18"/>
      <c r="F942" s="18"/>
      <c r="G942" s="7"/>
      <c r="H942" s="7"/>
      <c r="I942" s="7"/>
      <c r="J942" s="12"/>
      <c r="K942" s="8"/>
      <c r="Q942" s="8"/>
      <c r="Z942" s="9"/>
    </row>
    <row r="943" customFormat="false" ht="15.75" hidden="false" customHeight="false" outlineLevel="0" collapsed="false">
      <c r="A943" s="7"/>
      <c r="B943" s="16"/>
      <c r="C943" s="19"/>
      <c r="D943" s="18"/>
      <c r="E943" s="18"/>
      <c r="F943" s="18"/>
      <c r="G943" s="7"/>
      <c r="H943" s="7"/>
      <c r="I943" s="7"/>
      <c r="J943" s="12"/>
      <c r="K943" s="8"/>
      <c r="Q943" s="8"/>
      <c r="Z943" s="9"/>
    </row>
    <row r="944" customFormat="false" ht="15.75" hidden="false" customHeight="false" outlineLevel="0" collapsed="false">
      <c r="A944" s="7"/>
      <c r="B944" s="16"/>
      <c r="C944" s="19"/>
      <c r="D944" s="18"/>
      <c r="E944" s="18"/>
      <c r="F944" s="18"/>
      <c r="G944" s="7"/>
      <c r="H944" s="7"/>
      <c r="I944" s="7"/>
      <c r="J944" s="12"/>
      <c r="K944" s="8"/>
      <c r="Q944" s="8"/>
      <c r="Z944" s="9"/>
    </row>
    <row r="945" customFormat="false" ht="15.75" hidden="false" customHeight="false" outlineLevel="0" collapsed="false">
      <c r="A945" s="7"/>
      <c r="B945" s="16"/>
      <c r="C945" s="19"/>
      <c r="D945" s="18"/>
      <c r="E945" s="18"/>
      <c r="F945" s="18"/>
      <c r="G945" s="7"/>
      <c r="H945" s="7"/>
      <c r="I945" s="7"/>
      <c r="J945" s="12"/>
      <c r="K945" s="8"/>
      <c r="Q945" s="8"/>
      <c r="Z945" s="9"/>
    </row>
    <row r="946" customFormat="false" ht="15.75" hidden="false" customHeight="false" outlineLevel="0" collapsed="false">
      <c r="A946" s="7"/>
      <c r="B946" s="16"/>
      <c r="C946" s="19"/>
      <c r="D946" s="18"/>
      <c r="E946" s="18"/>
      <c r="F946" s="18"/>
      <c r="G946" s="7"/>
      <c r="H946" s="7"/>
      <c r="I946" s="7"/>
      <c r="J946" s="12"/>
      <c r="K946" s="8"/>
      <c r="Q946" s="8"/>
      <c r="Z946" s="9"/>
    </row>
    <row r="947" customFormat="false" ht="15.75" hidden="false" customHeight="false" outlineLevel="0" collapsed="false">
      <c r="A947" s="7"/>
      <c r="B947" s="16"/>
      <c r="C947" s="19"/>
      <c r="D947" s="18"/>
      <c r="E947" s="18"/>
      <c r="F947" s="18"/>
      <c r="G947" s="7"/>
      <c r="H947" s="7"/>
      <c r="I947" s="7"/>
      <c r="J947" s="12"/>
      <c r="K947" s="8"/>
      <c r="Q947" s="8"/>
      <c r="Z947" s="9"/>
    </row>
    <row r="948" customFormat="false" ht="15.75" hidden="false" customHeight="false" outlineLevel="0" collapsed="false">
      <c r="A948" s="7"/>
      <c r="B948" s="16"/>
      <c r="C948" s="19"/>
      <c r="D948" s="18"/>
      <c r="E948" s="18"/>
      <c r="F948" s="18"/>
      <c r="G948" s="7"/>
      <c r="H948" s="7"/>
      <c r="I948" s="7"/>
      <c r="J948" s="12"/>
      <c r="K948" s="8"/>
      <c r="Q948" s="8"/>
      <c r="Z948" s="9"/>
    </row>
    <row r="949" customFormat="false" ht="15.75" hidden="false" customHeight="false" outlineLevel="0" collapsed="false">
      <c r="A949" s="7"/>
      <c r="B949" s="16"/>
      <c r="C949" s="19"/>
      <c r="D949" s="18"/>
      <c r="E949" s="18"/>
      <c r="F949" s="18"/>
      <c r="G949" s="7"/>
      <c r="H949" s="7"/>
      <c r="I949" s="7"/>
      <c r="J949" s="12"/>
      <c r="K949" s="8"/>
      <c r="Q949" s="8"/>
      <c r="Z949" s="9"/>
    </row>
    <row r="950" customFormat="false" ht="15.75" hidden="false" customHeight="false" outlineLevel="0" collapsed="false">
      <c r="A950" s="7"/>
      <c r="B950" s="16"/>
      <c r="C950" s="19"/>
      <c r="D950" s="18"/>
      <c r="E950" s="18"/>
      <c r="F950" s="18"/>
      <c r="G950" s="7"/>
      <c r="H950" s="7"/>
      <c r="I950" s="7"/>
      <c r="J950" s="12"/>
      <c r="K950" s="8"/>
      <c r="Q950" s="8"/>
      <c r="Z950" s="9"/>
    </row>
    <row r="951" customFormat="false" ht="15.75" hidden="false" customHeight="false" outlineLevel="0" collapsed="false">
      <c r="A951" s="7"/>
      <c r="B951" s="16"/>
      <c r="C951" s="19"/>
      <c r="D951" s="18"/>
      <c r="E951" s="18"/>
      <c r="F951" s="18"/>
      <c r="G951" s="7"/>
      <c r="H951" s="7"/>
      <c r="I951" s="7"/>
      <c r="J951" s="12"/>
      <c r="K951" s="8"/>
      <c r="Q951" s="8"/>
      <c r="Z951" s="9"/>
    </row>
    <row r="952" customFormat="false" ht="15.75" hidden="false" customHeight="false" outlineLevel="0" collapsed="false">
      <c r="A952" s="7"/>
      <c r="B952" s="16"/>
      <c r="C952" s="19"/>
      <c r="D952" s="18"/>
      <c r="E952" s="18"/>
      <c r="F952" s="18"/>
      <c r="G952" s="7"/>
      <c r="H952" s="7"/>
      <c r="I952" s="7"/>
      <c r="J952" s="12"/>
      <c r="K952" s="8"/>
      <c r="Q952" s="8"/>
      <c r="Z952" s="9"/>
    </row>
    <row r="953" customFormat="false" ht="15.75" hidden="false" customHeight="false" outlineLevel="0" collapsed="false">
      <c r="A953" s="7"/>
      <c r="B953" s="16"/>
      <c r="C953" s="19"/>
      <c r="D953" s="18"/>
      <c r="E953" s="18"/>
      <c r="F953" s="18"/>
      <c r="G953" s="7"/>
      <c r="H953" s="7"/>
      <c r="I953" s="7"/>
      <c r="J953" s="12"/>
      <c r="K953" s="8"/>
      <c r="Q953" s="8"/>
      <c r="Z953" s="9"/>
    </row>
    <row r="954" customFormat="false" ht="15.75" hidden="false" customHeight="false" outlineLevel="0" collapsed="false">
      <c r="A954" s="7"/>
      <c r="B954" s="16"/>
      <c r="C954" s="19"/>
      <c r="D954" s="18"/>
      <c r="E954" s="18"/>
      <c r="F954" s="18"/>
      <c r="G954" s="7"/>
      <c r="H954" s="7"/>
      <c r="I954" s="7"/>
      <c r="J954" s="12"/>
      <c r="K954" s="8"/>
      <c r="Q954" s="8"/>
      <c r="Z954" s="9"/>
    </row>
    <row r="955" customFormat="false" ht="15.75" hidden="false" customHeight="false" outlineLevel="0" collapsed="false">
      <c r="A955" s="7"/>
      <c r="B955" s="16"/>
      <c r="C955" s="19"/>
      <c r="D955" s="18"/>
      <c r="E955" s="18"/>
      <c r="F955" s="18"/>
      <c r="G955" s="7"/>
      <c r="H955" s="7"/>
      <c r="I955" s="7"/>
      <c r="J955" s="12"/>
      <c r="K955" s="8"/>
      <c r="Q955" s="8"/>
      <c r="Z955" s="9"/>
    </row>
    <row r="956" customFormat="false" ht="15.75" hidden="false" customHeight="false" outlineLevel="0" collapsed="false">
      <c r="A956" s="7"/>
      <c r="B956" s="16"/>
      <c r="C956" s="19"/>
      <c r="D956" s="18"/>
      <c r="E956" s="18"/>
      <c r="F956" s="18"/>
      <c r="G956" s="7"/>
      <c r="H956" s="7"/>
      <c r="I956" s="7"/>
      <c r="J956" s="12"/>
      <c r="K956" s="8"/>
      <c r="Q956" s="8"/>
      <c r="Z956" s="9"/>
    </row>
    <row r="957" customFormat="false" ht="15.75" hidden="false" customHeight="false" outlineLevel="0" collapsed="false">
      <c r="A957" s="7"/>
      <c r="B957" s="16"/>
      <c r="C957" s="19"/>
      <c r="D957" s="18"/>
      <c r="E957" s="18"/>
      <c r="F957" s="18"/>
      <c r="G957" s="7"/>
      <c r="H957" s="7"/>
      <c r="I957" s="7"/>
      <c r="J957" s="12"/>
      <c r="K957" s="8"/>
      <c r="Q957" s="8"/>
      <c r="Z957" s="9"/>
    </row>
    <row r="958" customFormat="false" ht="15.75" hidden="false" customHeight="false" outlineLevel="0" collapsed="false">
      <c r="A958" s="7"/>
      <c r="B958" s="16"/>
      <c r="C958" s="19"/>
      <c r="D958" s="18"/>
      <c r="E958" s="18"/>
      <c r="F958" s="18"/>
      <c r="G958" s="7"/>
      <c r="H958" s="7"/>
      <c r="I958" s="7"/>
      <c r="J958" s="12"/>
      <c r="K958" s="8"/>
      <c r="Q958" s="8"/>
      <c r="Z958" s="9"/>
    </row>
    <row r="959" customFormat="false" ht="15.75" hidden="false" customHeight="false" outlineLevel="0" collapsed="false">
      <c r="A959" s="7"/>
      <c r="B959" s="16"/>
      <c r="C959" s="19"/>
      <c r="D959" s="18"/>
      <c r="E959" s="18"/>
      <c r="F959" s="18"/>
      <c r="G959" s="7"/>
      <c r="H959" s="7"/>
      <c r="I959" s="7"/>
      <c r="J959" s="12"/>
      <c r="K959" s="8"/>
      <c r="Q959" s="8"/>
      <c r="Z959" s="9"/>
    </row>
    <row r="960" customFormat="false" ht="15.75" hidden="false" customHeight="false" outlineLevel="0" collapsed="false">
      <c r="A960" s="7"/>
      <c r="B960" s="16"/>
      <c r="C960" s="19"/>
      <c r="D960" s="18"/>
      <c r="E960" s="18"/>
      <c r="F960" s="18"/>
      <c r="G960" s="7"/>
      <c r="H960" s="7"/>
      <c r="I960" s="7"/>
      <c r="J960" s="12"/>
      <c r="K960" s="8"/>
      <c r="Q960" s="8"/>
      <c r="Z960" s="9"/>
    </row>
    <row r="961" customFormat="false" ht="15.75" hidden="false" customHeight="false" outlineLevel="0" collapsed="false">
      <c r="A961" s="7"/>
      <c r="B961" s="16"/>
      <c r="C961" s="19"/>
      <c r="D961" s="18"/>
      <c r="E961" s="18"/>
      <c r="F961" s="18"/>
      <c r="G961" s="7"/>
      <c r="H961" s="7"/>
      <c r="I961" s="7"/>
      <c r="J961" s="12"/>
      <c r="K961" s="8"/>
      <c r="Q961" s="8"/>
      <c r="Z961" s="9"/>
    </row>
    <row r="962" customFormat="false" ht="15.75" hidden="false" customHeight="false" outlineLevel="0" collapsed="false">
      <c r="A962" s="7"/>
      <c r="B962" s="16"/>
      <c r="C962" s="19"/>
      <c r="D962" s="18"/>
      <c r="E962" s="18"/>
      <c r="F962" s="18"/>
      <c r="G962" s="7"/>
      <c r="H962" s="7"/>
      <c r="I962" s="7"/>
      <c r="J962" s="12"/>
      <c r="K962" s="8"/>
      <c r="Q962" s="8"/>
      <c r="Z962" s="9"/>
    </row>
    <row r="963" customFormat="false" ht="15.75" hidden="false" customHeight="false" outlineLevel="0" collapsed="false">
      <c r="A963" s="7"/>
      <c r="B963" s="16"/>
      <c r="C963" s="19"/>
      <c r="D963" s="18"/>
      <c r="E963" s="18"/>
      <c r="F963" s="18"/>
      <c r="G963" s="7"/>
      <c r="H963" s="7"/>
      <c r="I963" s="7"/>
      <c r="J963" s="12"/>
      <c r="K963" s="8"/>
      <c r="Q963" s="8"/>
      <c r="Z963" s="9"/>
    </row>
    <row r="964" customFormat="false" ht="15.75" hidden="false" customHeight="false" outlineLevel="0" collapsed="false">
      <c r="A964" s="7"/>
      <c r="B964" s="16"/>
      <c r="C964" s="19"/>
      <c r="D964" s="18"/>
      <c r="E964" s="18"/>
      <c r="F964" s="18"/>
      <c r="G964" s="7"/>
      <c r="H964" s="7"/>
      <c r="I964" s="7"/>
      <c r="J964" s="12"/>
      <c r="K964" s="8"/>
      <c r="Q964" s="8"/>
      <c r="Z964" s="9"/>
    </row>
    <row r="965" customFormat="false" ht="15.75" hidden="false" customHeight="false" outlineLevel="0" collapsed="false">
      <c r="A965" s="7"/>
      <c r="B965" s="16"/>
      <c r="C965" s="19"/>
      <c r="D965" s="18"/>
      <c r="E965" s="18"/>
      <c r="F965" s="18"/>
      <c r="G965" s="7"/>
      <c r="H965" s="7"/>
      <c r="I965" s="7"/>
      <c r="J965" s="12"/>
      <c r="K965" s="8"/>
      <c r="Q965" s="8"/>
      <c r="Z965" s="9"/>
    </row>
    <row r="966" customFormat="false" ht="15.75" hidden="false" customHeight="false" outlineLevel="0" collapsed="false">
      <c r="A966" s="7"/>
      <c r="B966" s="16"/>
      <c r="C966" s="19"/>
      <c r="D966" s="18"/>
      <c r="E966" s="18"/>
      <c r="F966" s="18"/>
      <c r="G966" s="7"/>
      <c r="H966" s="7"/>
      <c r="I966" s="7"/>
      <c r="J966" s="12"/>
      <c r="K966" s="8"/>
      <c r="Q966" s="8"/>
      <c r="Z966" s="9"/>
    </row>
    <row r="967" customFormat="false" ht="15.75" hidden="false" customHeight="false" outlineLevel="0" collapsed="false">
      <c r="A967" s="7"/>
      <c r="B967" s="16"/>
      <c r="C967" s="19"/>
      <c r="D967" s="18"/>
      <c r="E967" s="18"/>
      <c r="F967" s="18"/>
      <c r="G967" s="7"/>
      <c r="H967" s="7"/>
      <c r="I967" s="7"/>
      <c r="J967" s="12"/>
      <c r="K967" s="8"/>
      <c r="Q967" s="8"/>
      <c r="Z967" s="9"/>
    </row>
    <row r="968" customFormat="false" ht="15.75" hidden="false" customHeight="false" outlineLevel="0" collapsed="false">
      <c r="A968" s="7"/>
      <c r="B968" s="16"/>
      <c r="C968" s="19"/>
      <c r="D968" s="18"/>
      <c r="E968" s="18"/>
      <c r="F968" s="18"/>
      <c r="G968" s="7"/>
      <c r="H968" s="7"/>
      <c r="I968" s="7"/>
      <c r="J968" s="12"/>
      <c r="K968" s="8"/>
      <c r="Q968" s="8"/>
      <c r="Z968" s="9"/>
    </row>
    <row r="969" customFormat="false" ht="15.75" hidden="false" customHeight="false" outlineLevel="0" collapsed="false">
      <c r="A969" s="7"/>
      <c r="B969" s="16"/>
      <c r="C969" s="19"/>
      <c r="D969" s="18"/>
      <c r="E969" s="18"/>
      <c r="F969" s="18"/>
      <c r="G969" s="7"/>
      <c r="H969" s="7"/>
      <c r="I969" s="7"/>
      <c r="J969" s="12"/>
      <c r="K969" s="8"/>
      <c r="Q969" s="8"/>
      <c r="Z969" s="9"/>
    </row>
    <row r="970" customFormat="false" ht="15.75" hidden="false" customHeight="false" outlineLevel="0" collapsed="false">
      <c r="A970" s="7"/>
      <c r="B970" s="16"/>
      <c r="C970" s="19"/>
      <c r="D970" s="18"/>
      <c r="E970" s="18"/>
      <c r="F970" s="18"/>
      <c r="G970" s="7"/>
      <c r="H970" s="7"/>
      <c r="I970" s="7"/>
      <c r="J970" s="12"/>
      <c r="K970" s="8"/>
      <c r="Q970" s="8"/>
      <c r="Z970" s="9"/>
    </row>
    <row r="971" customFormat="false" ht="15.75" hidden="false" customHeight="false" outlineLevel="0" collapsed="false">
      <c r="A971" s="7"/>
      <c r="B971" s="16"/>
      <c r="C971" s="19"/>
      <c r="D971" s="18"/>
      <c r="E971" s="18"/>
      <c r="F971" s="18"/>
      <c r="G971" s="7"/>
      <c r="H971" s="7"/>
      <c r="I971" s="7"/>
      <c r="J971" s="12"/>
      <c r="K971" s="8"/>
      <c r="Q971" s="8"/>
      <c r="Z971" s="9"/>
    </row>
    <row r="972" customFormat="false" ht="15.75" hidden="false" customHeight="false" outlineLevel="0" collapsed="false">
      <c r="A972" s="7"/>
      <c r="B972" s="16"/>
      <c r="C972" s="19"/>
      <c r="D972" s="18"/>
      <c r="E972" s="18"/>
      <c r="F972" s="18"/>
      <c r="G972" s="7"/>
      <c r="H972" s="7"/>
      <c r="I972" s="7"/>
      <c r="J972" s="12"/>
      <c r="K972" s="8"/>
      <c r="Q972" s="8"/>
      <c r="Z972" s="9"/>
    </row>
    <row r="973" customFormat="false" ht="15.75" hidden="false" customHeight="false" outlineLevel="0" collapsed="false">
      <c r="A973" s="7"/>
      <c r="B973" s="16"/>
      <c r="C973" s="19"/>
      <c r="D973" s="18"/>
      <c r="E973" s="18"/>
      <c r="F973" s="18"/>
      <c r="G973" s="7"/>
      <c r="H973" s="7"/>
      <c r="I973" s="7"/>
      <c r="J973" s="12"/>
      <c r="K973" s="8"/>
      <c r="Q973" s="8"/>
      <c r="Z973" s="9"/>
    </row>
    <row r="974" customFormat="false" ht="15.75" hidden="false" customHeight="false" outlineLevel="0" collapsed="false">
      <c r="A974" s="7"/>
      <c r="B974" s="16"/>
      <c r="C974" s="19"/>
      <c r="D974" s="18"/>
      <c r="E974" s="18"/>
      <c r="F974" s="18"/>
      <c r="G974" s="7"/>
      <c r="H974" s="7"/>
      <c r="I974" s="7"/>
      <c r="J974" s="12"/>
      <c r="K974" s="8"/>
      <c r="Q974" s="8"/>
      <c r="Z974" s="9"/>
    </row>
    <row r="975" customFormat="false" ht="15.75" hidden="false" customHeight="false" outlineLevel="0" collapsed="false">
      <c r="A975" s="7"/>
      <c r="B975" s="16"/>
      <c r="C975" s="19"/>
      <c r="D975" s="18"/>
      <c r="E975" s="18"/>
      <c r="F975" s="18"/>
      <c r="G975" s="7"/>
      <c r="H975" s="7"/>
      <c r="I975" s="7"/>
      <c r="J975" s="12"/>
      <c r="K975" s="8"/>
      <c r="Q975" s="8"/>
      <c r="Z975" s="9"/>
    </row>
    <row r="976" customFormat="false" ht="15.75" hidden="false" customHeight="false" outlineLevel="0" collapsed="false">
      <c r="A976" s="7"/>
      <c r="B976" s="16"/>
      <c r="C976" s="19"/>
      <c r="D976" s="18"/>
      <c r="E976" s="18"/>
      <c r="F976" s="18"/>
      <c r="G976" s="7"/>
      <c r="H976" s="7"/>
      <c r="I976" s="7"/>
      <c r="J976" s="12"/>
      <c r="K976" s="8"/>
      <c r="Q976" s="8"/>
      <c r="Z976" s="9"/>
    </row>
    <row r="977" customFormat="false" ht="15.75" hidden="false" customHeight="false" outlineLevel="0" collapsed="false">
      <c r="A977" s="7"/>
      <c r="B977" s="16"/>
      <c r="C977" s="19"/>
      <c r="D977" s="18"/>
      <c r="E977" s="18"/>
      <c r="F977" s="18"/>
      <c r="G977" s="7"/>
      <c r="H977" s="7"/>
      <c r="I977" s="7"/>
      <c r="J977" s="12"/>
      <c r="K977" s="8"/>
      <c r="Q977" s="8"/>
      <c r="Z977" s="9"/>
    </row>
    <row r="978" customFormat="false" ht="15.75" hidden="false" customHeight="false" outlineLevel="0" collapsed="false">
      <c r="A978" s="7"/>
      <c r="B978" s="16"/>
      <c r="C978" s="19"/>
      <c r="D978" s="18"/>
      <c r="E978" s="18"/>
      <c r="F978" s="18"/>
      <c r="G978" s="7"/>
      <c r="H978" s="7"/>
      <c r="I978" s="7"/>
      <c r="J978" s="12"/>
      <c r="K978" s="8"/>
      <c r="Q978" s="8"/>
      <c r="Z978" s="9"/>
    </row>
    <row r="979" customFormat="false" ht="15.75" hidden="false" customHeight="false" outlineLevel="0" collapsed="false">
      <c r="A979" s="7"/>
      <c r="B979" s="16"/>
      <c r="C979" s="19"/>
      <c r="D979" s="18"/>
      <c r="E979" s="18"/>
      <c r="F979" s="18"/>
      <c r="G979" s="7"/>
      <c r="H979" s="7"/>
      <c r="I979" s="7"/>
      <c r="J979" s="12"/>
      <c r="K979" s="8"/>
      <c r="Q979" s="8"/>
      <c r="Z979" s="9"/>
    </row>
    <row r="980" customFormat="false" ht="15.75" hidden="false" customHeight="false" outlineLevel="0" collapsed="false">
      <c r="A980" s="7"/>
      <c r="B980" s="16"/>
      <c r="C980" s="19"/>
      <c r="D980" s="18"/>
      <c r="E980" s="18"/>
      <c r="F980" s="18"/>
      <c r="G980" s="7"/>
      <c r="H980" s="7"/>
      <c r="I980" s="7"/>
      <c r="J980" s="12"/>
      <c r="K980" s="8"/>
      <c r="Q980" s="8"/>
      <c r="Z980" s="9"/>
    </row>
    <row r="981" customFormat="false" ht="15.75" hidden="false" customHeight="false" outlineLevel="0" collapsed="false">
      <c r="A981" s="7"/>
      <c r="B981" s="16"/>
      <c r="C981" s="19"/>
      <c r="D981" s="18"/>
      <c r="E981" s="18"/>
      <c r="F981" s="18"/>
      <c r="G981" s="7"/>
      <c r="H981" s="7"/>
      <c r="I981" s="7"/>
      <c r="J981" s="12"/>
      <c r="K981" s="8"/>
      <c r="Q981" s="8"/>
      <c r="Z981" s="9"/>
    </row>
    <row r="982" customFormat="false" ht="15.75" hidden="false" customHeight="false" outlineLevel="0" collapsed="false">
      <c r="A982" s="7"/>
      <c r="B982" s="16"/>
      <c r="C982" s="19"/>
      <c r="D982" s="18"/>
      <c r="E982" s="18"/>
      <c r="F982" s="18"/>
      <c r="G982" s="7"/>
      <c r="H982" s="7"/>
      <c r="I982" s="7"/>
      <c r="J982" s="12"/>
      <c r="K982" s="8"/>
      <c r="Q982" s="8"/>
      <c r="Z982" s="9"/>
    </row>
    <row r="983" customFormat="false" ht="15.75" hidden="false" customHeight="false" outlineLevel="0" collapsed="false">
      <c r="A983" s="7"/>
      <c r="B983" s="16"/>
      <c r="C983" s="19"/>
      <c r="D983" s="18"/>
      <c r="E983" s="18"/>
      <c r="F983" s="18"/>
      <c r="G983" s="7"/>
      <c r="H983" s="7"/>
      <c r="I983" s="7"/>
      <c r="J983" s="12"/>
      <c r="K983" s="8"/>
      <c r="Q983" s="8"/>
      <c r="Z983" s="9"/>
    </row>
    <row r="984" customFormat="false" ht="15.75" hidden="false" customHeight="false" outlineLevel="0" collapsed="false">
      <c r="A984" s="7"/>
      <c r="B984" s="16"/>
      <c r="C984" s="19"/>
      <c r="D984" s="18"/>
      <c r="E984" s="18"/>
      <c r="F984" s="18"/>
      <c r="G984" s="7"/>
      <c r="H984" s="7"/>
      <c r="I984" s="7"/>
      <c r="J984" s="12"/>
      <c r="K984" s="8"/>
      <c r="Q984" s="8"/>
      <c r="Z984" s="9"/>
    </row>
    <row r="985" customFormat="false" ht="15.75" hidden="false" customHeight="false" outlineLevel="0" collapsed="false">
      <c r="A985" s="7"/>
      <c r="B985" s="16"/>
      <c r="C985" s="19"/>
      <c r="D985" s="18"/>
      <c r="E985" s="18"/>
      <c r="F985" s="18"/>
      <c r="G985" s="7"/>
      <c r="H985" s="7"/>
      <c r="I985" s="7"/>
      <c r="J985" s="12"/>
      <c r="K985" s="8"/>
      <c r="Q985" s="8"/>
      <c r="Z985" s="9"/>
    </row>
    <row r="986" customFormat="false" ht="15.75" hidden="false" customHeight="false" outlineLevel="0" collapsed="false">
      <c r="A986" s="7"/>
      <c r="B986" s="16"/>
      <c r="C986" s="19"/>
      <c r="D986" s="18"/>
      <c r="E986" s="18"/>
      <c r="F986" s="18"/>
      <c r="G986" s="7"/>
      <c r="H986" s="7"/>
      <c r="I986" s="7"/>
      <c r="J986" s="12"/>
      <c r="K986" s="8"/>
      <c r="Q986" s="8"/>
      <c r="Z986" s="9"/>
    </row>
    <row r="987" customFormat="false" ht="15.75" hidden="false" customHeight="false" outlineLevel="0" collapsed="false">
      <c r="A987" s="7"/>
      <c r="B987" s="16"/>
      <c r="C987" s="19"/>
      <c r="D987" s="18"/>
      <c r="E987" s="18"/>
      <c r="F987" s="18"/>
      <c r="G987" s="7"/>
      <c r="H987" s="7"/>
      <c r="I987" s="7"/>
      <c r="J987" s="12"/>
      <c r="K987" s="8"/>
      <c r="Q987" s="8"/>
      <c r="Z987" s="9"/>
    </row>
    <row r="988" customFormat="false" ht="15.75" hidden="false" customHeight="false" outlineLevel="0" collapsed="false">
      <c r="A988" s="7"/>
      <c r="B988" s="16"/>
      <c r="C988" s="19"/>
      <c r="D988" s="18"/>
      <c r="E988" s="18"/>
      <c r="F988" s="18"/>
      <c r="G988" s="7"/>
      <c r="H988" s="7"/>
      <c r="I988" s="7"/>
      <c r="J988" s="12"/>
      <c r="K988" s="8"/>
      <c r="Q988" s="8"/>
      <c r="Z988" s="9"/>
    </row>
    <row r="989" customFormat="false" ht="15.75" hidden="false" customHeight="false" outlineLevel="0" collapsed="false">
      <c r="A989" s="7"/>
      <c r="B989" s="16"/>
      <c r="C989" s="19"/>
      <c r="D989" s="18"/>
      <c r="E989" s="18"/>
      <c r="F989" s="18"/>
      <c r="G989" s="7"/>
      <c r="H989" s="7"/>
      <c r="I989" s="7"/>
      <c r="J989" s="12"/>
      <c r="K989" s="8"/>
      <c r="Q989" s="8"/>
      <c r="Z989" s="9"/>
    </row>
    <row r="990" customFormat="false" ht="15.75" hidden="false" customHeight="false" outlineLevel="0" collapsed="false">
      <c r="A990" s="7"/>
      <c r="B990" s="16"/>
      <c r="C990" s="19"/>
      <c r="D990" s="18"/>
      <c r="E990" s="18"/>
      <c r="F990" s="18"/>
      <c r="G990" s="7"/>
      <c r="H990" s="7"/>
      <c r="I990" s="7"/>
      <c r="J990" s="12"/>
      <c r="K990" s="8"/>
      <c r="Q990" s="8"/>
      <c r="Z990" s="9"/>
    </row>
    <row r="991" customFormat="false" ht="15.75" hidden="false" customHeight="false" outlineLevel="0" collapsed="false">
      <c r="A991" s="7"/>
      <c r="B991" s="16"/>
      <c r="C991" s="19"/>
      <c r="D991" s="18"/>
      <c r="E991" s="18"/>
      <c r="F991" s="18"/>
      <c r="G991" s="7"/>
      <c r="H991" s="7"/>
      <c r="I991" s="7"/>
      <c r="J991" s="12"/>
      <c r="K991" s="8"/>
      <c r="Q991" s="8"/>
      <c r="Z991" s="9"/>
    </row>
    <row r="992" customFormat="false" ht="15.75" hidden="false" customHeight="false" outlineLevel="0" collapsed="false">
      <c r="A992" s="7"/>
      <c r="B992" s="16"/>
      <c r="C992" s="19"/>
      <c r="D992" s="18"/>
      <c r="E992" s="18"/>
      <c r="F992" s="18"/>
      <c r="G992" s="7"/>
      <c r="H992" s="7"/>
      <c r="I992" s="7"/>
      <c r="J992" s="12"/>
      <c r="K992" s="8"/>
      <c r="Q992" s="8"/>
      <c r="Z992" s="9"/>
    </row>
    <row r="993" customFormat="false" ht="15.75" hidden="false" customHeight="false" outlineLevel="0" collapsed="false">
      <c r="A993" s="7"/>
      <c r="B993" s="16"/>
      <c r="C993" s="19"/>
      <c r="D993" s="18"/>
      <c r="E993" s="18"/>
      <c r="F993" s="18"/>
      <c r="G993" s="7"/>
      <c r="H993" s="7"/>
      <c r="I993" s="7"/>
      <c r="J993" s="12"/>
      <c r="K993" s="8"/>
      <c r="Q993" s="8"/>
      <c r="Z993" s="9"/>
    </row>
    <row r="994" customFormat="false" ht="15.75" hidden="false" customHeight="false" outlineLevel="0" collapsed="false">
      <c r="A994" s="7"/>
      <c r="B994" s="16"/>
      <c r="C994" s="19"/>
      <c r="D994" s="18"/>
      <c r="E994" s="18"/>
      <c r="F994" s="18"/>
      <c r="G994" s="7"/>
      <c r="H994" s="7"/>
      <c r="I994" s="7"/>
      <c r="J994" s="12"/>
      <c r="K994" s="8"/>
      <c r="Q994" s="8"/>
      <c r="Z994" s="9"/>
    </row>
    <row r="995" customFormat="false" ht="15.75" hidden="false" customHeight="false" outlineLevel="0" collapsed="false">
      <c r="A995" s="7"/>
      <c r="B995" s="16"/>
      <c r="C995" s="19"/>
      <c r="D995" s="18"/>
      <c r="E995" s="18"/>
      <c r="F995" s="18"/>
      <c r="G995" s="7"/>
      <c r="H995" s="7"/>
      <c r="I995" s="7"/>
      <c r="J995" s="12"/>
      <c r="K995" s="8"/>
      <c r="Q995" s="8"/>
      <c r="Z995" s="9"/>
    </row>
    <row r="996" customFormat="false" ht="15.75" hidden="false" customHeight="false" outlineLevel="0" collapsed="false">
      <c r="A996" s="7"/>
      <c r="B996" s="16"/>
      <c r="C996" s="19"/>
      <c r="D996" s="18"/>
      <c r="E996" s="18"/>
      <c r="F996" s="18"/>
      <c r="G996" s="7"/>
      <c r="H996" s="7"/>
      <c r="I996" s="7"/>
      <c r="J996" s="12"/>
      <c r="K996" s="8"/>
      <c r="Q996" s="8"/>
      <c r="Z996" s="9"/>
    </row>
    <row r="997" customFormat="false" ht="15.75" hidden="false" customHeight="false" outlineLevel="0" collapsed="false">
      <c r="A997" s="7"/>
      <c r="B997" s="16"/>
      <c r="C997" s="19"/>
      <c r="D997" s="18"/>
      <c r="E997" s="18"/>
      <c r="F997" s="18"/>
      <c r="G997" s="7"/>
      <c r="H997" s="7"/>
      <c r="I997" s="7"/>
      <c r="J997" s="12"/>
      <c r="K997" s="8"/>
      <c r="Q997" s="8"/>
      <c r="Z997" s="9"/>
    </row>
    <row r="998" customFormat="false" ht="15.75" hidden="false" customHeight="false" outlineLevel="0" collapsed="false">
      <c r="A998" s="7"/>
      <c r="B998" s="16"/>
      <c r="C998" s="19"/>
      <c r="D998" s="18"/>
      <c r="E998" s="18"/>
      <c r="F998" s="18"/>
      <c r="G998" s="7"/>
      <c r="H998" s="7"/>
      <c r="I998" s="7"/>
      <c r="J998" s="12"/>
      <c r="K998" s="8"/>
      <c r="Q998" s="8"/>
      <c r="Z998" s="9"/>
    </row>
    <row r="999" customFormat="false" ht="15.75" hidden="false" customHeight="false" outlineLevel="0" collapsed="false">
      <c r="A999" s="7"/>
      <c r="B999" s="16"/>
      <c r="C999" s="19"/>
      <c r="D999" s="18"/>
      <c r="E999" s="18"/>
      <c r="F999" s="18"/>
      <c r="G999" s="7"/>
      <c r="H999" s="7"/>
      <c r="I999" s="7"/>
      <c r="J999" s="12"/>
      <c r="K999" s="8"/>
      <c r="Q999" s="8"/>
      <c r="Z999" s="9"/>
    </row>
    <row r="1000" customFormat="false" ht="15.75" hidden="false" customHeight="false" outlineLevel="0" collapsed="false">
      <c r="A1000" s="7"/>
      <c r="B1000" s="16"/>
      <c r="C1000" s="19"/>
      <c r="D1000" s="18"/>
      <c r="E1000" s="18"/>
      <c r="F1000" s="18"/>
      <c r="G1000" s="7"/>
      <c r="H1000" s="7"/>
      <c r="I1000" s="7"/>
      <c r="J1000" s="12"/>
      <c r="K1000" s="8"/>
      <c r="Q1000" s="8"/>
      <c r="Z1000" s="9"/>
    </row>
    <row r="1001" customFormat="false" ht="15.75" hidden="false" customHeight="false" outlineLevel="0" collapsed="false">
      <c r="A1001" s="7"/>
      <c r="B1001" s="16"/>
      <c r="C1001" s="19"/>
      <c r="D1001" s="18"/>
      <c r="E1001" s="18"/>
      <c r="F1001" s="18"/>
      <c r="G1001" s="7"/>
      <c r="H1001" s="7"/>
      <c r="I1001" s="7"/>
      <c r="J1001" s="12"/>
      <c r="K1001" s="8"/>
      <c r="Q1001" s="8"/>
      <c r="Z1001" s="9"/>
    </row>
    <row r="1002" customFormat="false" ht="15.75" hidden="false" customHeight="false" outlineLevel="0" collapsed="false">
      <c r="A1002" s="7"/>
      <c r="B1002" s="16"/>
      <c r="C1002" s="19"/>
      <c r="D1002" s="18"/>
      <c r="E1002" s="18"/>
      <c r="F1002" s="18"/>
      <c r="G1002" s="7"/>
      <c r="H1002" s="7"/>
      <c r="I1002" s="7"/>
      <c r="J1002" s="12"/>
      <c r="K1002" s="8"/>
      <c r="Q1002" s="8"/>
      <c r="Z1002" s="9"/>
    </row>
    <row r="1003" customFormat="false" ht="15.75" hidden="false" customHeight="false" outlineLevel="0" collapsed="false">
      <c r="A1003" s="7"/>
      <c r="B1003" s="16"/>
      <c r="C1003" s="19"/>
      <c r="D1003" s="18"/>
      <c r="E1003" s="18"/>
      <c r="F1003" s="18"/>
      <c r="G1003" s="7"/>
      <c r="H1003" s="7"/>
      <c r="I1003" s="7"/>
      <c r="J1003" s="12"/>
      <c r="K1003" s="8"/>
      <c r="Q1003" s="8"/>
      <c r="Z1003" s="9"/>
    </row>
    <row r="1004" customFormat="false" ht="15.75" hidden="false" customHeight="false" outlineLevel="0" collapsed="false">
      <c r="A1004" s="7"/>
      <c r="B1004" s="16"/>
      <c r="C1004" s="19"/>
      <c r="D1004" s="18"/>
      <c r="E1004" s="18"/>
      <c r="F1004" s="18"/>
      <c r="G1004" s="7"/>
      <c r="H1004" s="7"/>
      <c r="I1004" s="7"/>
      <c r="J1004" s="12"/>
      <c r="K1004" s="8"/>
      <c r="Q1004" s="8"/>
      <c r="Z1004" s="9"/>
    </row>
    <row r="1005" customFormat="false" ht="15.75" hidden="false" customHeight="false" outlineLevel="0" collapsed="false">
      <c r="A1005" s="7"/>
      <c r="B1005" s="16"/>
      <c r="C1005" s="19"/>
      <c r="D1005" s="18"/>
      <c r="E1005" s="18"/>
      <c r="F1005" s="18"/>
      <c r="G1005" s="7"/>
      <c r="H1005" s="7"/>
      <c r="I1005" s="7"/>
      <c r="J1005" s="12"/>
      <c r="K1005" s="8"/>
      <c r="Q1005" s="8"/>
      <c r="Z1005" s="9"/>
    </row>
    <row r="1006" customFormat="false" ht="15.75" hidden="false" customHeight="false" outlineLevel="0" collapsed="false">
      <c r="A1006" s="7"/>
      <c r="B1006" s="16"/>
      <c r="C1006" s="19"/>
      <c r="D1006" s="18"/>
      <c r="E1006" s="18"/>
      <c r="F1006" s="18"/>
      <c r="G1006" s="7"/>
      <c r="H1006" s="7"/>
      <c r="I1006" s="7"/>
      <c r="J1006" s="12"/>
      <c r="K1006" s="8"/>
      <c r="Q1006" s="8"/>
      <c r="Z1006" s="9"/>
    </row>
    <row r="1007" customFormat="false" ht="15.75" hidden="false" customHeight="false" outlineLevel="0" collapsed="false">
      <c r="A1007" s="7"/>
      <c r="B1007" s="16"/>
      <c r="C1007" s="19"/>
      <c r="D1007" s="18"/>
      <c r="E1007" s="18"/>
      <c r="F1007" s="18"/>
      <c r="G1007" s="7"/>
      <c r="H1007" s="7"/>
      <c r="I1007" s="7"/>
      <c r="J1007" s="12"/>
      <c r="K1007" s="8"/>
      <c r="Q1007" s="8"/>
      <c r="Z1007" s="9"/>
    </row>
    <row r="1008" customFormat="false" ht="15.75" hidden="false" customHeight="false" outlineLevel="0" collapsed="false">
      <c r="A1008" s="7"/>
      <c r="B1008" s="16"/>
      <c r="C1008" s="19"/>
      <c r="D1008" s="18"/>
      <c r="E1008" s="18"/>
      <c r="F1008" s="18"/>
      <c r="G1008" s="7"/>
      <c r="H1008" s="7"/>
      <c r="I1008" s="7"/>
      <c r="J1008" s="12"/>
      <c r="K1008" s="8"/>
      <c r="Q1008" s="8"/>
      <c r="Z1008" s="9"/>
    </row>
    <row r="1009" customFormat="false" ht="15.75" hidden="false" customHeight="false" outlineLevel="0" collapsed="false">
      <c r="A1009" s="7"/>
      <c r="B1009" s="16"/>
      <c r="C1009" s="19"/>
      <c r="D1009" s="18"/>
      <c r="E1009" s="18"/>
      <c r="F1009" s="18"/>
      <c r="G1009" s="7"/>
      <c r="H1009" s="7"/>
      <c r="I1009" s="7"/>
      <c r="J1009" s="12"/>
      <c r="K1009" s="8"/>
      <c r="Q1009" s="8"/>
      <c r="Z1009" s="9"/>
    </row>
    <row r="1010" customFormat="false" ht="15.75" hidden="false" customHeight="false" outlineLevel="0" collapsed="false">
      <c r="A1010" s="7"/>
      <c r="B1010" s="16"/>
      <c r="C1010" s="19"/>
      <c r="D1010" s="18"/>
      <c r="E1010" s="18"/>
      <c r="F1010" s="18"/>
      <c r="G1010" s="7"/>
      <c r="H1010" s="7"/>
      <c r="I1010" s="7"/>
      <c r="J1010" s="12"/>
      <c r="K1010" s="8"/>
      <c r="Q1010" s="8"/>
      <c r="Z1010" s="9"/>
    </row>
    <row r="1011" customFormat="false" ht="15.75" hidden="false" customHeight="false" outlineLevel="0" collapsed="false">
      <c r="A1011" s="7"/>
      <c r="B1011" s="16"/>
      <c r="C1011" s="19"/>
      <c r="D1011" s="18"/>
      <c r="E1011" s="18"/>
      <c r="F1011" s="18"/>
      <c r="G1011" s="7"/>
      <c r="H1011" s="7"/>
      <c r="I1011" s="7"/>
      <c r="J1011" s="12"/>
      <c r="K1011" s="8"/>
      <c r="Q1011" s="8"/>
      <c r="Z1011" s="9"/>
    </row>
    <row r="1012" customFormat="false" ht="15.75" hidden="false" customHeight="false" outlineLevel="0" collapsed="false">
      <c r="A1012" s="7"/>
      <c r="B1012" s="16"/>
      <c r="C1012" s="19"/>
      <c r="D1012" s="18"/>
      <c r="E1012" s="18"/>
      <c r="F1012" s="18"/>
      <c r="G1012" s="7"/>
      <c r="H1012" s="7"/>
      <c r="I1012" s="7"/>
      <c r="J1012" s="12"/>
      <c r="K1012" s="8"/>
      <c r="Q1012" s="8"/>
      <c r="Z1012" s="9"/>
    </row>
    <row r="1013" customFormat="false" ht="15.75" hidden="false" customHeight="false" outlineLevel="0" collapsed="false">
      <c r="A1013" s="7"/>
      <c r="B1013" s="16"/>
      <c r="C1013" s="19"/>
      <c r="D1013" s="18"/>
      <c r="E1013" s="18"/>
      <c r="F1013" s="18"/>
      <c r="G1013" s="7"/>
      <c r="H1013" s="7"/>
      <c r="I1013" s="7"/>
      <c r="J1013" s="12"/>
      <c r="K1013" s="8"/>
      <c r="Q1013" s="8"/>
      <c r="Z1013" s="9"/>
    </row>
    <row r="1014" customFormat="false" ht="15.75" hidden="false" customHeight="false" outlineLevel="0" collapsed="false">
      <c r="A1014" s="7"/>
      <c r="B1014" s="16"/>
      <c r="C1014" s="19"/>
      <c r="D1014" s="18"/>
      <c r="E1014" s="18"/>
      <c r="F1014" s="18"/>
      <c r="G1014" s="7"/>
      <c r="H1014" s="7"/>
      <c r="I1014" s="7"/>
      <c r="J1014" s="12"/>
      <c r="K1014" s="8"/>
      <c r="Q1014" s="8"/>
      <c r="Z1014" s="9"/>
    </row>
    <row r="1015" customFormat="false" ht="15.75" hidden="false" customHeight="false" outlineLevel="0" collapsed="false">
      <c r="A1015" s="7"/>
      <c r="B1015" s="16"/>
      <c r="C1015" s="19"/>
      <c r="D1015" s="18"/>
      <c r="E1015" s="18"/>
      <c r="F1015" s="18"/>
      <c r="G1015" s="7"/>
      <c r="H1015" s="7"/>
      <c r="I1015" s="7"/>
      <c r="J1015" s="12"/>
      <c r="K1015" s="8"/>
      <c r="Q1015" s="8"/>
      <c r="Z1015" s="9"/>
    </row>
    <row r="1016" customFormat="false" ht="15.75" hidden="false" customHeight="false" outlineLevel="0" collapsed="false">
      <c r="A1016" s="7"/>
      <c r="B1016" s="16"/>
      <c r="C1016" s="19"/>
      <c r="D1016" s="18"/>
      <c r="E1016" s="18"/>
      <c r="F1016" s="18"/>
      <c r="G1016" s="7"/>
      <c r="H1016" s="7"/>
      <c r="I1016" s="7"/>
      <c r="J1016" s="12"/>
      <c r="K1016" s="8"/>
      <c r="Q1016" s="8"/>
      <c r="Z1016" s="9"/>
    </row>
    <row r="1017" customFormat="false" ht="15.75" hidden="false" customHeight="false" outlineLevel="0" collapsed="false">
      <c r="A1017" s="7"/>
      <c r="B1017" s="16"/>
      <c r="C1017" s="19"/>
      <c r="D1017" s="18"/>
      <c r="E1017" s="18"/>
      <c r="F1017" s="18"/>
      <c r="G1017" s="7"/>
      <c r="H1017" s="7"/>
      <c r="I1017" s="7"/>
      <c r="J1017" s="12"/>
      <c r="K1017" s="8"/>
      <c r="Q1017" s="8"/>
      <c r="Z1017" s="9"/>
    </row>
    <row r="1018" customFormat="false" ht="15.75" hidden="false" customHeight="false" outlineLevel="0" collapsed="false">
      <c r="A1018" s="7"/>
      <c r="B1018" s="16"/>
      <c r="C1018" s="19"/>
      <c r="D1018" s="18"/>
      <c r="E1018" s="18"/>
      <c r="F1018" s="18"/>
      <c r="G1018" s="7"/>
      <c r="H1018" s="7"/>
      <c r="I1018" s="7"/>
      <c r="J1018" s="12"/>
      <c r="K1018" s="8"/>
      <c r="Q1018" s="8"/>
      <c r="Z1018" s="9"/>
    </row>
    <row r="1019" customFormat="false" ht="15.75" hidden="false" customHeight="false" outlineLevel="0" collapsed="false">
      <c r="A1019" s="7"/>
      <c r="B1019" s="16"/>
      <c r="C1019" s="19"/>
      <c r="D1019" s="18"/>
      <c r="E1019" s="18"/>
      <c r="F1019" s="18"/>
      <c r="G1019" s="7"/>
      <c r="H1019" s="7"/>
      <c r="I1019" s="7"/>
      <c r="J1019" s="12"/>
      <c r="K1019" s="8"/>
      <c r="Q1019" s="8"/>
      <c r="Z1019" s="9"/>
    </row>
    <row r="1020" customFormat="false" ht="15.75" hidden="false" customHeight="false" outlineLevel="0" collapsed="false">
      <c r="A1020" s="7"/>
      <c r="B1020" s="16"/>
      <c r="C1020" s="19"/>
      <c r="D1020" s="18"/>
      <c r="E1020" s="18"/>
      <c r="F1020" s="18"/>
      <c r="G1020" s="7"/>
      <c r="H1020" s="7"/>
      <c r="I1020" s="7"/>
      <c r="J1020" s="12"/>
      <c r="K1020" s="8"/>
      <c r="Q1020" s="8"/>
      <c r="Z1020" s="9"/>
    </row>
    <row r="1021" customFormat="false" ht="15.75" hidden="false" customHeight="false" outlineLevel="0" collapsed="false">
      <c r="A1021" s="7"/>
      <c r="B1021" s="16"/>
      <c r="C1021" s="19"/>
      <c r="D1021" s="18"/>
      <c r="E1021" s="18"/>
      <c r="F1021" s="18"/>
      <c r="G1021" s="7"/>
      <c r="H1021" s="7"/>
      <c r="I1021" s="7"/>
      <c r="J1021" s="12"/>
      <c r="K1021" s="8"/>
      <c r="Q1021" s="8"/>
      <c r="Z1021" s="9"/>
    </row>
    <row r="1022" customFormat="false" ht="15.75" hidden="false" customHeight="false" outlineLevel="0" collapsed="false">
      <c r="A1022" s="7"/>
      <c r="B1022" s="16"/>
      <c r="C1022" s="19"/>
      <c r="D1022" s="18"/>
      <c r="E1022" s="18"/>
      <c r="F1022" s="18"/>
      <c r="G1022" s="7"/>
      <c r="H1022" s="7"/>
      <c r="I1022" s="7"/>
      <c r="J1022" s="12"/>
      <c r="K1022" s="8"/>
      <c r="Q1022" s="8"/>
      <c r="Z1022" s="9"/>
    </row>
    <row r="1023" customFormat="false" ht="15.75" hidden="false" customHeight="false" outlineLevel="0" collapsed="false">
      <c r="A1023" s="7"/>
      <c r="B1023" s="16"/>
      <c r="C1023" s="19"/>
      <c r="D1023" s="18"/>
      <c r="E1023" s="18"/>
      <c r="F1023" s="18"/>
      <c r="G1023" s="7"/>
      <c r="H1023" s="7"/>
      <c r="I1023" s="7"/>
      <c r="J1023" s="12"/>
      <c r="K1023" s="8"/>
      <c r="Q1023" s="8"/>
      <c r="Z1023" s="9"/>
    </row>
    <row r="1024" customFormat="false" ht="15.75" hidden="false" customHeight="false" outlineLevel="0" collapsed="false">
      <c r="A1024" s="7"/>
      <c r="B1024" s="16"/>
      <c r="C1024" s="19"/>
      <c r="D1024" s="18"/>
      <c r="E1024" s="18"/>
      <c r="F1024" s="18"/>
      <c r="G1024" s="7"/>
      <c r="H1024" s="7"/>
      <c r="I1024" s="7"/>
      <c r="J1024" s="12"/>
      <c r="K1024" s="8"/>
      <c r="Q1024" s="8"/>
      <c r="Z1024" s="9"/>
    </row>
    <row r="1025" customFormat="false" ht="15.75" hidden="false" customHeight="false" outlineLevel="0" collapsed="false">
      <c r="A1025" s="7"/>
      <c r="B1025" s="16"/>
      <c r="C1025" s="19"/>
      <c r="D1025" s="18"/>
      <c r="E1025" s="18"/>
      <c r="F1025" s="18"/>
      <c r="G1025" s="7"/>
      <c r="H1025" s="7"/>
      <c r="I1025" s="7"/>
      <c r="J1025" s="12"/>
      <c r="K1025" s="8"/>
      <c r="Q1025" s="8"/>
      <c r="Z1025" s="9"/>
    </row>
    <row r="1026" customFormat="false" ht="15.75" hidden="false" customHeight="false" outlineLevel="0" collapsed="false">
      <c r="A1026" s="7"/>
      <c r="B1026" s="16"/>
      <c r="C1026" s="19"/>
      <c r="D1026" s="18"/>
      <c r="E1026" s="18"/>
      <c r="F1026" s="18"/>
      <c r="G1026" s="7"/>
      <c r="H1026" s="7"/>
      <c r="I1026" s="7"/>
      <c r="J1026" s="12"/>
      <c r="K1026" s="8"/>
      <c r="Q1026" s="8"/>
      <c r="Z1026" s="9"/>
    </row>
    <row r="1027" customFormat="false" ht="15.75" hidden="false" customHeight="false" outlineLevel="0" collapsed="false">
      <c r="A1027" s="7"/>
      <c r="B1027" s="16"/>
      <c r="C1027" s="19"/>
      <c r="D1027" s="18"/>
      <c r="E1027" s="18"/>
      <c r="F1027" s="18"/>
      <c r="G1027" s="7"/>
      <c r="H1027" s="7"/>
      <c r="I1027" s="7"/>
      <c r="J1027" s="12"/>
      <c r="K1027" s="8"/>
      <c r="Q1027" s="8"/>
      <c r="Z1027" s="9"/>
    </row>
    <row r="1028" customFormat="false" ht="15.75" hidden="false" customHeight="false" outlineLevel="0" collapsed="false">
      <c r="A1028" s="7"/>
      <c r="B1028" s="16"/>
      <c r="C1028" s="19"/>
      <c r="D1028" s="18"/>
      <c r="E1028" s="18"/>
      <c r="F1028" s="18"/>
      <c r="G1028" s="7"/>
      <c r="H1028" s="7"/>
      <c r="I1028" s="7"/>
      <c r="J1028" s="12"/>
      <c r="K1028" s="8"/>
      <c r="Q1028" s="8"/>
      <c r="Z1028" s="9"/>
    </row>
    <row r="1029" customFormat="false" ht="15.75" hidden="false" customHeight="false" outlineLevel="0" collapsed="false">
      <c r="A1029" s="7"/>
      <c r="B1029" s="16"/>
      <c r="C1029" s="19"/>
      <c r="D1029" s="18"/>
      <c r="E1029" s="18"/>
      <c r="F1029" s="18"/>
      <c r="G1029" s="7"/>
      <c r="H1029" s="7"/>
      <c r="I1029" s="7"/>
      <c r="J1029" s="12"/>
      <c r="K1029" s="8"/>
      <c r="Q1029" s="8"/>
      <c r="Z1029" s="9"/>
    </row>
    <row r="1030" customFormat="false" ht="15.75" hidden="false" customHeight="false" outlineLevel="0" collapsed="false">
      <c r="A1030" s="7"/>
      <c r="B1030" s="16"/>
      <c r="C1030" s="19"/>
      <c r="D1030" s="18"/>
      <c r="E1030" s="18"/>
      <c r="F1030" s="18"/>
      <c r="G1030" s="7"/>
      <c r="H1030" s="7"/>
      <c r="I1030" s="7"/>
      <c r="J1030" s="12"/>
      <c r="K1030" s="8"/>
      <c r="Q1030" s="8"/>
      <c r="Z1030" s="9"/>
    </row>
    <row r="1031" customFormat="false" ht="15.75" hidden="false" customHeight="false" outlineLevel="0" collapsed="false">
      <c r="A1031" s="7"/>
      <c r="B1031" s="16"/>
      <c r="C1031" s="19"/>
      <c r="D1031" s="18"/>
      <c r="E1031" s="18"/>
      <c r="F1031" s="18"/>
      <c r="G1031" s="7"/>
      <c r="H1031" s="7"/>
      <c r="I1031" s="7"/>
      <c r="J1031" s="12"/>
      <c r="K1031" s="8"/>
      <c r="Q1031" s="8"/>
      <c r="Z1031" s="9"/>
    </row>
    <row r="1032" customFormat="false" ht="15.75" hidden="false" customHeight="false" outlineLevel="0" collapsed="false">
      <c r="A1032" s="7"/>
      <c r="B1032" s="16"/>
      <c r="C1032" s="19"/>
      <c r="D1032" s="18"/>
      <c r="E1032" s="18"/>
      <c r="F1032" s="18"/>
      <c r="G1032" s="7"/>
      <c r="H1032" s="7"/>
      <c r="I1032" s="7"/>
      <c r="J1032" s="12"/>
      <c r="K1032" s="8"/>
      <c r="Q1032" s="8"/>
      <c r="Z1032" s="9"/>
    </row>
    <row r="1033" customFormat="false" ht="15.75" hidden="false" customHeight="false" outlineLevel="0" collapsed="false">
      <c r="A1033" s="7"/>
      <c r="B1033" s="16"/>
      <c r="C1033" s="19"/>
      <c r="D1033" s="18"/>
      <c r="E1033" s="18"/>
      <c r="F1033" s="18"/>
      <c r="G1033" s="7"/>
      <c r="H1033" s="7"/>
      <c r="I1033" s="7"/>
      <c r="J1033" s="12"/>
      <c r="K1033" s="8"/>
      <c r="Q1033" s="8"/>
      <c r="Z1033" s="9"/>
    </row>
    <row r="1034" customFormat="false" ht="15.75" hidden="false" customHeight="false" outlineLevel="0" collapsed="false">
      <c r="A1034" s="7"/>
      <c r="B1034" s="16"/>
      <c r="C1034" s="19"/>
      <c r="D1034" s="18"/>
      <c r="E1034" s="18"/>
      <c r="F1034" s="18"/>
      <c r="G1034" s="7"/>
      <c r="H1034" s="7"/>
      <c r="I1034" s="7"/>
      <c r="J1034" s="12"/>
      <c r="K1034" s="8"/>
      <c r="Q1034" s="8"/>
      <c r="Z1034" s="9"/>
    </row>
    <row r="1035" customFormat="false" ht="15.75" hidden="false" customHeight="false" outlineLevel="0" collapsed="false">
      <c r="A1035" s="7"/>
      <c r="B1035" s="16"/>
      <c r="C1035" s="19"/>
      <c r="D1035" s="18"/>
      <c r="E1035" s="18"/>
      <c r="F1035" s="18"/>
      <c r="G1035" s="7"/>
      <c r="H1035" s="7"/>
      <c r="I1035" s="7"/>
      <c r="J1035" s="12"/>
      <c r="K1035" s="8"/>
      <c r="Q1035" s="8"/>
      <c r="Z1035" s="9"/>
    </row>
    <row r="1036" customFormat="false" ht="15.75" hidden="false" customHeight="false" outlineLevel="0" collapsed="false">
      <c r="A1036" s="7"/>
      <c r="B1036" s="16"/>
      <c r="C1036" s="19"/>
      <c r="D1036" s="18"/>
      <c r="E1036" s="18"/>
      <c r="F1036" s="18"/>
      <c r="G1036" s="7"/>
      <c r="H1036" s="7"/>
      <c r="I1036" s="7"/>
      <c r="J1036" s="12"/>
      <c r="K1036" s="8"/>
      <c r="Q1036" s="8"/>
      <c r="Z1036" s="9"/>
    </row>
    <row r="1037" customFormat="false" ht="15.75" hidden="false" customHeight="false" outlineLevel="0" collapsed="false">
      <c r="A1037" s="7"/>
      <c r="B1037" s="16"/>
      <c r="C1037" s="19"/>
      <c r="D1037" s="18"/>
      <c r="E1037" s="18"/>
      <c r="F1037" s="18"/>
      <c r="G1037" s="7"/>
      <c r="H1037" s="7"/>
      <c r="I1037" s="7"/>
      <c r="J1037" s="12"/>
      <c r="K1037" s="8"/>
      <c r="Q1037" s="8"/>
      <c r="Z1037" s="9"/>
    </row>
    <row r="1038" customFormat="false" ht="15.75" hidden="false" customHeight="false" outlineLevel="0" collapsed="false">
      <c r="A1038" s="7"/>
      <c r="B1038" s="16"/>
      <c r="C1038" s="19"/>
      <c r="D1038" s="18"/>
      <c r="E1038" s="18"/>
      <c r="F1038" s="18"/>
      <c r="G1038" s="7"/>
      <c r="H1038" s="7"/>
      <c r="I1038" s="7"/>
      <c r="J1038" s="12"/>
      <c r="K1038" s="8"/>
      <c r="Q1038" s="8"/>
      <c r="Z1038" s="9"/>
    </row>
    <row r="1039" customFormat="false" ht="15.75" hidden="false" customHeight="false" outlineLevel="0" collapsed="false">
      <c r="A1039" s="7"/>
      <c r="B1039" s="16"/>
      <c r="C1039" s="19"/>
      <c r="D1039" s="18"/>
      <c r="E1039" s="18"/>
      <c r="F1039" s="18"/>
      <c r="G1039" s="7"/>
      <c r="H1039" s="7"/>
      <c r="I1039" s="7"/>
      <c r="J1039" s="12"/>
      <c r="K1039" s="8"/>
      <c r="Q1039" s="8"/>
      <c r="Z1039" s="9"/>
    </row>
    <row r="1040" customFormat="false" ht="15.75" hidden="false" customHeight="false" outlineLevel="0" collapsed="false">
      <c r="A1040" s="7"/>
      <c r="B1040" s="16"/>
      <c r="C1040" s="19"/>
      <c r="D1040" s="18"/>
      <c r="E1040" s="18"/>
      <c r="F1040" s="18"/>
      <c r="G1040" s="7"/>
      <c r="H1040" s="7"/>
      <c r="I1040" s="7"/>
      <c r="J1040" s="12"/>
      <c r="K1040" s="8"/>
      <c r="Q1040" s="8"/>
      <c r="Z1040" s="9"/>
    </row>
    <row r="1041" customFormat="false" ht="15.75" hidden="false" customHeight="false" outlineLevel="0" collapsed="false">
      <c r="A1041" s="7"/>
      <c r="B1041" s="16"/>
      <c r="C1041" s="19"/>
      <c r="D1041" s="18"/>
      <c r="E1041" s="18"/>
      <c r="F1041" s="18"/>
      <c r="G1041" s="7"/>
      <c r="H1041" s="7"/>
      <c r="I1041" s="7"/>
      <c r="J1041" s="12"/>
      <c r="K1041" s="8"/>
      <c r="Q1041" s="8"/>
      <c r="Z1041" s="9"/>
    </row>
    <row r="1042" customFormat="false" ht="15.75" hidden="false" customHeight="false" outlineLevel="0" collapsed="false">
      <c r="A1042" s="7"/>
      <c r="B1042" s="16"/>
      <c r="C1042" s="19"/>
      <c r="D1042" s="18"/>
      <c r="E1042" s="18"/>
      <c r="F1042" s="18"/>
      <c r="G1042" s="7"/>
      <c r="H1042" s="7"/>
      <c r="I1042" s="7"/>
      <c r="J1042" s="12"/>
      <c r="K1042" s="8"/>
      <c r="Q1042" s="8"/>
      <c r="Z1042" s="9"/>
    </row>
    <row r="1043" customFormat="false" ht="15.75" hidden="false" customHeight="false" outlineLevel="0" collapsed="false">
      <c r="A1043" s="7"/>
      <c r="B1043" s="16"/>
      <c r="C1043" s="19"/>
      <c r="D1043" s="18"/>
      <c r="E1043" s="18"/>
      <c r="F1043" s="18"/>
      <c r="G1043" s="7"/>
      <c r="H1043" s="7"/>
      <c r="I1043" s="7"/>
      <c r="J1043" s="12"/>
      <c r="K1043" s="8"/>
      <c r="Q1043" s="8"/>
      <c r="Z1043" s="9"/>
    </row>
    <row r="1044" customFormat="false" ht="15.75" hidden="false" customHeight="false" outlineLevel="0" collapsed="false">
      <c r="A1044" s="7"/>
      <c r="B1044" s="16"/>
      <c r="C1044" s="19"/>
      <c r="D1044" s="18"/>
      <c r="E1044" s="18"/>
      <c r="F1044" s="18"/>
      <c r="G1044" s="7"/>
      <c r="H1044" s="7"/>
      <c r="I1044" s="7"/>
      <c r="J1044" s="12"/>
      <c r="K1044" s="8"/>
      <c r="Q1044" s="8"/>
      <c r="Z1044" s="9"/>
    </row>
    <row r="1045" customFormat="false" ht="15.75" hidden="false" customHeight="false" outlineLevel="0" collapsed="false">
      <c r="A1045" s="7"/>
      <c r="B1045" s="16"/>
      <c r="C1045" s="19"/>
      <c r="D1045" s="18"/>
      <c r="E1045" s="18"/>
      <c r="F1045" s="18"/>
      <c r="G1045" s="7"/>
      <c r="H1045" s="7"/>
      <c r="I1045" s="7"/>
      <c r="J1045" s="12"/>
      <c r="K1045" s="8"/>
      <c r="Q1045" s="8"/>
      <c r="Z1045" s="9"/>
    </row>
    <row r="1046" customFormat="false" ht="15.75" hidden="false" customHeight="false" outlineLevel="0" collapsed="false">
      <c r="A1046" s="7"/>
      <c r="B1046" s="16"/>
      <c r="C1046" s="19"/>
      <c r="D1046" s="18"/>
      <c r="E1046" s="18"/>
      <c r="F1046" s="18"/>
      <c r="G1046" s="7"/>
      <c r="H1046" s="7"/>
      <c r="I1046" s="7"/>
      <c r="J1046" s="12"/>
      <c r="K1046" s="8"/>
      <c r="Q1046" s="8"/>
      <c r="Z1046" s="9"/>
    </row>
    <row r="1047" customFormat="false" ht="15.75" hidden="false" customHeight="false" outlineLevel="0" collapsed="false">
      <c r="A1047" s="7"/>
      <c r="B1047" s="16"/>
      <c r="C1047" s="19"/>
      <c r="D1047" s="18"/>
      <c r="E1047" s="18"/>
      <c r="F1047" s="18"/>
      <c r="G1047" s="7"/>
      <c r="H1047" s="7"/>
      <c r="I1047" s="7"/>
      <c r="J1047" s="12"/>
      <c r="K1047" s="8"/>
      <c r="Q1047" s="8"/>
      <c r="Z1047" s="9"/>
    </row>
    <row r="1048" customFormat="false" ht="15.75" hidden="false" customHeight="false" outlineLevel="0" collapsed="false">
      <c r="A1048" s="7"/>
      <c r="B1048" s="16"/>
      <c r="C1048" s="19"/>
      <c r="D1048" s="18"/>
      <c r="E1048" s="18"/>
      <c r="F1048" s="18"/>
      <c r="G1048" s="7"/>
      <c r="H1048" s="7"/>
      <c r="I1048" s="7"/>
      <c r="J1048" s="12"/>
      <c r="K1048" s="8"/>
      <c r="Q1048" s="8"/>
      <c r="Z1048" s="9"/>
    </row>
    <row r="1049" customFormat="false" ht="15.75" hidden="false" customHeight="false" outlineLevel="0" collapsed="false">
      <c r="A1049" s="7"/>
      <c r="B1049" s="16"/>
      <c r="C1049" s="19"/>
      <c r="D1049" s="18"/>
      <c r="E1049" s="18"/>
      <c r="F1049" s="18"/>
      <c r="G1049" s="7"/>
      <c r="H1049" s="7"/>
      <c r="I1049" s="7"/>
      <c r="J1049" s="12"/>
      <c r="K1049" s="8"/>
      <c r="Q1049" s="8"/>
      <c r="Z1049" s="9"/>
    </row>
    <row r="1050" customFormat="false" ht="15.75" hidden="false" customHeight="false" outlineLevel="0" collapsed="false">
      <c r="A1050" s="7"/>
      <c r="B1050" s="16"/>
      <c r="C1050" s="19"/>
      <c r="D1050" s="18"/>
      <c r="E1050" s="18"/>
      <c r="F1050" s="18"/>
      <c r="G1050" s="7"/>
      <c r="H1050" s="7"/>
      <c r="I1050" s="7"/>
      <c r="J1050" s="12"/>
      <c r="K1050" s="8"/>
      <c r="Q1050" s="8"/>
      <c r="Z1050" s="9"/>
    </row>
    <row r="1051" customFormat="false" ht="15.75" hidden="false" customHeight="false" outlineLevel="0" collapsed="false">
      <c r="A1051" s="7"/>
      <c r="B1051" s="16"/>
      <c r="C1051" s="19"/>
      <c r="D1051" s="18"/>
      <c r="E1051" s="18"/>
      <c r="F1051" s="18"/>
      <c r="G1051" s="7"/>
      <c r="H1051" s="7"/>
      <c r="I1051" s="7"/>
      <c r="J1051" s="12"/>
      <c r="K1051" s="8"/>
      <c r="Q1051" s="8"/>
      <c r="Z1051" s="9"/>
    </row>
    <row r="1052" customFormat="false" ht="15.75" hidden="false" customHeight="false" outlineLevel="0" collapsed="false">
      <c r="A1052" s="7"/>
      <c r="B1052" s="16"/>
      <c r="C1052" s="19"/>
      <c r="D1052" s="18"/>
      <c r="E1052" s="18"/>
      <c r="F1052" s="18"/>
      <c r="G1052" s="7"/>
      <c r="H1052" s="7"/>
      <c r="I1052" s="7"/>
      <c r="J1052" s="12"/>
      <c r="K1052" s="8"/>
      <c r="Q1052" s="8"/>
      <c r="Z1052" s="9"/>
    </row>
    <row r="1053" customFormat="false" ht="15.75" hidden="false" customHeight="false" outlineLevel="0" collapsed="false">
      <c r="A1053" s="7"/>
      <c r="B1053" s="16"/>
      <c r="C1053" s="19"/>
      <c r="D1053" s="18"/>
      <c r="E1053" s="18"/>
      <c r="F1053" s="18"/>
      <c r="G1053" s="7"/>
      <c r="H1053" s="7"/>
      <c r="I1053" s="7"/>
      <c r="J1053" s="12"/>
      <c r="K1053" s="8"/>
      <c r="Q1053" s="8"/>
      <c r="Z1053" s="9"/>
    </row>
    <row r="1054" customFormat="false" ht="15.75" hidden="false" customHeight="false" outlineLevel="0" collapsed="false">
      <c r="A1054" s="7"/>
      <c r="B1054" s="16"/>
      <c r="C1054" s="19"/>
      <c r="D1054" s="18"/>
      <c r="E1054" s="18"/>
      <c r="F1054" s="18"/>
      <c r="G1054" s="7"/>
      <c r="H1054" s="7"/>
      <c r="I1054" s="7"/>
      <c r="J1054" s="12"/>
      <c r="K1054" s="8"/>
      <c r="Q1054" s="8"/>
      <c r="Z1054" s="9"/>
    </row>
    <row r="1055" customFormat="false" ht="15.75" hidden="false" customHeight="false" outlineLevel="0" collapsed="false">
      <c r="A1055" s="7"/>
      <c r="B1055" s="16"/>
      <c r="C1055" s="19"/>
      <c r="D1055" s="18"/>
      <c r="E1055" s="18"/>
      <c r="F1055" s="18"/>
      <c r="G1055" s="7"/>
      <c r="H1055" s="7"/>
      <c r="I1055" s="7"/>
      <c r="J1055" s="12"/>
      <c r="K1055" s="8"/>
      <c r="Q1055" s="8"/>
      <c r="Z1055" s="9"/>
    </row>
    <row r="1056" customFormat="false" ht="15.75" hidden="false" customHeight="false" outlineLevel="0" collapsed="false">
      <c r="A1056" s="7"/>
      <c r="B1056" s="16"/>
      <c r="C1056" s="19"/>
      <c r="D1056" s="18"/>
      <c r="E1056" s="18"/>
      <c r="F1056" s="18"/>
      <c r="G1056" s="7"/>
      <c r="H1056" s="7"/>
      <c r="I1056" s="7"/>
      <c r="J1056" s="12"/>
      <c r="K1056" s="8"/>
      <c r="Q1056" s="8"/>
      <c r="Z1056" s="9"/>
    </row>
    <row r="1057" customFormat="false" ht="15.75" hidden="false" customHeight="false" outlineLevel="0" collapsed="false">
      <c r="A1057" s="7"/>
      <c r="B1057" s="16"/>
      <c r="C1057" s="19"/>
      <c r="D1057" s="18"/>
      <c r="E1057" s="18"/>
      <c r="F1057" s="18"/>
      <c r="G1057" s="7"/>
      <c r="H1057" s="7"/>
      <c r="I1057" s="7"/>
      <c r="J1057" s="12"/>
      <c r="K1057" s="8"/>
      <c r="Q1057" s="8"/>
      <c r="Z1057" s="9"/>
    </row>
    <row r="1058" customFormat="false" ht="15.75" hidden="false" customHeight="false" outlineLevel="0" collapsed="false">
      <c r="A1058" s="7"/>
      <c r="B1058" s="16"/>
      <c r="C1058" s="19"/>
      <c r="D1058" s="18"/>
      <c r="E1058" s="18"/>
      <c r="F1058" s="18"/>
      <c r="G1058" s="7"/>
      <c r="H1058" s="7"/>
      <c r="I1058" s="7"/>
      <c r="J1058" s="12"/>
      <c r="K1058" s="8"/>
      <c r="Q1058" s="8"/>
      <c r="Z1058" s="9"/>
    </row>
    <row r="1059" customFormat="false" ht="15.75" hidden="false" customHeight="false" outlineLevel="0" collapsed="false">
      <c r="A1059" s="7"/>
      <c r="B1059" s="16"/>
      <c r="C1059" s="19"/>
      <c r="D1059" s="18"/>
      <c r="E1059" s="18"/>
      <c r="F1059" s="18"/>
      <c r="G1059" s="7"/>
      <c r="H1059" s="7"/>
      <c r="I1059" s="7"/>
      <c r="J1059" s="12"/>
      <c r="K1059" s="8"/>
      <c r="Q1059" s="8"/>
      <c r="Z1059" s="9"/>
    </row>
    <row r="1060" customFormat="false" ht="15.75" hidden="false" customHeight="false" outlineLevel="0" collapsed="false">
      <c r="A1060" s="7"/>
      <c r="B1060" s="16"/>
      <c r="C1060" s="19"/>
      <c r="D1060" s="18"/>
      <c r="E1060" s="18"/>
      <c r="F1060" s="18"/>
      <c r="G1060" s="7"/>
      <c r="H1060" s="7"/>
      <c r="I1060" s="7"/>
      <c r="J1060" s="12"/>
      <c r="K1060" s="8"/>
      <c r="Q1060" s="8"/>
      <c r="Z1060" s="9"/>
    </row>
    <row r="1061" customFormat="false" ht="15.75" hidden="false" customHeight="false" outlineLevel="0" collapsed="false">
      <c r="A1061" s="7"/>
      <c r="B1061" s="16"/>
      <c r="C1061" s="19"/>
      <c r="D1061" s="18"/>
      <c r="E1061" s="18"/>
      <c r="F1061" s="18"/>
      <c r="G1061" s="7"/>
      <c r="H1061" s="7"/>
      <c r="I1061" s="7"/>
      <c r="J1061" s="12"/>
      <c r="K1061" s="8"/>
      <c r="Q1061" s="8"/>
      <c r="Z1061" s="9"/>
    </row>
    <row r="1062" customFormat="false" ht="15.75" hidden="false" customHeight="false" outlineLevel="0" collapsed="false">
      <c r="A1062" s="7"/>
      <c r="B1062" s="16"/>
      <c r="C1062" s="19"/>
      <c r="D1062" s="18"/>
      <c r="E1062" s="18"/>
      <c r="F1062" s="18"/>
      <c r="G1062" s="7"/>
      <c r="H1062" s="7"/>
      <c r="I1062" s="7"/>
      <c r="J1062" s="12"/>
      <c r="K1062" s="8"/>
      <c r="Q1062" s="8"/>
      <c r="Z1062" s="9"/>
    </row>
    <row r="1063" customFormat="false" ht="15.75" hidden="false" customHeight="false" outlineLevel="0" collapsed="false">
      <c r="A1063" s="7"/>
      <c r="B1063" s="16"/>
      <c r="C1063" s="19"/>
      <c r="D1063" s="18"/>
      <c r="E1063" s="18"/>
      <c r="F1063" s="18"/>
      <c r="G1063" s="7"/>
      <c r="H1063" s="7"/>
      <c r="I1063" s="7"/>
      <c r="J1063" s="12"/>
      <c r="K1063" s="8"/>
      <c r="Q1063" s="8"/>
      <c r="Z1063" s="9"/>
    </row>
    <row r="1064" customFormat="false" ht="15.75" hidden="false" customHeight="false" outlineLevel="0" collapsed="false">
      <c r="A1064" s="7"/>
      <c r="B1064" s="16"/>
      <c r="C1064" s="19"/>
      <c r="D1064" s="18"/>
      <c r="E1064" s="18"/>
      <c r="F1064" s="18"/>
      <c r="G1064" s="7"/>
      <c r="H1064" s="7"/>
      <c r="I1064" s="7"/>
      <c r="J1064" s="12"/>
      <c r="K1064" s="8"/>
      <c r="Q1064" s="8"/>
      <c r="Z1064" s="9"/>
    </row>
    <row r="1065" customFormat="false" ht="15.75" hidden="false" customHeight="false" outlineLevel="0" collapsed="false">
      <c r="A1065" s="7"/>
      <c r="B1065" s="16"/>
      <c r="C1065" s="19"/>
      <c r="D1065" s="18"/>
      <c r="E1065" s="18"/>
      <c r="F1065" s="18"/>
      <c r="G1065" s="7"/>
      <c r="H1065" s="7"/>
      <c r="I1065" s="7"/>
      <c r="J1065" s="12"/>
      <c r="K1065" s="8"/>
      <c r="Q1065" s="8"/>
      <c r="Z1065" s="9"/>
    </row>
    <row r="1066" customFormat="false" ht="15.75" hidden="false" customHeight="false" outlineLevel="0" collapsed="false">
      <c r="A1066" s="7"/>
      <c r="B1066" s="16"/>
      <c r="C1066" s="19"/>
      <c r="D1066" s="18"/>
      <c r="E1066" s="18"/>
      <c r="F1066" s="18"/>
      <c r="G1066" s="7"/>
      <c r="H1066" s="7"/>
      <c r="I1066" s="7"/>
      <c r="J1066" s="12"/>
      <c r="K1066" s="8"/>
      <c r="Q1066" s="8"/>
      <c r="Z1066" s="9"/>
    </row>
    <row r="1067" customFormat="false" ht="15.75" hidden="false" customHeight="false" outlineLevel="0" collapsed="false">
      <c r="A1067" s="7"/>
      <c r="B1067" s="16"/>
      <c r="C1067" s="19"/>
      <c r="D1067" s="18"/>
      <c r="E1067" s="18"/>
      <c r="F1067" s="18"/>
      <c r="G1067" s="7"/>
      <c r="H1067" s="7"/>
      <c r="I1067" s="7"/>
      <c r="J1067" s="12"/>
      <c r="K1067" s="8"/>
      <c r="Q1067" s="8"/>
      <c r="Z1067" s="9"/>
    </row>
    <row r="1068" customFormat="false" ht="15.75" hidden="false" customHeight="false" outlineLevel="0" collapsed="false">
      <c r="A1068" s="7"/>
      <c r="B1068" s="16"/>
      <c r="C1068" s="19"/>
      <c r="D1068" s="18"/>
      <c r="E1068" s="18"/>
      <c r="F1068" s="18"/>
      <c r="G1068" s="7"/>
      <c r="H1068" s="7"/>
      <c r="I1068" s="7"/>
      <c r="J1068" s="12"/>
      <c r="K1068" s="8"/>
      <c r="Q1068" s="8"/>
      <c r="Z1068" s="9"/>
    </row>
    <row r="1069" customFormat="false" ht="15.75" hidden="false" customHeight="false" outlineLevel="0" collapsed="false">
      <c r="A1069" s="7"/>
      <c r="B1069" s="16"/>
      <c r="C1069" s="19"/>
      <c r="D1069" s="18"/>
      <c r="E1069" s="18"/>
      <c r="F1069" s="18"/>
      <c r="G1069" s="7"/>
      <c r="H1069" s="7"/>
      <c r="I1069" s="7"/>
      <c r="J1069" s="12"/>
      <c r="K1069" s="8"/>
      <c r="Q1069" s="8"/>
      <c r="Z1069" s="9"/>
    </row>
    <row r="1070" customFormat="false" ht="15.75" hidden="false" customHeight="false" outlineLevel="0" collapsed="false">
      <c r="A1070" s="7"/>
      <c r="B1070" s="16"/>
      <c r="C1070" s="19"/>
      <c r="D1070" s="18"/>
      <c r="E1070" s="18"/>
      <c r="F1070" s="18"/>
      <c r="G1070" s="7"/>
      <c r="H1070" s="7"/>
      <c r="I1070" s="7"/>
      <c r="J1070" s="12"/>
      <c r="K1070" s="8"/>
      <c r="Q1070" s="8"/>
      <c r="Z1070" s="9"/>
    </row>
    <row r="1071" customFormat="false" ht="15.75" hidden="false" customHeight="false" outlineLevel="0" collapsed="false">
      <c r="A1071" s="7"/>
      <c r="B1071" s="16"/>
      <c r="C1071" s="19"/>
      <c r="D1071" s="18"/>
      <c r="E1071" s="18"/>
      <c r="F1071" s="18"/>
      <c r="G1071" s="7"/>
      <c r="H1071" s="7"/>
      <c r="I1071" s="7"/>
      <c r="J1071" s="12"/>
      <c r="K1071" s="8"/>
      <c r="Q1071" s="8"/>
      <c r="Z1071" s="9"/>
    </row>
    <row r="1072" customFormat="false" ht="15.75" hidden="false" customHeight="false" outlineLevel="0" collapsed="false">
      <c r="A1072" s="7"/>
      <c r="B1072" s="16"/>
      <c r="C1072" s="19"/>
      <c r="D1072" s="18"/>
      <c r="E1072" s="18"/>
      <c r="F1072" s="18"/>
      <c r="G1072" s="7"/>
      <c r="H1072" s="7"/>
      <c r="I1072" s="7"/>
      <c r="J1072" s="12"/>
      <c r="K1072" s="8"/>
      <c r="Q1072" s="8"/>
      <c r="Z1072" s="9"/>
    </row>
    <row r="1073" customFormat="false" ht="15.75" hidden="false" customHeight="false" outlineLevel="0" collapsed="false">
      <c r="A1073" s="7"/>
      <c r="B1073" s="16"/>
      <c r="C1073" s="19"/>
      <c r="D1073" s="18"/>
      <c r="E1073" s="18"/>
      <c r="F1073" s="18"/>
      <c r="G1073" s="7"/>
      <c r="H1073" s="7"/>
      <c r="I1073" s="7"/>
      <c r="J1073" s="12"/>
      <c r="K1073" s="8"/>
      <c r="Q1073" s="8"/>
      <c r="Z1073" s="9"/>
    </row>
    <row r="1074" customFormat="false" ht="15.75" hidden="false" customHeight="false" outlineLevel="0" collapsed="false">
      <c r="A1074" s="7"/>
      <c r="B1074" s="16"/>
      <c r="C1074" s="19"/>
      <c r="D1074" s="18"/>
      <c r="E1074" s="18"/>
      <c r="F1074" s="18"/>
      <c r="G1074" s="7"/>
      <c r="H1074" s="7"/>
      <c r="I1074" s="7"/>
      <c r="J1074" s="12"/>
      <c r="K1074" s="8"/>
      <c r="Q1074" s="8"/>
      <c r="Z1074" s="9"/>
    </row>
    <row r="1075" customFormat="false" ht="15.75" hidden="false" customHeight="false" outlineLevel="0" collapsed="false">
      <c r="A1075" s="7"/>
      <c r="B1075" s="16"/>
      <c r="C1075" s="19"/>
      <c r="D1075" s="18"/>
      <c r="E1075" s="18"/>
      <c r="F1075" s="18"/>
      <c r="G1075" s="7"/>
      <c r="H1075" s="7"/>
      <c r="I1075" s="7"/>
      <c r="J1075" s="12"/>
      <c r="K1075" s="8"/>
      <c r="Q1075" s="8"/>
      <c r="Z1075" s="9"/>
    </row>
    <row r="1076" customFormat="false" ht="15.75" hidden="false" customHeight="false" outlineLevel="0" collapsed="false">
      <c r="A1076" s="7"/>
      <c r="B1076" s="16"/>
      <c r="C1076" s="19"/>
      <c r="D1076" s="18"/>
      <c r="E1076" s="18"/>
      <c r="F1076" s="18"/>
      <c r="G1076" s="7"/>
      <c r="H1076" s="7"/>
      <c r="I1076" s="7"/>
      <c r="J1076" s="12"/>
      <c r="K1076" s="8"/>
      <c r="Q1076" s="8"/>
      <c r="Z1076" s="9"/>
    </row>
    <row r="1077" customFormat="false" ht="15.75" hidden="false" customHeight="false" outlineLevel="0" collapsed="false">
      <c r="A1077" s="7"/>
      <c r="B1077" s="16"/>
      <c r="C1077" s="19"/>
      <c r="D1077" s="18"/>
      <c r="E1077" s="18"/>
      <c r="F1077" s="18"/>
      <c r="G1077" s="7"/>
      <c r="H1077" s="7"/>
      <c r="I1077" s="7"/>
      <c r="J1077" s="12"/>
      <c r="K1077" s="8"/>
      <c r="Q1077" s="8"/>
      <c r="Z1077" s="9"/>
    </row>
    <row r="1078" customFormat="false" ht="15.75" hidden="false" customHeight="false" outlineLevel="0" collapsed="false">
      <c r="A1078" s="7"/>
      <c r="B1078" s="16"/>
      <c r="C1078" s="19"/>
      <c r="D1078" s="18"/>
      <c r="E1078" s="18"/>
      <c r="F1078" s="18"/>
      <c r="G1078" s="7"/>
      <c r="H1078" s="7"/>
      <c r="I1078" s="7"/>
      <c r="J1078" s="12"/>
      <c r="K1078" s="8"/>
      <c r="Q1078" s="8"/>
      <c r="Z1078" s="9"/>
    </row>
    <row r="1079" customFormat="false" ht="15.75" hidden="false" customHeight="false" outlineLevel="0" collapsed="false">
      <c r="A1079" s="7"/>
      <c r="B1079" s="16"/>
      <c r="C1079" s="19"/>
      <c r="D1079" s="18"/>
      <c r="E1079" s="18"/>
      <c r="F1079" s="18"/>
      <c r="G1079" s="7"/>
      <c r="H1079" s="7"/>
      <c r="I1079" s="7"/>
      <c r="J1079" s="12"/>
      <c r="K1079" s="8"/>
      <c r="Q1079" s="8"/>
      <c r="Z1079" s="9"/>
    </row>
    <row r="1080" customFormat="false" ht="15.75" hidden="false" customHeight="false" outlineLevel="0" collapsed="false">
      <c r="A1080" s="7"/>
      <c r="B1080" s="16"/>
      <c r="C1080" s="19"/>
      <c r="D1080" s="18"/>
      <c r="E1080" s="18"/>
      <c r="F1080" s="18"/>
      <c r="G1080" s="7"/>
      <c r="H1080" s="7"/>
      <c r="I1080" s="7"/>
      <c r="J1080" s="12"/>
      <c r="K1080" s="8"/>
      <c r="Q1080" s="8"/>
      <c r="Z1080" s="9"/>
    </row>
    <row r="1081" customFormat="false" ht="15.75" hidden="false" customHeight="false" outlineLevel="0" collapsed="false">
      <c r="A1081" s="7"/>
      <c r="B1081" s="16"/>
      <c r="C1081" s="19"/>
      <c r="D1081" s="18"/>
      <c r="E1081" s="18"/>
      <c r="F1081" s="18"/>
      <c r="G1081" s="7"/>
      <c r="H1081" s="7"/>
      <c r="I1081" s="7"/>
      <c r="J1081" s="12"/>
      <c r="K1081" s="8"/>
      <c r="Q1081" s="8"/>
      <c r="Z1081" s="9"/>
    </row>
    <row r="1082" customFormat="false" ht="15.75" hidden="false" customHeight="false" outlineLevel="0" collapsed="false">
      <c r="A1082" s="7"/>
      <c r="B1082" s="16"/>
      <c r="C1082" s="19"/>
      <c r="D1082" s="18"/>
      <c r="E1082" s="18"/>
      <c r="F1082" s="18"/>
      <c r="G1082" s="7"/>
      <c r="H1082" s="7"/>
      <c r="I1082" s="7"/>
      <c r="J1082" s="12"/>
      <c r="K1082" s="8"/>
      <c r="Q1082" s="8"/>
      <c r="Z1082" s="9"/>
    </row>
    <row r="1083" customFormat="false" ht="15.75" hidden="false" customHeight="false" outlineLevel="0" collapsed="false">
      <c r="A1083" s="7"/>
      <c r="B1083" s="16"/>
      <c r="C1083" s="19"/>
      <c r="D1083" s="18"/>
      <c r="E1083" s="18"/>
      <c r="F1083" s="18"/>
      <c r="G1083" s="7"/>
      <c r="H1083" s="7"/>
      <c r="I1083" s="7"/>
      <c r="J1083" s="12"/>
      <c r="K1083" s="8"/>
      <c r="Q1083" s="8"/>
      <c r="Z1083" s="9"/>
    </row>
    <row r="1084" customFormat="false" ht="15.75" hidden="false" customHeight="false" outlineLevel="0" collapsed="false">
      <c r="A1084" s="7"/>
      <c r="B1084" s="16"/>
      <c r="C1084" s="19"/>
      <c r="D1084" s="18"/>
      <c r="E1084" s="18"/>
      <c r="F1084" s="18"/>
      <c r="G1084" s="7"/>
      <c r="H1084" s="7"/>
      <c r="I1084" s="7"/>
      <c r="J1084" s="12"/>
      <c r="K1084" s="8"/>
      <c r="Q1084" s="8"/>
      <c r="Z1084" s="9"/>
    </row>
    <row r="1085" customFormat="false" ht="15.75" hidden="false" customHeight="false" outlineLevel="0" collapsed="false">
      <c r="A1085" s="7"/>
      <c r="B1085" s="16"/>
      <c r="C1085" s="19"/>
      <c r="D1085" s="18"/>
      <c r="E1085" s="18"/>
      <c r="F1085" s="18"/>
      <c r="G1085" s="7"/>
      <c r="H1085" s="7"/>
      <c r="I1085" s="7"/>
      <c r="J1085" s="12"/>
      <c r="K1085" s="8"/>
      <c r="Q1085" s="8"/>
      <c r="Z1085" s="9"/>
    </row>
    <row r="1086" customFormat="false" ht="15.75" hidden="false" customHeight="false" outlineLevel="0" collapsed="false">
      <c r="A1086" s="7"/>
      <c r="B1086" s="16"/>
      <c r="C1086" s="19"/>
      <c r="D1086" s="18"/>
      <c r="E1086" s="18"/>
      <c r="F1086" s="18"/>
      <c r="G1086" s="7"/>
      <c r="H1086" s="7"/>
      <c r="I1086" s="7"/>
      <c r="J1086" s="12"/>
      <c r="K1086" s="8"/>
      <c r="Q1086" s="8"/>
      <c r="Z1086" s="9"/>
    </row>
    <row r="1087" customFormat="false" ht="15.75" hidden="false" customHeight="false" outlineLevel="0" collapsed="false">
      <c r="A1087" s="7"/>
      <c r="B1087" s="16"/>
      <c r="C1087" s="19"/>
      <c r="D1087" s="18"/>
      <c r="E1087" s="18"/>
      <c r="F1087" s="18"/>
      <c r="G1087" s="7"/>
      <c r="H1087" s="7"/>
      <c r="I1087" s="7"/>
      <c r="J1087" s="12"/>
      <c r="K1087" s="8"/>
      <c r="Q1087" s="8"/>
      <c r="Z1087" s="9"/>
    </row>
    <row r="1088" customFormat="false" ht="15.75" hidden="false" customHeight="false" outlineLevel="0" collapsed="false">
      <c r="A1088" s="7"/>
      <c r="B1088" s="16"/>
      <c r="C1088" s="19"/>
      <c r="D1088" s="18"/>
      <c r="E1088" s="18"/>
      <c r="F1088" s="18"/>
      <c r="G1088" s="7"/>
      <c r="H1088" s="7"/>
      <c r="I1088" s="7"/>
      <c r="J1088" s="12"/>
      <c r="K1088" s="8"/>
      <c r="Q1088" s="8"/>
      <c r="Z1088" s="9"/>
    </row>
    <row r="1089" customFormat="false" ht="15.75" hidden="false" customHeight="false" outlineLevel="0" collapsed="false">
      <c r="A1089" s="7"/>
      <c r="B1089" s="16"/>
      <c r="C1089" s="19"/>
      <c r="D1089" s="18"/>
      <c r="E1089" s="18"/>
      <c r="F1089" s="18"/>
      <c r="G1089" s="7"/>
      <c r="H1089" s="7"/>
      <c r="I1089" s="7"/>
      <c r="J1089" s="12"/>
      <c r="K1089" s="8"/>
      <c r="Q1089" s="8"/>
      <c r="Z1089" s="9"/>
    </row>
    <row r="1090" customFormat="false" ht="15.75" hidden="false" customHeight="false" outlineLevel="0" collapsed="false">
      <c r="A1090" s="7"/>
      <c r="B1090" s="16"/>
      <c r="C1090" s="19"/>
      <c r="D1090" s="18"/>
      <c r="E1090" s="18"/>
      <c r="F1090" s="18"/>
      <c r="G1090" s="7"/>
      <c r="H1090" s="7"/>
      <c r="I1090" s="7"/>
      <c r="J1090" s="12"/>
      <c r="K1090" s="8"/>
      <c r="Q1090" s="8"/>
      <c r="Z1090" s="9"/>
    </row>
    <row r="1091" customFormat="false" ht="15.75" hidden="false" customHeight="false" outlineLevel="0" collapsed="false">
      <c r="A1091" s="7"/>
      <c r="B1091" s="16"/>
      <c r="C1091" s="19"/>
      <c r="D1091" s="18"/>
      <c r="E1091" s="18"/>
      <c r="F1091" s="18"/>
      <c r="G1091" s="7"/>
      <c r="H1091" s="7"/>
      <c r="I1091" s="7"/>
      <c r="J1091" s="12"/>
      <c r="K1091" s="8"/>
      <c r="Q1091" s="8"/>
      <c r="Z1091" s="9"/>
    </row>
    <row r="1092" customFormat="false" ht="15.75" hidden="false" customHeight="false" outlineLevel="0" collapsed="false">
      <c r="A1092" s="7"/>
      <c r="B1092" s="16"/>
      <c r="C1092" s="19"/>
      <c r="D1092" s="18"/>
      <c r="E1092" s="18"/>
      <c r="F1092" s="18"/>
      <c r="G1092" s="7"/>
      <c r="H1092" s="7"/>
      <c r="I1092" s="7"/>
      <c r="J1092" s="12"/>
      <c r="K1092" s="8"/>
      <c r="Q1092" s="8"/>
      <c r="Z1092" s="9"/>
    </row>
    <row r="1093" customFormat="false" ht="15.75" hidden="false" customHeight="false" outlineLevel="0" collapsed="false">
      <c r="A1093" s="7"/>
      <c r="B1093" s="16"/>
      <c r="C1093" s="19"/>
      <c r="D1093" s="18"/>
      <c r="E1093" s="18"/>
      <c r="F1093" s="18"/>
      <c r="G1093" s="7"/>
      <c r="H1093" s="7"/>
      <c r="I1093" s="7"/>
      <c r="J1093" s="12"/>
      <c r="K1093" s="8"/>
      <c r="Q1093" s="8"/>
      <c r="Z1093" s="9"/>
    </row>
    <row r="1094" customFormat="false" ht="15.75" hidden="false" customHeight="false" outlineLevel="0" collapsed="false">
      <c r="A1094" s="7"/>
      <c r="B1094" s="16"/>
      <c r="C1094" s="19"/>
      <c r="D1094" s="18"/>
      <c r="E1094" s="18"/>
      <c r="F1094" s="18"/>
      <c r="G1094" s="7"/>
      <c r="H1094" s="7"/>
      <c r="I1094" s="7"/>
      <c r="J1094" s="12"/>
      <c r="K1094" s="8"/>
      <c r="Q1094" s="8"/>
      <c r="Z1094" s="9"/>
    </row>
    <row r="1095" customFormat="false" ht="15.75" hidden="false" customHeight="false" outlineLevel="0" collapsed="false">
      <c r="A1095" s="7"/>
      <c r="B1095" s="16"/>
      <c r="C1095" s="19"/>
      <c r="D1095" s="18"/>
      <c r="E1095" s="18"/>
      <c r="F1095" s="18"/>
      <c r="G1095" s="7"/>
      <c r="H1095" s="7"/>
      <c r="I1095" s="7"/>
      <c r="J1095" s="12"/>
      <c r="K1095" s="8"/>
      <c r="Q1095" s="8"/>
      <c r="Z1095" s="9"/>
    </row>
    <row r="1096" customFormat="false" ht="15.75" hidden="false" customHeight="false" outlineLevel="0" collapsed="false">
      <c r="A1096" s="7"/>
      <c r="B1096" s="16"/>
      <c r="C1096" s="19"/>
      <c r="D1096" s="18"/>
      <c r="E1096" s="18"/>
      <c r="F1096" s="18"/>
      <c r="G1096" s="7"/>
      <c r="H1096" s="7"/>
      <c r="I1096" s="7"/>
      <c r="J1096" s="12"/>
      <c r="K1096" s="8"/>
      <c r="Q1096" s="8"/>
      <c r="Z1096" s="9"/>
    </row>
    <row r="1097" customFormat="false" ht="15.75" hidden="false" customHeight="false" outlineLevel="0" collapsed="false">
      <c r="A1097" s="7"/>
      <c r="B1097" s="16"/>
      <c r="C1097" s="19"/>
      <c r="D1097" s="18"/>
      <c r="E1097" s="18"/>
      <c r="F1097" s="18"/>
      <c r="G1097" s="7"/>
      <c r="H1097" s="7"/>
      <c r="I1097" s="7"/>
      <c r="J1097" s="12"/>
      <c r="K1097" s="8"/>
      <c r="Q1097" s="8"/>
      <c r="Z1097" s="9"/>
    </row>
    <row r="1098" customFormat="false" ht="15.75" hidden="false" customHeight="false" outlineLevel="0" collapsed="false">
      <c r="A1098" s="7"/>
      <c r="B1098" s="16"/>
      <c r="C1098" s="19"/>
      <c r="D1098" s="18"/>
      <c r="E1098" s="18"/>
      <c r="F1098" s="18"/>
      <c r="G1098" s="7"/>
      <c r="H1098" s="7"/>
      <c r="I1098" s="7"/>
      <c r="J1098" s="12"/>
      <c r="K1098" s="8"/>
      <c r="Q1098" s="8"/>
      <c r="Z1098" s="9"/>
    </row>
    <row r="1099" customFormat="false" ht="15.75" hidden="false" customHeight="false" outlineLevel="0" collapsed="false">
      <c r="A1099" s="7"/>
      <c r="B1099" s="16"/>
      <c r="C1099" s="19"/>
      <c r="D1099" s="18"/>
      <c r="E1099" s="18"/>
      <c r="F1099" s="18"/>
      <c r="G1099" s="7"/>
      <c r="H1099" s="7"/>
      <c r="I1099" s="7"/>
      <c r="J1099" s="12"/>
      <c r="K1099" s="8"/>
      <c r="Q1099" s="8"/>
      <c r="Z1099" s="9"/>
    </row>
    <row r="1100" customFormat="false" ht="15.75" hidden="false" customHeight="false" outlineLevel="0" collapsed="false">
      <c r="A1100" s="7"/>
      <c r="B1100" s="16"/>
      <c r="C1100" s="19"/>
      <c r="D1100" s="18"/>
      <c r="E1100" s="18"/>
      <c r="F1100" s="18"/>
      <c r="G1100" s="7"/>
      <c r="H1100" s="7"/>
      <c r="I1100" s="7"/>
      <c r="J1100" s="12"/>
      <c r="K1100" s="8"/>
      <c r="Q1100" s="8"/>
      <c r="Z1100" s="9"/>
    </row>
    <row r="1101" customFormat="false" ht="15.75" hidden="false" customHeight="false" outlineLevel="0" collapsed="false">
      <c r="A1101" s="7"/>
      <c r="B1101" s="16"/>
      <c r="C1101" s="19"/>
      <c r="D1101" s="18"/>
      <c r="E1101" s="18"/>
      <c r="F1101" s="18"/>
      <c r="G1101" s="7"/>
      <c r="H1101" s="7"/>
      <c r="I1101" s="7"/>
      <c r="J1101" s="12"/>
      <c r="K1101" s="8"/>
      <c r="Q1101" s="8"/>
      <c r="Z1101" s="9"/>
    </row>
    <row r="1102" customFormat="false" ht="15.75" hidden="false" customHeight="false" outlineLevel="0" collapsed="false">
      <c r="A1102" s="7"/>
      <c r="B1102" s="16"/>
      <c r="C1102" s="19"/>
      <c r="D1102" s="18"/>
      <c r="E1102" s="18"/>
      <c r="F1102" s="18"/>
      <c r="G1102" s="7"/>
      <c r="H1102" s="7"/>
      <c r="I1102" s="7"/>
      <c r="J1102" s="12"/>
      <c r="K1102" s="8"/>
      <c r="Q1102" s="8"/>
      <c r="Z1102" s="9"/>
    </row>
    <row r="1103" customFormat="false" ht="15.75" hidden="false" customHeight="false" outlineLevel="0" collapsed="false">
      <c r="A1103" s="7"/>
      <c r="B1103" s="16"/>
      <c r="C1103" s="19"/>
      <c r="D1103" s="18"/>
      <c r="E1103" s="18"/>
      <c r="F1103" s="18"/>
      <c r="G1103" s="7"/>
      <c r="H1103" s="7"/>
      <c r="I1103" s="7"/>
      <c r="J1103" s="12"/>
      <c r="K1103" s="8"/>
      <c r="Q1103" s="8"/>
      <c r="Z1103" s="9"/>
    </row>
    <row r="1104" customFormat="false" ht="15.75" hidden="false" customHeight="false" outlineLevel="0" collapsed="false">
      <c r="A1104" s="7"/>
      <c r="B1104" s="16"/>
      <c r="C1104" s="19"/>
      <c r="D1104" s="18"/>
      <c r="E1104" s="18"/>
      <c r="F1104" s="18"/>
      <c r="G1104" s="7"/>
      <c r="H1104" s="7"/>
      <c r="I1104" s="7"/>
      <c r="J1104" s="12"/>
      <c r="K1104" s="8"/>
      <c r="Q1104" s="8"/>
      <c r="Z1104" s="9"/>
    </row>
    <row r="1105" customFormat="false" ht="15.75" hidden="false" customHeight="false" outlineLevel="0" collapsed="false">
      <c r="A1105" s="7"/>
      <c r="B1105" s="16"/>
      <c r="C1105" s="19"/>
      <c r="D1105" s="18"/>
      <c r="E1105" s="18"/>
      <c r="F1105" s="18"/>
      <c r="G1105" s="7"/>
      <c r="H1105" s="7"/>
      <c r="I1105" s="7"/>
      <c r="J1105" s="12"/>
      <c r="K1105" s="8"/>
      <c r="Q1105" s="8"/>
      <c r="Z1105" s="9"/>
    </row>
    <row r="1106" customFormat="false" ht="15.75" hidden="false" customHeight="false" outlineLevel="0" collapsed="false">
      <c r="A1106" s="7"/>
      <c r="B1106" s="16"/>
      <c r="C1106" s="19"/>
      <c r="D1106" s="18"/>
      <c r="E1106" s="18"/>
      <c r="F1106" s="18"/>
      <c r="G1106" s="7"/>
      <c r="H1106" s="7"/>
      <c r="I1106" s="7"/>
      <c r="J1106" s="12"/>
      <c r="K1106" s="8"/>
      <c r="Q1106" s="8"/>
      <c r="Z1106" s="9"/>
    </row>
    <row r="1107" customFormat="false" ht="15.75" hidden="false" customHeight="false" outlineLevel="0" collapsed="false">
      <c r="A1107" s="7"/>
      <c r="B1107" s="16"/>
      <c r="C1107" s="19"/>
      <c r="D1107" s="18"/>
      <c r="E1107" s="18"/>
      <c r="F1107" s="18"/>
      <c r="G1107" s="7"/>
      <c r="H1107" s="7"/>
      <c r="I1107" s="7"/>
      <c r="J1107" s="12"/>
      <c r="K1107" s="8"/>
      <c r="Q1107" s="8"/>
      <c r="Z1107" s="9"/>
    </row>
    <row r="1108" customFormat="false" ht="15.75" hidden="false" customHeight="false" outlineLevel="0" collapsed="false">
      <c r="A1108" s="7"/>
      <c r="B1108" s="16"/>
      <c r="C1108" s="19"/>
      <c r="D1108" s="18"/>
      <c r="E1108" s="18"/>
      <c r="F1108" s="18"/>
      <c r="G1108" s="7"/>
      <c r="H1108" s="7"/>
      <c r="I1108" s="7"/>
      <c r="J1108" s="12"/>
      <c r="K1108" s="8"/>
      <c r="Q1108" s="8"/>
      <c r="Z1108" s="9"/>
    </row>
    <row r="1109" customFormat="false" ht="15.75" hidden="false" customHeight="false" outlineLevel="0" collapsed="false">
      <c r="A1109" s="7"/>
      <c r="B1109" s="16"/>
      <c r="C1109" s="19"/>
      <c r="D1109" s="18"/>
      <c r="E1109" s="18"/>
      <c r="F1109" s="18"/>
      <c r="G1109" s="7"/>
      <c r="H1109" s="7"/>
      <c r="I1109" s="7"/>
      <c r="J1109" s="12"/>
      <c r="K1109" s="8"/>
      <c r="Q1109" s="8"/>
      <c r="Z1109" s="9"/>
    </row>
    <row r="1110" customFormat="false" ht="15.75" hidden="false" customHeight="false" outlineLevel="0" collapsed="false">
      <c r="A1110" s="7"/>
      <c r="B1110" s="16"/>
      <c r="C1110" s="19"/>
      <c r="D1110" s="18"/>
      <c r="E1110" s="18"/>
      <c r="F1110" s="18"/>
      <c r="G1110" s="7"/>
      <c r="H1110" s="7"/>
      <c r="I1110" s="7"/>
      <c r="J1110" s="12"/>
      <c r="K1110" s="8"/>
      <c r="Q1110" s="8"/>
      <c r="Z1110" s="9"/>
    </row>
    <row r="1111" customFormat="false" ht="15.75" hidden="false" customHeight="false" outlineLevel="0" collapsed="false">
      <c r="A1111" s="7"/>
      <c r="B1111" s="16"/>
      <c r="C1111" s="19"/>
      <c r="D1111" s="18"/>
      <c r="E1111" s="18"/>
      <c r="F1111" s="18"/>
      <c r="G1111" s="7"/>
      <c r="H1111" s="7"/>
      <c r="I1111" s="7"/>
      <c r="J1111" s="12"/>
      <c r="K1111" s="8"/>
      <c r="Q1111" s="8"/>
      <c r="Z1111" s="9"/>
    </row>
    <row r="1112" customFormat="false" ht="15.75" hidden="false" customHeight="false" outlineLevel="0" collapsed="false">
      <c r="A1112" s="7"/>
      <c r="B1112" s="16"/>
      <c r="C1112" s="19"/>
      <c r="D1112" s="18"/>
      <c r="E1112" s="18"/>
      <c r="F1112" s="18"/>
      <c r="G1112" s="7"/>
      <c r="H1112" s="7"/>
      <c r="I1112" s="7"/>
      <c r="J1112" s="12"/>
      <c r="K1112" s="8"/>
      <c r="Q1112" s="8"/>
      <c r="Z1112" s="9"/>
    </row>
    <row r="1113" customFormat="false" ht="15.75" hidden="false" customHeight="false" outlineLevel="0" collapsed="false">
      <c r="A1113" s="7"/>
      <c r="B1113" s="16"/>
      <c r="C1113" s="19"/>
      <c r="D1113" s="18"/>
      <c r="E1113" s="18"/>
      <c r="F1113" s="18"/>
      <c r="G1113" s="7"/>
      <c r="H1113" s="7"/>
      <c r="I1113" s="7"/>
      <c r="J1113" s="12"/>
      <c r="K1113" s="8"/>
      <c r="Q1113" s="8"/>
      <c r="Z1113" s="9"/>
    </row>
    <row r="1114" customFormat="false" ht="15.75" hidden="false" customHeight="false" outlineLevel="0" collapsed="false">
      <c r="A1114" s="7"/>
      <c r="B1114" s="16"/>
      <c r="C1114" s="19"/>
      <c r="D1114" s="18"/>
      <c r="E1114" s="18"/>
      <c r="F1114" s="18"/>
      <c r="G1114" s="7"/>
      <c r="H1114" s="7"/>
      <c r="I1114" s="7"/>
      <c r="J1114" s="12"/>
      <c r="K1114" s="8"/>
      <c r="Q1114" s="8"/>
      <c r="Z1114" s="9"/>
    </row>
    <row r="1115" customFormat="false" ht="15.75" hidden="false" customHeight="false" outlineLevel="0" collapsed="false">
      <c r="A1115" s="7"/>
      <c r="B1115" s="16"/>
      <c r="C1115" s="19"/>
      <c r="D1115" s="18"/>
      <c r="E1115" s="18"/>
      <c r="F1115" s="18"/>
      <c r="G1115" s="7"/>
      <c r="H1115" s="7"/>
      <c r="I1115" s="7"/>
      <c r="J1115" s="12"/>
      <c r="K1115" s="8"/>
      <c r="Q1115" s="8"/>
      <c r="Z1115" s="9"/>
    </row>
    <row r="1116" customFormat="false" ht="15.75" hidden="false" customHeight="false" outlineLevel="0" collapsed="false">
      <c r="A1116" s="7"/>
      <c r="B1116" s="16"/>
      <c r="C1116" s="19"/>
      <c r="D1116" s="18"/>
      <c r="E1116" s="18"/>
      <c r="F1116" s="18"/>
      <c r="G1116" s="7"/>
      <c r="H1116" s="7"/>
      <c r="I1116" s="7"/>
      <c r="J1116" s="12"/>
      <c r="K1116" s="8"/>
      <c r="Q1116" s="8"/>
      <c r="Z1116" s="9"/>
    </row>
    <row r="1117" customFormat="false" ht="15.75" hidden="false" customHeight="false" outlineLevel="0" collapsed="false">
      <c r="A1117" s="7"/>
      <c r="B1117" s="16"/>
      <c r="C1117" s="19"/>
      <c r="D1117" s="18"/>
      <c r="E1117" s="18"/>
      <c r="F1117" s="18"/>
      <c r="G1117" s="7"/>
      <c r="H1117" s="7"/>
      <c r="I1117" s="7"/>
      <c r="J1117" s="12"/>
      <c r="K1117" s="8"/>
      <c r="Q1117" s="8"/>
      <c r="Z1117" s="9"/>
    </row>
    <row r="1118" customFormat="false" ht="15.75" hidden="false" customHeight="false" outlineLevel="0" collapsed="false">
      <c r="A1118" s="7"/>
      <c r="B1118" s="16"/>
      <c r="C1118" s="19"/>
      <c r="D1118" s="18"/>
      <c r="E1118" s="18"/>
      <c r="F1118" s="18"/>
      <c r="G1118" s="7"/>
      <c r="H1118" s="7"/>
      <c r="I1118" s="7"/>
      <c r="J1118" s="12"/>
      <c r="K1118" s="8"/>
      <c r="Q1118" s="8"/>
      <c r="Z1118" s="9"/>
    </row>
    <row r="1119" customFormat="false" ht="15.75" hidden="false" customHeight="false" outlineLevel="0" collapsed="false">
      <c r="A1119" s="7"/>
      <c r="B1119" s="16"/>
      <c r="C1119" s="19"/>
      <c r="D1119" s="18"/>
      <c r="E1119" s="18"/>
      <c r="F1119" s="18"/>
      <c r="G1119" s="7"/>
      <c r="H1119" s="7"/>
      <c r="I1119" s="7"/>
      <c r="J1119" s="12"/>
      <c r="K1119" s="8"/>
      <c r="Q1119" s="8"/>
      <c r="Z1119" s="9"/>
    </row>
    <row r="1120" customFormat="false" ht="15.75" hidden="false" customHeight="false" outlineLevel="0" collapsed="false">
      <c r="A1120" s="7"/>
      <c r="B1120" s="16"/>
      <c r="C1120" s="19"/>
      <c r="D1120" s="18"/>
      <c r="E1120" s="18"/>
      <c r="F1120" s="18"/>
      <c r="G1120" s="7"/>
      <c r="H1120" s="7"/>
      <c r="I1120" s="7"/>
      <c r="J1120" s="12"/>
      <c r="K1120" s="8"/>
      <c r="Q1120" s="8"/>
      <c r="Z1120" s="9"/>
    </row>
    <row r="1121" customFormat="false" ht="15.75" hidden="false" customHeight="false" outlineLevel="0" collapsed="false">
      <c r="A1121" s="7"/>
      <c r="B1121" s="16"/>
      <c r="C1121" s="19"/>
      <c r="D1121" s="18"/>
      <c r="E1121" s="18"/>
      <c r="F1121" s="18"/>
      <c r="G1121" s="7"/>
      <c r="H1121" s="7"/>
      <c r="I1121" s="7"/>
      <c r="J1121" s="12"/>
      <c r="K1121" s="8"/>
      <c r="Q1121" s="8"/>
      <c r="Z1121" s="9"/>
    </row>
    <row r="1122" customFormat="false" ht="15.75" hidden="false" customHeight="false" outlineLevel="0" collapsed="false">
      <c r="A1122" s="7"/>
      <c r="B1122" s="16"/>
      <c r="C1122" s="19"/>
      <c r="D1122" s="18"/>
      <c r="E1122" s="18"/>
      <c r="F1122" s="18"/>
      <c r="G1122" s="7"/>
      <c r="H1122" s="7"/>
      <c r="I1122" s="7"/>
      <c r="J1122" s="12"/>
      <c r="K1122" s="8"/>
      <c r="Q1122" s="8"/>
      <c r="Z1122" s="9"/>
    </row>
    <row r="1123" customFormat="false" ht="15.75" hidden="false" customHeight="false" outlineLevel="0" collapsed="false">
      <c r="A1123" s="7"/>
      <c r="B1123" s="16"/>
      <c r="C1123" s="19"/>
      <c r="D1123" s="18"/>
      <c r="E1123" s="18"/>
      <c r="F1123" s="18"/>
      <c r="G1123" s="7"/>
      <c r="H1123" s="7"/>
      <c r="I1123" s="7"/>
      <c r="J1123" s="12"/>
      <c r="K1123" s="8"/>
      <c r="Q1123" s="8"/>
      <c r="Z1123" s="9"/>
    </row>
    <row r="1124" customFormat="false" ht="15.75" hidden="false" customHeight="false" outlineLevel="0" collapsed="false">
      <c r="A1124" s="7"/>
      <c r="B1124" s="16"/>
      <c r="C1124" s="19"/>
      <c r="D1124" s="18"/>
      <c r="E1124" s="18"/>
      <c r="F1124" s="18"/>
      <c r="G1124" s="7"/>
      <c r="H1124" s="7"/>
      <c r="I1124" s="7"/>
      <c r="J1124" s="12"/>
      <c r="K1124" s="8"/>
      <c r="Q1124" s="8"/>
      <c r="Z1124" s="9"/>
    </row>
    <row r="1125" customFormat="false" ht="15.75" hidden="false" customHeight="false" outlineLevel="0" collapsed="false">
      <c r="A1125" s="7"/>
      <c r="B1125" s="16"/>
      <c r="C1125" s="19"/>
      <c r="D1125" s="18"/>
      <c r="E1125" s="18"/>
      <c r="F1125" s="18"/>
      <c r="G1125" s="7"/>
      <c r="H1125" s="7"/>
      <c r="I1125" s="7"/>
      <c r="J1125" s="12"/>
      <c r="K1125" s="8"/>
      <c r="Q1125" s="8"/>
      <c r="Z1125" s="9"/>
    </row>
    <row r="1126" customFormat="false" ht="15.75" hidden="false" customHeight="false" outlineLevel="0" collapsed="false">
      <c r="A1126" s="7"/>
      <c r="B1126" s="16"/>
      <c r="C1126" s="19"/>
      <c r="D1126" s="18"/>
      <c r="E1126" s="18"/>
      <c r="F1126" s="18"/>
      <c r="G1126" s="7"/>
      <c r="H1126" s="7"/>
      <c r="I1126" s="7"/>
      <c r="J1126" s="12"/>
      <c r="K1126" s="8"/>
      <c r="Q1126" s="8"/>
      <c r="Z1126" s="9"/>
    </row>
    <row r="1127" customFormat="false" ht="15.75" hidden="false" customHeight="false" outlineLevel="0" collapsed="false">
      <c r="A1127" s="7"/>
      <c r="B1127" s="16"/>
      <c r="C1127" s="19"/>
      <c r="D1127" s="18"/>
      <c r="E1127" s="18"/>
      <c r="F1127" s="18"/>
      <c r="G1127" s="7"/>
      <c r="H1127" s="7"/>
      <c r="I1127" s="7"/>
      <c r="J1127" s="12"/>
      <c r="K1127" s="8"/>
      <c r="Q1127" s="8"/>
      <c r="Z1127" s="9"/>
    </row>
    <row r="1128" customFormat="false" ht="15.75" hidden="false" customHeight="false" outlineLevel="0" collapsed="false">
      <c r="A1128" s="7"/>
      <c r="B1128" s="16"/>
      <c r="C1128" s="19"/>
      <c r="D1128" s="18"/>
      <c r="E1128" s="18"/>
      <c r="F1128" s="18"/>
      <c r="G1128" s="7"/>
      <c r="H1128" s="7"/>
      <c r="I1128" s="7"/>
      <c r="J1128" s="12"/>
      <c r="K1128" s="8"/>
      <c r="Q1128" s="8"/>
      <c r="Z1128" s="9"/>
    </row>
    <row r="1129" customFormat="false" ht="15.75" hidden="false" customHeight="false" outlineLevel="0" collapsed="false">
      <c r="A1129" s="7"/>
      <c r="B1129" s="16"/>
      <c r="C1129" s="19"/>
      <c r="D1129" s="18"/>
      <c r="E1129" s="18"/>
      <c r="F1129" s="18"/>
      <c r="G1129" s="7"/>
      <c r="H1129" s="7"/>
      <c r="I1129" s="7"/>
      <c r="J1129" s="12"/>
      <c r="K1129" s="8"/>
      <c r="Q1129" s="8"/>
      <c r="Z1129" s="9"/>
    </row>
    <row r="1130" customFormat="false" ht="15.75" hidden="false" customHeight="false" outlineLevel="0" collapsed="false">
      <c r="A1130" s="7"/>
      <c r="B1130" s="16"/>
      <c r="C1130" s="19"/>
      <c r="D1130" s="18"/>
      <c r="E1130" s="18"/>
      <c r="F1130" s="18"/>
      <c r="G1130" s="7"/>
      <c r="H1130" s="7"/>
      <c r="I1130" s="7"/>
      <c r="J1130" s="12"/>
      <c r="K1130" s="8"/>
      <c r="Q1130" s="8"/>
      <c r="Z1130" s="9"/>
    </row>
    <row r="1131" customFormat="false" ht="15.75" hidden="false" customHeight="false" outlineLevel="0" collapsed="false">
      <c r="A1131" s="7"/>
      <c r="B1131" s="16"/>
      <c r="C1131" s="19"/>
      <c r="D1131" s="18"/>
      <c r="E1131" s="18"/>
      <c r="F1131" s="18"/>
      <c r="G1131" s="7"/>
      <c r="H1131" s="7"/>
      <c r="I1131" s="7"/>
      <c r="J1131" s="12"/>
      <c r="K1131" s="8"/>
      <c r="Q1131" s="8"/>
      <c r="Z1131" s="9"/>
    </row>
    <row r="1132" customFormat="false" ht="15.75" hidden="false" customHeight="false" outlineLevel="0" collapsed="false">
      <c r="A1132" s="7"/>
      <c r="B1132" s="16"/>
      <c r="C1132" s="19"/>
      <c r="D1132" s="18"/>
      <c r="E1132" s="18"/>
      <c r="F1132" s="18"/>
      <c r="G1132" s="7"/>
      <c r="H1132" s="7"/>
      <c r="I1132" s="7"/>
      <c r="J1132" s="12"/>
      <c r="K1132" s="8"/>
      <c r="Q1132" s="8"/>
      <c r="Z1132" s="9"/>
    </row>
    <row r="1133" customFormat="false" ht="15.75" hidden="false" customHeight="false" outlineLevel="0" collapsed="false">
      <c r="A1133" s="7"/>
      <c r="B1133" s="16"/>
      <c r="C1133" s="19"/>
      <c r="D1133" s="18"/>
      <c r="E1133" s="18"/>
      <c r="F1133" s="18"/>
      <c r="G1133" s="7"/>
      <c r="H1133" s="7"/>
      <c r="I1133" s="7"/>
      <c r="J1133" s="12"/>
      <c r="K1133" s="8"/>
      <c r="Q1133" s="8"/>
      <c r="Z1133" s="9"/>
    </row>
    <row r="1134" customFormat="false" ht="15.75" hidden="false" customHeight="false" outlineLevel="0" collapsed="false">
      <c r="A1134" s="7"/>
      <c r="B1134" s="16"/>
      <c r="C1134" s="19"/>
      <c r="D1134" s="18"/>
      <c r="E1134" s="18"/>
      <c r="F1134" s="18"/>
      <c r="G1134" s="7"/>
      <c r="H1134" s="7"/>
      <c r="I1134" s="7"/>
      <c r="J1134" s="12"/>
      <c r="K1134" s="8"/>
      <c r="Q1134" s="8"/>
      <c r="Z1134" s="9"/>
    </row>
    <row r="1135" customFormat="false" ht="15.75" hidden="false" customHeight="false" outlineLevel="0" collapsed="false">
      <c r="A1135" s="7"/>
      <c r="B1135" s="16"/>
      <c r="C1135" s="19"/>
      <c r="D1135" s="18"/>
      <c r="E1135" s="18"/>
      <c r="F1135" s="18"/>
      <c r="G1135" s="7"/>
      <c r="H1135" s="7"/>
      <c r="I1135" s="7"/>
      <c r="J1135" s="12"/>
      <c r="K1135" s="8"/>
      <c r="Q1135" s="8"/>
      <c r="Z1135" s="9"/>
    </row>
    <row r="1136" customFormat="false" ht="15.75" hidden="false" customHeight="false" outlineLevel="0" collapsed="false">
      <c r="A1136" s="7"/>
      <c r="B1136" s="16"/>
      <c r="C1136" s="19"/>
      <c r="D1136" s="18"/>
      <c r="E1136" s="18"/>
      <c r="F1136" s="18"/>
      <c r="G1136" s="7"/>
      <c r="H1136" s="7"/>
      <c r="I1136" s="7"/>
      <c r="J1136" s="12"/>
      <c r="K1136" s="8"/>
      <c r="Q1136" s="8"/>
      <c r="Z1136" s="9"/>
    </row>
    <row r="1137" customFormat="false" ht="15.75" hidden="false" customHeight="false" outlineLevel="0" collapsed="false">
      <c r="A1137" s="7"/>
      <c r="B1137" s="16"/>
      <c r="C1137" s="19"/>
      <c r="D1137" s="18"/>
      <c r="E1137" s="18"/>
      <c r="F1137" s="18"/>
      <c r="G1137" s="7"/>
      <c r="H1137" s="7"/>
      <c r="I1137" s="7"/>
      <c r="J1137" s="12"/>
      <c r="K1137" s="8"/>
      <c r="Q1137" s="8"/>
      <c r="Z1137" s="9"/>
    </row>
    <row r="1138" customFormat="false" ht="15.75" hidden="false" customHeight="false" outlineLevel="0" collapsed="false">
      <c r="A1138" s="7"/>
      <c r="B1138" s="16"/>
      <c r="C1138" s="19"/>
      <c r="D1138" s="18"/>
      <c r="E1138" s="18"/>
      <c r="F1138" s="18"/>
      <c r="G1138" s="7"/>
      <c r="H1138" s="7"/>
      <c r="I1138" s="7"/>
      <c r="J1138" s="12"/>
      <c r="K1138" s="8"/>
      <c r="Q1138" s="8"/>
      <c r="Z1138" s="9"/>
    </row>
    <row r="1139" customFormat="false" ht="15.75" hidden="false" customHeight="false" outlineLevel="0" collapsed="false">
      <c r="A1139" s="7"/>
      <c r="B1139" s="16"/>
      <c r="C1139" s="19"/>
      <c r="D1139" s="18"/>
      <c r="E1139" s="18"/>
      <c r="F1139" s="18"/>
      <c r="G1139" s="7"/>
      <c r="H1139" s="7"/>
      <c r="I1139" s="7"/>
      <c r="J1139" s="12"/>
      <c r="K1139" s="8"/>
      <c r="Q1139" s="8"/>
      <c r="Z1139" s="9"/>
    </row>
    <row r="1140" customFormat="false" ht="15.75" hidden="false" customHeight="false" outlineLevel="0" collapsed="false">
      <c r="A1140" s="7"/>
      <c r="B1140" s="16"/>
      <c r="C1140" s="19"/>
      <c r="D1140" s="18"/>
      <c r="E1140" s="18"/>
      <c r="F1140" s="18"/>
      <c r="G1140" s="7"/>
      <c r="H1140" s="7"/>
      <c r="I1140" s="7"/>
      <c r="J1140" s="12"/>
      <c r="K1140" s="8"/>
      <c r="Q1140" s="8"/>
      <c r="Z1140" s="9"/>
    </row>
    <row r="1141" customFormat="false" ht="15.75" hidden="false" customHeight="false" outlineLevel="0" collapsed="false">
      <c r="A1141" s="7"/>
      <c r="B1141" s="16"/>
      <c r="C1141" s="19"/>
      <c r="D1141" s="18"/>
      <c r="E1141" s="18"/>
      <c r="F1141" s="18"/>
      <c r="G1141" s="7"/>
      <c r="H1141" s="7"/>
      <c r="I1141" s="7"/>
      <c r="J1141" s="12"/>
      <c r="K1141" s="8"/>
      <c r="Q1141" s="8"/>
      <c r="Z1141" s="9"/>
    </row>
    <row r="1142" customFormat="false" ht="15.75" hidden="false" customHeight="false" outlineLevel="0" collapsed="false">
      <c r="A1142" s="7"/>
      <c r="B1142" s="16"/>
      <c r="C1142" s="19"/>
      <c r="D1142" s="18"/>
      <c r="E1142" s="18"/>
      <c r="F1142" s="18"/>
      <c r="G1142" s="7"/>
      <c r="H1142" s="7"/>
      <c r="I1142" s="7"/>
      <c r="J1142" s="12"/>
      <c r="K1142" s="8"/>
      <c r="Q1142" s="8"/>
      <c r="Z1142" s="9"/>
    </row>
    <row r="1143" customFormat="false" ht="15.75" hidden="false" customHeight="false" outlineLevel="0" collapsed="false">
      <c r="A1143" s="7"/>
      <c r="B1143" s="16"/>
      <c r="C1143" s="19"/>
      <c r="D1143" s="18"/>
      <c r="E1143" s="18"/>
      <c r="F1143" s="18"/>
      <c r="G1143" s="7"/>
      <c r="H1143" s="7"/>
      <c r="I1143" s="7"/>
      <c r="J1143" s="12"/>
      <c r="K1143" s="8"/>
      <c r="Q1143" s="8"/>
      <c r="Z1143" s="9"/>
    </row>
    <row r="1144" customFormat="false" ht="15.75" hidden="false" customHeight="false" outlineLevel="0" collapsed="false">
      <c r="A1144" s="7"/>
      <c r="B1144" s="16"/>
      <c r="C1144" s="19"/>
      <c r="D1144" s="18"/>
      <c r="E1144" s="18"/>
      <c r="F1144" s="18"/>
      <c r="G1144" s="7"/>
      <c r="H1144" s="7"/>
      <c r="I1144" s="7"/>
      <c r="J1144" s="12"/>
      <c r="K1144" s="8"/>
      <c r="Q1144" s="8"/>
      <c r="Z1144" s="9"/>
    </row>
    <row r="1145" customFormat="false" ht="15.75" hidden="false" customHeight="false" outlineLevel="0" collapsed="false">
      <c r="A1145" s="7"/>
      <c r="B1145" s="16"/>
      <c r="C1145" s="19"/>
      <c r="D1145" s="18"/>
      <c r="E1145" s="18"/>
      <c r="F1145" s="18"/>
      <c r="G1145" s="7"/>
      <c r="H1145" s="7"/>
      <c r="I1145" s="7"/>
      <c r="J1145" s="12"/>
      <c r="K1145" s="8"/>
      <c r="Q1145" s="8"/>
      <c r="Z1145" s="9"/>
    </row>
    <row r="1146" customFormat="false" ht="15.75" hidden="false" customHeight="false" outlineLevel="0" collapsed="false">
      <c r="A1146" s="7"/>
      <c r="B1146" s="16"/>
      <c r="C1146" s="19"/>
      <c r="D1146" s="18"/>
      <c r="E1146" s="18"/>
      <c r="F1146" s="18"/>
      <c r="G1146" s="7"/>
      <c r="H1146" s="7"/>
      <c r="I1146" s="7"/>
      <c r="J1146" s="12"/>
      <c r="K1146" s="8"/>
      <c r="Q1146" s="8"/>
      <c r="Z1146" s="9"/>
    </row>
    <row r="1147" customFormat="false" ht="15.75" hidden="false" customHeight="false" outlineLevel="0" collapsed="false">
      <c r="A1147" s="7"/>
      <c r="B1147" s="16"/>
      <c r="C1147" s="19"/>
      <c r="D1147" s="18"/>
      <c r="E1147" s="18"/>
      <c r="F1147" s="18"/>
      <c r="G1147" s="7"/>
      <c r="H1147" s="7"/>
      <c r="I1147" s="7"/>
      <c r="J1147" s="12"/>
      <c r="K1147" s="8"/>
      <c r="Q1147" s="8"/>
      <c r="Z1147" s="9"/>
    </row>
    <row r="1148" customFormat="false" ht="15.75" hidden="false" customHeight="false" outlineLevel="0" collapsed="false">
      <c r="A1148" s="7"/>
      <c r="B1148" s="16"/>
      <c r="C1148" s="19"/>
      <c r="D1148" s="18"/>
      <c r="E1148" s="18"/>
      <c r="F1148" s="18"/>
      <c r="G1148" s="7"/>
      <c r="H1148" s="7"/>
      <c r="I1148" s="7"/>
      <c r="J1148" s="12"/>
      <c r="K1148" s="8"/>
      <c r="Q1148" s="8"/>
      <c r="Z1148" s="9"/>
    </row>
    <row r="1149" customFormat="false" ht="15.75" hidden="false" customHeight="false" outlineLevel="0" collapsed="false">
      <c r="A1149" s="7"/>
      <c r="B1149" s="16"/>
      <c r="C1149" s="19"/>
      <c r="D1149" s="18"/>
      <c r="E1149" s="18"/>
      <c r="F1149" s="18"/>
      <c r="G1149" s="7"/>
      <c r="H1149" s="7"/>
      <c r="I1149" s="7"/>
      <c r="J1149" s="12"/>
      <c r="K1149" s="8"/>
      <c r="Q1149" s="8"/>
      <c r="Z1149" s="9"/>
    </row>
    <row r="1150" customFormat="false" ht="15.75" hidden="false" customHeight="false" outlineLevel="0" collapsed="false">
      <c r="A1150" s="7"/>
      <c r="B1150" s="16"/>
      <c r="C1150" s="19"/>
      <c r="D1150" s="18"/>
      <c r="E1150" s="18"/>
      <c r="F1150" s="18"/>
      <c r="G1150" s="7"/>
      <c r="H1150" s="7"/>
      <c r="I1150" s="7"/>
      <c r="J1150" s="12"/>
      <c r="K1150" s="8"/>
      <c r="Q1150" s="8"/>
      <c r="Z1150" s="9"/>
    </row>
    <row r="1151" customFormat="false" ht="15.75" hidden="false" customHeight="false" outlineLevel="0" collapsed="false">
      <c r="A1151" s="7"/>
      <c r="B1151" s="16"/>
      <c r="C1151" s="19"/>
      <c r="D1151" s="18"/>
      <c r="E1151" s="18"/>
      <c r="F1151" s="18"/>
      <c r="G1151" s="7"/>
      <c r="H1151" s="7"/>
      <c r="I1151" s="7"/>
      <c r="J1151" s="12"/>
      <c r="K1151" s="8"/>
      <c r="Q1151" s="8"/>
      <c r="Z1151" s="9"/>
    </row>
    <row r="1152" customFormat="false" ht="15.75" hidden="false" customHeight="false" outlineLevel="0" collapsed="false">
      <c r="A1152" s="7"/>
      <c r="B1152" s="16"/>
      <c r="C1152" s="19"/>
      <c r="D1152" s="18"/>
      <c r="E1152" s="18"/>
      <c r="F1152" s="18"/>
      <c r="G1152" s="7"/>
      <c r="H1152" s="7"/>
      <c r="I1152" s="7"/>
      <c r="J1152" s="12"/>
      <c r="K1152" s="8"/>
      <c r="Q1152" s="8"/>
      <c r="Z1152" s="9"/>
    </row>
    <row r="1153" customFormat="false" ht="15.75" hidden="false" customHeight="false" outlineLevel="0" collapsed="false">
      <c r="A1153" s="7"/>
      <c r="B1153" s="16"/>
      <c r="C1153" s="19"/>
      <c r="D1153" s="18"/>
      <c r="E1153" s="18"/>
      <c r="F1153" s="18"/>
      <c r="G1153" s="7"/>
      <c r="H1153" s="7"/>
      <c r="I1153" s="7"/>
      <c r="J1153" s="12"/>
      <c r="K1153" s="8"/>
      <c r="Q1153" s="8"/>
      <c r="Z1153" s="9"/>
    </row>
    <row r="1154" customFormat="false" ht="15.75" hidden="false" customHeight="false" outlineLevel="0" collapsed="false">
      <c r="A1154" s="7"/>
      <c r="B1154" s="16"/>
      <c r="C1154" s="19"/>
      <c r="D1154" s="18"/>
      <c r="E1154" s="18"/>
      <c r="F1154" s="18"/>
      <c r="G1154" s="7"/>
      <c r="H1154" s="7"/>
      <c r="I1154" s="7"/>
      <c r="J1154" s="12"/>
      <c r="K1154" s="8"/>
      <c r="Q1154" s="8"/>
      <c r="Z1154" s="9"/>
    </row>
    <row r="1155" customFormat="false" ht="15.75" hidden="false" customHeight="false" outlineLevel="0" collapsed="false">
      <c r="A1155" s="7"/>
      <c r="B1155" s="16"/>
      <c r="C1155" s="19"/>
      <c r="D1155" s="18"/>
      <c r="E1155" s="18"/>
      <c r="F1155" s="18"/>
      <c r="G1155" s="7"/>
      <c r="H1155" s="7"/>
      <c r="I1155" s="7"/>
      <c r="J1155" s="12"/>
      <c r="K1155" s="8"/>
      <c r="Q1155" s="8"/>
      <c r="Z1155" s="9"/>
    </row>
    <row r="1156" customFormat="false" ht="15.75" hidden="false" customHeight="false" outlineLevel="0" collapsed="false">
      <c r="A1156" s="7"/>
      <c r="B1156" s="16"/>
      <c r="C1156" s="19"/>
      <c r="D1156" s="18"/>
      <c r="E1156" s="18"/>
      <c r="F1156" s="18"/>
      <c r="G1156" s="7"/>
      <c r="H1156" s="7"/>
      <c r="I1156" s="7"/>
      <c r="J1156" s="12"/>
      <c r="K1156" s="8"/>
      <c r="Q1156" s="8"/>
      <c r="Z1156" s="9"/>
    </row>
    <row r="1157" customFormat="false" ht="15.75" hidden="false" customHeight="false" outlineLevel="0" collapsed="false">
      <c r="A1157" s="7"/>
      <c r="B1157" s="16"/>
      <c r="C1157" s="19"/>
      <c r="D1157" s="18"/>
      <c r="E1157" s="18"/>
      <c r="F1157" s="18"/>
      <c r="G1157" s="7"/>
      <c r="H1157" s="7"/>
      <c r="I1157" s="7"/>
      <c r="J1157" s="12"/>
      <c r="K1157" s="8"/>
      <c r="Q1157" s="8"/>
      <c r="Z1157" s="9"/>
    </row>
    <row r="1158" customFormat="false" ht="15.75" hidden="false" customHeight="false" outlineLevel="0" collapsed="false">
      <c r="A1158" s="7"/>
      <c r="B1158" s="16"/>
      <c r="C1158" s="19"/>
      <c r="D1158" s="18"/>
      <c r="E1158" s="18"/>
      <c r="F1158" s="18"/>
      <c r="G1158" s="7"/>
      <c r="H1158" s="7"/>
      <c r="I1158" s="7"/>
      <c r="J1158" s="12"/>
      <c r="K1158" s="8"/>
      <c r="Q1158" s="8"/>
      <c r="Z1158" s="9"/>
    </row>
    <row r="1159" customFormat="false" ht="15.75" hidden="false" customHeight="false" outlineLevel="0" collapsed="false">
      <c r="A1159" s="7"/>
      <c r="B1159" s="16"/>
      <c r="C1159" s="19"/>
      <c r="D1159" s="18"/>
      <c r="E1159" s="18"/>
      <c r="F1159" s="18"/>
      <c r="G1159" s="7"/>
      <c r="H1159" s="7"/>
      <c r="I1159" s="7"/>
      <c r="J1159" s="12"/>
      <c r="K1159" s="8"/>
      <c r="Q1159" s="8"/>
      <c r="Z1159" s="9"/>
    </row>
    <row r="1160" customFormat="false" ht="15.75" hidden="false" customHeight="false" outlineLevel="0" collapsed="false">
      <c r="A1160" s="7"/>
      <c r="B1160" s="16"/>
      <c r="C1160" s="19"/>
      <c r="D1160" s="18"/>
      <c r="E1160" s="18"/>
      <c r="F1160" s="18"/>
      <c r="G1160" s="7"/>
      <c r="H1160" s="7"/>
      <c r="I1160" s="7"/>
      <c r="J1160" s="12"/>
      <c r="K1160" s="8"/>
      <c r="Q1160" s="8"/>
      <c r="Z1160" s="9"/>
    </row>
    <row r="1161" customFormat="false" ht="15.75" hidden="false" customHeight="false" outlineLevel="0" collapsed="false">
      <c r="A1161" s="7"/>
      <c r="B1161" s="16"/>
      <c r="C1161" s="19"/>
      <c r="D1161" s="18"/>
      <c r="E1161" s="18"/>
      <c r="F1161" s="18"/>
      <c r="G1161" s="7"/>
      <c r="H1161" s="7"/>
      <c r="I1161" s="7"/>
      <c r="J1161" s="12"/>
      <c r="K1161" s="8"/>
      <c r="Q1161" s="8"/>
      <c r="Z1161" s="9"/>
    </row>
    <row r="1162" customFormat="false" ht="15.75" hidden="false" customHeight="false" outlineLevel="0" collapsed="false">
      <c r="A1162" s="7"/>
      <c r="B1162" s="16"/>
      <c r="C1162" s="19"/>
      <c r="D1162" s="18"/>
      <c r="E1162" s="18"/>
      <c r="F1162" s="18"/>
      <c r="G1162" s="7"/>
      <c r="H1162" s="7"/>
      <c r="I1162" s="7"/>
      <c r="J1162" s="12"/>
      <c r="K1162" s="8"/>
      <c r="Q1162" s="8"/>
      <c r="Z1162" s="9"/>
    </row>
    <row r="1163" customFormat="false" ht="15.75" hidden="false" customHeight="false" outlineLevel="0" collapsed="false">
      <c r="A1163" s="7"/>
      <c r="B1163" s="16"/>
      <c r="C1163" s="19"/>
      <c r="D1163" s="18"/>
      <c r="E1163" s="18"/>
      <c r="F1163" s="18"/>
      <c r="G1163" s="7"/>
      <c r="H1163" s="7"/>
      <c r="I1163" s="7"/>
      <c r="J1163" s="12"/>
      <c r="K1163" s="8"/>
      <c r="Q1163" s="8"/>
      <c r="Z1163" s="9"/>
    </row>
    <row r="1164" customFormat="false" ht="15.75" hidden="false" customHeight="false" outlineLevel="0" collapsed="false">
      <c r="A1164" s="7"/>
      <c r="B1164" s="16"/>
      <c r="C1164" s="19"/>
      <c r="D1164" s="18"/>
      <c r="E1164" s="18"/>
      <c r="F1164" s="18"/>
      <c r="G1164" s="7"/>
      <c r="H1164" s="7"/>
      <c r="I1164" s="7"/>
      <c r="J1164" s="12"/>
      <c r="K1164" s="8"/>
      <c r="Q1164" s="8"/>
      <c r="Z1164" s="9"/>
    </row>
    <row r="1165" customFormat="false" ht="15.75" hidden="false" customHeight="false" outlineLevel="0" collapsed="false">
      <c r="A1165" s="7"/>
      <c r="B1165" s="16"/>
      <c r="C1165" s="19"/>
      <c r="D1165" s="18"/>
      <c r="E1165" s="18"/>
      <c r="F1165" s="18"/>
      <c r="G1165" s="7"/>
      <c r="H1165" s="7"/>
      <c r="I1165" s="7"/>
      <c r="J1165" s="12"/>
      <c r="K1165" s="8"/>
      <c r="Q1165" s="8"/>
      <c r="Z1165" s="9"/>
    </row>
    <row r="1166" customFormat="false" ht="15.75" hidden="false" customHeight="false" outlineLevel="0" collapsed="false">
      <c r="A1166" s="7"/>
      <c r="B1166" s="16"/>
      <c r="C1166" s="19"/>
      <c r="D1166" s="18"/>
      <c r="E1166" s="18"/>
      <c r="F1166" s="18"/>
      <c r="G1166" s="7"/>
      <c r="H1166" s="7"/>
      <c r="I1166" s="7"/>
      <c r="J1166" s="12"/>
      <c r="K1166" s="8"/>
      <c r="Q1166" s="8"/>
      <c r="Z1166" s="9"/>
    </row>
    <row r="1167" customFormat="false" ht="15.75" hidden="false" customHeight="false" outlineLevel="0" collapsed="false">
      <c r="A1167" s="7"/>
      <c r="B1167" s="16"/>
      <c r="C1167" s="19"/>
      <c r="D1167" s="18"/>
      <c r="E1167" s="18"/>
      <c r="F1167" s="18"/>
      <c r="G1167" s="7"/>
      <c r="H1167" s="7"/>
      <c r="I1167" s="7"/>
      <c r="J1167" s="12"/>
      <c r="K1167" s="8"/>
      <c r="Q1167" s="8"/>
      <c r="Z1167" s="9"/>
    </row>
    <row r="1168" customFormat="false" ht="15.75" hidden="false" customHeight="false" outlineLevel="0" collapsed="false">
      <c r="A1168" s="7"/>
      <c r="B1168" s="16"/>
      <c r="C1168" s="19"/>
      <c r="D1168" s="18"/>
      <c r="E1168" s="18"/>
      <c r="F1168" s="18"/>
      <c r="G1168" s="7"/>
      <c r="H1168" s="7"/>
      <c r="I1168" s="7"/>
      <c r="J1168" s="12"/>
      <c r="K1168" s="8"/>
      <c r="Q1168" s="8"/>
      <c r="Z1168" s="9"/>
    </row>
    <row r="1169" customFormat="false" ht="15.75" hidden="false" customHeight="false" outlineLevel="0" collapsed="false">
      <c r="A1169" s="7"/>
      <c r="B1169" s="16"/>
      <c r="C1169" s="19"/>
      <c r="D1169" s="18"/>
      <c r="E1169" s="18"/>
      <c r="F1169" s="18"/>
      <c r="G1169" s="7"/>
      <c r="H1169" s="7"/>
      <c r="I1169" s="7"/>
      <c r="J1169" s="12"/>
      <c r="K1169" s="8"/>
      <c r="Q1169" s="8"/>
      <c r="Z1169" s="9"/>
    </row>
    <row r="1170" customFormat="false" ht="15.75" hidden="false" customHeight="false" outlineLevel="0" collapsed="false">
      <c r="A1170" s="7"/>
      <c r="B1170" s="16"/>
      <c r="C1170" s="19"/>
      <c r="D1170" s="18"/>
      <c r="E1170" s="18"/>
      <c r="F1170" s="18"/>
      <c r="G1170" s="7"/>
      <c r="H1170" s="7"/>
      <c r="I1170" s="7"/>
      <c r="J1170" s="12"/>
      <c r="K1170" s="8"/>
      <c r="Q1170" s="8"/>
      <c r="Z1170" s="9"/>
    </row>
    <row r="1171" customFormat="false" ht="15.75" hidden="false" customHeight="false" outlineLevel="0" collapsed="false">
      <c r="A1171" s="7"/>
      <c r="B1171" s="16"/>
      <c r="C1171" s="19"/>
      <c r="D1171" s="18"/>
      <c r="E1171" s="18"/>
      <c r="F1171" s="18"/>
      <c r="G1171" s="7"/>
      <c r="H1171" s="7"/>
      <c r="I1171" s="7"/>
      <c r="J1171" s="12"/>
      <c r="K1171" s="8"/>
      <c r="Q1171" s="8"/>
      <c r="Z1171" s="9"/>
    </row>
    <row r="1172" customFormat="false" ht="15.75" hidden="false" customHeight="false" outlineLevel="0" collapsed="false">
      <c r="A1172" s="7"/>
      <c r="B1172" s="16"/>
      <c r="C1172" s="19"/>
      <c r="D1172" s="18"/>
      <c r="E1172" s="18"/>
      <c r="F1172" s="18"/>
      <c r="G1172" s="7"/>
      <c r="H1172" s="7"/>
      <c r="I1172" s="7"/>
      <c r="J1172" s="12"/>
      <c r="K1172" s="8"/>
      <c r="Q1172" s="8"/>
      <c r="Z1172" s="9"/>
    </row>
    <row r="1173" customFormat="false" ht="15.75" hidden="false" customHeight="false" outlineLevel="0" collapsed="false">
      <c r="A1173" s="7"/>
      <c r="B1173" s="16"/>
      <c r="C1173" s="19"/>
      <c r="D1173" s="18"/>
      <c r="E1173" s="18"/>
      <c r="F1173" s="18"/>
      <c r="G1173" s="7"/>
      <c r="H1173" s="7"/>
      <c r="I1173" s="7"/>
      <c r="J1173" s="12"/>
      <c r="K1173" s="8"/>
      <c r="Q1173" s="8"/>
      <c r="Z1173" s="9"/>
    </row>
    <row r="1174" customFormat="false" ht="15.75" hidden="false" customHeight="false" outlineLevel="0" collapsed="false">
      <c r="A1174" s="7"/>
      <c r="B1174" s="16"/>
      <c r="C1174" s="19"/>
      <c r="D1174" s="18"/>
      <c r="E1174" s="18"/>
      <c r="F1174" s="18"/>
      <c r="G1174" s="7"/>
      <c r="H1174" s="7"/>
      <c r="I1174" s="7"/>
      <c r="J1174" s="12"/>
      <c r="K1174" s="8"/>
      <c r="Q1174" s="8"/>
      <c r="Z1174" s="9"/>
    </row>
    <row r="1175" customFormat="false" ht="15.75" hidden="false" customHeight="false" outlineLevel="0" collapsed="false">
      <c r="A1175" s="7"/>
      <c r="B1175" s="16"/>
      <c r="C1175" s="19"/>
      <c r="D1175" s="18"/>
      <c r="E1175" s="18"/>
      <c r="F1175" s="18"/>
      <c r="G1175" s="7"/>
      <c r="H1175" s="7"/>
      <c r="I1175" s="7"/>
      <c r="J1175" s="12"/>
      <c r="K1175" s="8"/>
      <c r="Q1175" s="8"/>
      <c r="Z1175" s="9"/>
    </row>
    <row r="1176" customFormat="false" ht="15.75" hidden="false" customHeight="false" outlineLevel="0" collapsed="false">
      <c r="A1176" s="7"/>
      <c r="B1176" s="16"/>
      <c r="C1176" s="19"/>
      <c r="D1176" s="18"/>
      <c r="E1176" s="18"/>
      <c r="F1176" s="18"/>
      <c r="G1176" s="7"/>
      <c r="H1176" s="7"/>
      <c r="I1176" s="7"/>
      <c r="J1176" s="12"/>
      <c r="K1176" s="8"/>
      <c r="Q1176" s="8"/>
      <c r="Z1176" s="9"/>
    </row>
    <row r="1177" customFormat="false" ht="15.75" hidden="false" customHeight="false" outlineLevel="0" collapsed="false">
      <c r="A1177" s="7"/>
      <c r="B1177" s="16"/>
      <c r="C1177" s="19"/>
      <c r="D1177" s="18"/>
      <c r="E1177" s="18"/>
      <c r="F1177" s="18"/>
      <c r="G1177" s="7"/>
      <c r="H1177" s="7"/>
      <c r="I1177" s="7"/>
      <c r="J1177" s="12"/>
      <c r="K1177" s="8"/>
      <c r="Q1177" s="8"/>
      <c r="Z1177" s="9"/>
    </row>
    <row r="1178" customFormat="false" ht="15.75" hidden="false" customHeight="false" outlineLevel="0" collapsed="false">
      <c r="A1178" s="7"/>
      <c r="B1178" s="16"/>
      <c r="C1178" s="19"/>
      <c r="D1178" s="18"/>
      <c r="E1178" s="18"/>
      <c r="F1178" s="18"/>
      <c r="G1178" s="7"/>
      <c r="H1178" s="7"/>
      <c r="I1178" s="7"/>
      <c r="J1178" s="12"/>
      <c r="K1178" s="8"/>
      <c r="Q1178" s="8"/>
      <c r="Z1178" s="9"/>
    </row>
    <row r="1179" customFormat="false" ht="15.75" hidden="false" customHeight="false" outlineLevel="0" collapsed="false">
      <c r="A1179" s="7"/>
      <c r="B1179" s="16"/>
      <c r="C1179" s="19"/>
      <c r="D1179" s="18"/>
      <c r="E1179" s="18"/>
      <c r="F1179" s="18"/>
      <c r="G1179" s="7"/>
      <c r="H1179" s="7"/>
      <c r="I1179" s="7"/>
      <c r="J1179" s="12"/>
      <c r="K1179" s="8"/>
      <c r="Q1179" s="8"/>
      <c r="Z1179" s="9"/>
    </row>
    <row r="1180" customFormat="false" ht="15.75" hidden="false" customHeight="false" outlineLevel="0" collapsed="false">
      <c r="A1180" s="7"/>
      <c r="B1180" s="16"/>
      <c r="C1180" s="19"/>
      <c r="D1180" s="18"/>
      <c r="E1180" s="18"/>
      <c r="F1180" s="18"/>
      <c r="G1180" s="7"/>
      <c r="H1180" s="7"/>
      <c r="I1180" s="7"/>
      <c r="J1180" s="12"/>
      <c r="K1180" s="8"/>
      <c r="Q1180" s="8"/>
      <c r="Z1180" s="9"/>
    </row>
    <row r="1181" customFormat="false" ht="15.75" hidden="false" customHeight="false" outlineLevel="0" collapsed="false">
      <c r="A1181" s="7"/>
      <c r="B1181" s="16"/>
      <c r="C1181" s="19"/>
      <c r="D1181" s="18"/>
      <c r="E1181" s="18"/>
      <c r="F1181" s="18"/>
      <c r="G1181" s="7"/>
      <c r="H1181" s="7"/>
      <c r="I1181" s="7"/>
      <c r="J1181" s="12"/>
      <c r="K1181" s="8"/>
      <c r="Q1181" s="8"/>
      <c r="Z1181" s="9"/>
    </row>
    <row r="1182" customFormat="false" ht="15.75" hidden="false" customHeight="false" outlineLevel="0" collapsed="false">
      <c r="A1182" s="7"/>
      <c r="B1182" s="16"/>
      <c r="C1182" s="19"/>
      <c r="D1182" s="18"/>
      <c r="E1182" s="18"/>
      <c r="F1182" s="18"/>
      <c r="G1182" s="7"/>
      <c r="H1182" s="7"/>
      <c r="I1182" s="7"/>
      <c r="J1182" s="12"/>
      <c r="K1182" s="8"/>
      <c r="Q1182" s="8"/>
      <c r="Z1182" s="9"/>
    </row>
    <row r="1183" customFormat="false" ht="15.75" hidden="false" customHeight="false" outlineLevel="0" collapsed="false">
      <c r="A1183" s="7"/>
      <c r="B1183" s="16"/>
      <c r="C1183" s="19"/>
      <c r="D1183" s="18"/>
      <c r="E1183" s="18"/>
      <c r="F1183" s="18"/>
      <c r="G1183" s="7"/>
      <c r="H1183" s="7"/>
      <c r="I1183" s="7"/>
      <c r="J1183" s="12"/>
      <c r="K1183" s="8"/>
      <c r="Q1183" s="8"/>
      <c r="Z1183" s="9"/>
    </row>
    <row r="1184" customFormat="false" ht="15.75" hidden="false" customHeight="false" outlineLevel="0" collapsed="false">
      <c r="A1184" s="7"/>
      <c r="B1184" s="16"/>
      <c r="C1184" s="19"/>
      <c r="D1184" s="18"/>
      <c r="E1184" s="18"/>
      <c r="F1184" s="18"/>
      <c r="G1184" s="7"/>
      <c r="H1184" s="7"/>
      <c r="I1184" s="7"/>
      <c r="J1184" s="12"/>
      <c r="K1184" s="8"/>
      <c r="Q1184" s="8"/>
      <c r="Z1184" s="9"/>
    </row>
    <row r="1185" customFormat="false" ht="15.75" hidden="false" customHeight="false" outlineLevel="0" collapsed="false">
      <c r="A1185" s="7"/>
      <c r="B1185" s="16"/>
      <c r="C1185" s="19"/>
      <c r="D1185" s="18"/>
      <c r="E1185" s="18"/>
      <c r="F1185" s="18"/>
      <c r="G1185" s="7"/>
      <c r="H1185" s="7"/>
      <c r="I1185" s="7"/>
      <c r="J1185" s="12"/>
      <c r="K1185" s="8"/>
      <c r="Q1185" s="8"/>
      <c r="Z1185" s="9"/>
    </row>
    <row r="1186" customFormat="false" ht="15.75" hidden="false" customHeight="false" outlineLevel="0" collapsed="false">
      <c r="A1186" s="7"/>
      <c r="B1186" s="16"/>
      <c r="C1186" s="19"/>
      <c r="D1186" s="18"/>
      <c r="E1186" s="18"/>
      <c r="F1186" s="18"/>
      <c r="G1186" s="7"/>
      <c r="H1186" s="7"/>
      <c r="I1186" s="7"/>
      <c r="J1186" s="12"/>
      <c r="K1186" s="8"/>
      <c r="Q1186" s="8"/>
      <c r="Z1186" s="9"/>
    </row>
    <row r="1187" customFormat="false" ht="15.75" hidden="false" customHeight="false" outlineLevel="0" collapsed="false">
      <c r="A1187" s="7"/>
      <c r="B1187" s="16"/>
      <c r="C1187" s="19"/>
      <c r="D1187" s="18"/>
      <c r="E1187" s="18"/>
      <c r="F1187" s="18"/>
      <c r="G1187" s="7"/>
      <c r="H1187" s="7"/>
      <c r="I1187" s="7"/>
      <c r="J1187" s="12"/>
      <c r="K1187" s="8"/>
      <c r="Q1187" s="8"/>
      <c r="Z1187" s="9"/>
    </row>
    <row r="1188" customFormat="false" ht="15.75" hidden="false" customHeight="false" outlineLevel="0" collapsed="false">
      <c r="A1188" s="7"/>
      <c r="B1188" s="16"/>
      <c r="C1188" s="19"/>
      <c r="D1188" s="18"/>
      <c r="E1188" s="18"/>
      <c r="F1188" s="18"/>
      <c r="G1188" s="7"/>
      <c r="H1188" s="7"/>
      <c r="I1188" s="7"/>
      <c r="J1188" s="12"/>
      <c r="K1188" s="8"/>
      <c r="Q1188" s="8"/>
      <c r="Z1188" s="9"/>
    </row>
    <row r="1189" customFormat="false" ht="15.75" hidden="false" customHeight="false" outlineLevel="0" collapsed="false">
      <c r="A1189" s="7"/>
      <c r="B1189" s="16"/>
      <c r="C1189" s="19"/>
      <c r="D1189" s="18"/>
      <c r="E1189" s="18"/>
      <c r="F1189" s="18"/>
      <c r="G1189" s="7"/>
      <c r="H1189" s="7"/>
      <c r="I1189" s="7"/>
      <c r="J1189" s="12"/>
      <c r="K1189" s="8"/>
      <c r="Q1189" s="8"/>
      <c r="Z1189" s="9"/>
    </row>
    <row r="1190" customFormat="false" ht="15.75" hidden="false" customHeight="false" outlineLevel="0" collapsed="false">
      <c r="A1190" s="7"/>
      <c r="B1190" s="16"/>
      <c r="C1190" s="19"/>
      <c r="D1190" s="18"/>
      <c r="E1190" s="18"/>
      <c r="F1190" s="18"/>
      <c r="G1190" s="7"/>
      <c r="H1190" s="7"/>
      <c r="I1190" s="7"/>
      <c r="J1190" s="12"/>
      <c r="K1190" s="8"/>
      <c r="Q1190" s="8"/>
      <c r="Z1190" s="9"/>
    </row>
    <row r="1191" customFormat="false" ht="15.75" hidden="false" customHeight="false" outlineLevel="0" collapsed="false">
      <c r="A1191" s="7"/>
      <c r="B1191" s="16"/>
      <c r="C1191" s="19"/>
      <c r="D1191" s="18"/>
      <c r="E1191" s="18"/>
      <c r="F1191" s="18"/>
      <c r="G1191" s="7"/>
      <c r="H1191" s="7"/>
      <c r="I1191" s="7"/>
      <c r="J1191" s="12"/>
      <c r="K1191" s="8"/>
      <c r="Q1191" s="8"/>
      <c r="Z1191" s="9"/>
    </row>
    <row r="1192" customFormat="false" ht="15.75" hidden="false" customHeight="false" outlineLevel="0" collapsed="false">
      <c r="A1192" s="7"/>
      <c r="B1192" s="16"/>
      <c r="C1192" s="19"/>
      <c r="D1192" s="18"/>
      <c r="E1192" s="18"/>
      <c r="F1192" s="18"/>
      <c r="G1192" s="7"/>
      <c r="H1192" s="7"/>
      <c r="I1192" s="7"/>
      <c r="J1192" s="12"/>
      <c r="K1192" s="8"/>
      <c r="Q1192" s="8"/>
      <c r="Z1192" s="9"/>
    </row>
    <row r="1193" customFormat="false" ht="15.75" hidden="false" customHeight="false" outlineLevel="0" collapsed="false">
      <c r="A1193" s="7"/>
      <c r="B1193" s="16"/>
      <c r="C1193" s="19"/>
      <c r="D1193" s="18"/>
      <c r="E1193" s="18"/>
      <c r="F1193" s="18"/>
      <c r="G1193" s="7"/>
      <c r="H1193" s="7"/>
      <c r="I1193" s="7"/>
      <c r="J1193" s="12"/>
      <c r="K1193" s="8"/>
      <c r="Q1193" s="8"/>
      <c r="Z1193" s="9"/>
    </row>
    <row r="1194" customFormat="false" ht="15.75" hidden="false" customHeight="false" outlineLevel="0" collapsed="false">
      <c r="A1194" s="7"/>
      <c r="B1194" s="16"/>
      <c r="C1194" s="19"/>
      <c r="D1194" s="18"/>
      <c r="E1194" s="18"/>
      <c r="F1194" s="18"/>
      <c r="G1194" s="7"/>
      <c r="H1194" s="7"/>
      <c r="I1194" s="7"/>
      <c r="J1194" s="12"/>
      <c r="K1194" s="8"/>
      <c r="Q1194" s="8"/>
      <c r="Z1194" s="9"/>
    </row>
    <row r="1195" customFormat="false" ht="15.75" hidden="false" customHeight="false" outlineLevel="0" collapsed="false">
      <c r="A1195" s="7"/>
      <c r="B1195" s="16"/>
      <c r="C1195" s="19"/>
      <c r="D1195" s="18"/>
      <c r="E1195" s="18"/>
      <c r="F1195" s="18"/>
      <c r="G1195" s="7"/>
      <c r="H1195" s="7"/>
      <c r="I1195" s="7"/>
      <c r="J1195" s="12"/>
      <c r="K1195" s="8"/>
      <c r="Q1195" s="8"/>
      <c r="Z1195" s="9"/>
    </row>
    <row r="1196" customFormat="false" ht="15.75" hidden="false" customHeight="false" outlineLevel="0" collapsed="false">
      <c r="A1196" s="7"/>
      <c r="B1196" s="16"/>
      <c r="C1196" s="19"/>
      <c r="D1196" s="18"/>
      <c r="E1196" s="18"/>
      <c r="F1196" s="18"/>
      <c r="G1196" s="7"/>
      <c r="H1196" s="7"/>
      <c r="I1196" s="7"/>
      <c r="J1196" s="12"/>
      <c r="K1196" s="8"/>
      <c r="Q1196" s="8"/>
      <c r="Z1196" s="9"/>
    </row>
    <row r="1197" customFormat="false" ht="15.75" hidden="false" customHeight="false" outlineLevel="0" collapsed="false">
      <c r="A1197" s="7"/>
      <c r="B1197" s="16"/>
      <c r="C1197" s="19"/>
      <c r="D1197" s="18"/>
      <c r="E1197" s="18"/>
      <c r="F1197" s="18"/>
      <c r="G1197" s="7"/>
      <c r="H1197" s="7"/>
      <c r="I1197" s="7"/>
      <c r="J1197" s="12"/>
      <c r="K1197" s="8"/>
      <c r="Q1197" s="8"/>
      <c r="Z1197" s="9"/>
    </row>
    <row r="1198" customFormat="false" ht="15.75" hidden="false" customHeight="false" outlineLevel="0" collapsed="false">
      <c r="A1198" s="7"/>
      <c r="B1198" s="16"/>
      <c r="C1198" s="19"/>
      <c r="D1198" s="18"/>
      <c r="E1198" s="18"/>
      <c r="F1198" s="18"/>
      <c r="G1198" s="7"/>
      <c r="H1198" s="7"/>
      <c r="I1198" s="7"/>
      <c r="J1198" s="12"/>
      <c r="K1198" s="8"/>
      <c r="Q1198" s="8"/>
      <c r="Z1198" s="9"/>
    </row>
    <row r="1199" customFormat="false" ht="15.75" hidden="false" customHeight="false" outlineLevel="0" collapsed="false">
      <c r="A1199" s="7"/>
      <c r="B1199" s="16"/>
      <c r="C1199" s="19"/>
      <c r="D1199" s="18"/>
      <c r="E1199" s="18"/>
      <c r="F1199" s="18"/>
      <c r="G1199" s="7"/>
      <c r="H1199" s="7"/>
      <c r="I1199" s="7"/>
      <c r="J1199" s="12"/>
      <c r="K1199" s="8"/>
      <c r="Q1199" s="8"/>
      <c r="Z1199" s="9"/>
    </row>
    <row r="1200" customFormat="false" ht="15.75" hidden="false" customHeight="false" outlineLevel="0" collapsed="false">
      <c r="A1200" s="7"/>
      <c r="B1200" s="16"/>
      <c r="C1200" s="19"/>
      <c r="D1200" s="18"/>
      <c r="E1200" s="18"/>
      <c r="F1200" s="18"/>
      <c r="G1200" s="7"/>
      <c r="H1200" s="7"/>
      <c r="I1200" s="7"/>
      <c r="J1200" s="12"/>
      <c r="K1200" s="8"/>
      <c r="Q1200" s="8"/>
      <c r="Z1200" s="9"/>
    </row>
    <row r="1201" customFormat="false" ht="15.75" hidden="false" customHeight="false" outlineLevel="0" collapsed="false">
      <c r="A1201" s="7"/>
      <c r="B1201" s="16"/>
      <c r="C1201" s="19"/>
      <c r="D1201" s="18"/>
      <c r="E1201" s="18"/>
      <c r="F1201" s="18"/>
      <c r="G1201" s="7"/>
      <c r="H1201" s="7"/>
      <c r="I1201" s="7"/>
      <c r="J1201" s="12"/>
      <c r="K1201" s="8"/>
      <c r="Q1201" s="8"/>
      <c r="Z1201" s="9"/>
    </row>
    <row r="1202" customFormat="false" ht="15.75" hidden="false" customHeight="false" outlineLevel="0" collapsed="false">
      <c r="A1202" s="7"/>
      <c r="B1202" s="16"/>
      <c r="C1202" s="19"/>
      <c r="D1202" s="18"/>
      <c r="E1202" s="18"/>
      <c r="F1202" s="18"/>
      <c r="G1202" s="7"/>
      <c r="H1202" s="7"/>
      <c r="I1202" s="7"/>
      <c r="J1202" s="12"/>
      <c r="K1202" s="8"/>
      <c r="Q1202" s="8"/>
      <c r="Z1202" s="9"/>
    </row>
    <row r="1203" customFormat="false" ht="15.75" hidden="false" customHeight="false" outlineLevel="0" collapsed="false">
      <c r="A1203" s="7"/>
      <c r="B1203" s="16"/>
      <c r="C1203" s="19"/>
      <c r="D1203" s="18"/>
      <c r="E1203" s="18"/>
      <c r="F1203" s="18"/>
      <c r="G1203" s="7"/>
      <c r="H1203" s="7"/>
      <c r="I1203" s="7"/>
      <c r="J1203" s="12"/>
      <c r="K1203" s="8"/>
      <c r="Q1203" s="8"/>
      <c r="Z1203" s="9"/>
    </row>
    <row r="1204" customFormat="false" ht="15.75" hidden="false" customHeight="false" outlineLevel="0" collapsed="false">
      <c r="A1204" s="7"/>
      <c r="B1204" s="16"/>
      <c r="C1204" s="19"/>
      <c r="D1204" s="18"/>
      <c r="E1204" s="18"/>
      <c r="F1204" s="18"/>
      <c r="G1204" s="7"/>
      <c r="H1204" s="7"/>
      <c r="I1204" s="7"/>
      <c r="J1204" s="12"/>
      <c r="K1204" s="8"/>
      <c r="Q1204" s="8"/>
      <c r="Z1204" s="9"/>
    </row>
    <row r="1205" customFormat="false" ht="15.75" hidden="false" customHeight="false" outlineLevel="0" collapsed="false">
      <c r="A1205" s="7"/>
      <c r="B1205" s="16"/>
      <c r="C1205" s="19"/>
      <c r="D1205" s="18"/>
      <c r="E1205" s="18"/>
      <c r="F1205" s="18"/>
      <c r="G1205" s="7"/>
      <c r="H1205" s="7"/>
      <c r="I1205" s="7"/>
      <c r="J1205" s="12"/>
      <c r="K1205" s="8"/>
      <c r="Q1205" s="8"/>
      <c r="Z1205" s="9"/>
    </row>
    <row r="1206" customFormat="false" ht="15.75" hidden="false" customHeight="false" outlineLevel="0" collapsed="false">
      <c r="A1206" s="7"/>
      <c r="B1206" s="16"/>
      <c r="C1206" s="19"/>
      <c r="D1206" s="18"/>
      <c r="E1206" s="18"/>
      <c r="F1206" s="18"/>
      <c r="G1206" s="7"/>
      <c r="H1206" s="7"/>
      <c r="I1206" s="7"/>
      <c r="J1206" s="12"/>
      <c r="K1206" s="8"/>
      <c r="Q1206" s="8"/>
      <c r="Z1206" s="9"/>
    </row>
    <row r="1207" customFormat="false" ht="15.75" hidden="false" customHeight="false" outlineLevel="0" collapsed="false">
      <c r="A1207" s="7"/>
      <c r="B1207" s="16"/>
      <c r="C1207" s="19"/>
      <c r="D1207" s="18"/>
      <c r="E1207" s="18"/>
      <c r="F1207" s="18"/>
      <c r="G1207" s="7"/>
      <c r="H1207" s="7"/>
      <c r="I1207" s="7"/>
      <c r="J1207" s="12"/>
      <c r="K1207" s="8"/>
      <c r="Q1207" s="8"/>
      <c r="Z1207" s="9"/>
    </row>
    <row r="1208" customFormat="false" ht="15.75" hidden="false" customHeight="false" outlineLevel="0" collapsed="false">
      <c r="A1208" s="7"/>
      <c r="B1208" s="16"/>
      <c r="C1208" s="19"/>
      <c r="D1208" s="18"/>
      <c r="E1208" s="18"/>
      <c r="F1208" s="18"/>
      <c r="G1208" s="7"/>
      <c r="H1208" s="7"/>
      <c r="I1208" s="7"/>
      <c r="J1208" s="12"/>
      <c r="K1208" s="8"/>
      <c r="Q1208" s="8"/>
      <c r="Z1208" s="9"/>
    </row>
    <row r="1209" customFormat="false" ht="15.75" hidden="false" customHeight="false" outlineLevel="0" collapsed="false">
      <c r="A1209" s="7"/>
      <c r="B1209" s="16"/>
      <c r="C1209" s="19"/>
      <c r="D1209" s="18"/>
      <c r="E1209" s="18"/>
      <c r="F1209" s="18"/>
      <c r="G1209" s="7"/>
      <c r="H1209" s="7"/>
      <c r="I1209" s="7"/>
      <c r="J1209" s="12"/>
      <c r="K1209" s="8"/>
      <c r="Q1209" s="8"/>
      <c r="Z1209" s="9"/>
    </row>
    <row r="1210" customFormat="false" ht="15.75" hidden="false" customHeight="false" outlineLevel="0" collapsed="false">
      <c r="A1210" s="7"/>
      <c r="B1210" s="16"/>
      <c r="C1210" s="19"/>
      <c r="D1210" s="18"/>
      <c r="E1210" s="18"/>
      <c r="F1210" s="18"/>
      <c r="G1210" s="7"/>
      <c r="H1210" s="7"/>
      <c r="I1210" s="7"/>
      <c r="J1210" s="12"/>
      <c r="K1210" s="8"/>
      <c r="Q1210" s="8"/>
      <c r="Z1210" s="9"/>
    </row>
    <row r="1211" customFormat="false" ht="15.75" hidden="false" customHeight="false" outlineLevel="0" collapsed="false">
      <c r="A1211" s="7"/>
      <c r="B1211" s="16"/>
      <c r="C1211" s="19"/>
      <c r="D1211" s="18"/>
      <c r="E1211" s="18"/>
      <c r="F1211" s="18"/>
      <c r="G1211" s="7"/>
      <c r="H1211" s="7"/>
      <c r="I1211" s="7"/>
      <c r="J1211" s="12"/>
      <c r="K1211" s="8"/>
      <c r="Q1211" s="8"/>
      <c r="Z1211" s="9"/>
    </row>
    <row r="1212" customFormat="false" ht="15.75" hidden="false" customHeight="false" outlineLevel="0" collapsed="false">
      <c r="A1212" s="7"/>
      <c r="B1212" s="16"/>
      <c r="C1212" s="19"/>
      <c r="D1212" s="18"/>
      <c r="E1212" s="18"/>
      <c r="F1212" s="18"/>
      <c r="G1212" s="7"/>
      <c r="H1212" s="7"/>
      <c r="I1212" s="7"/>
      <c r="J1212" s="12"/>
      <c r="K1212" s="8"/>
      <c r="Q1212" s="8"/>
      <c r="Z1212" s="9"/>
    </row>
    <row r="1213" customFormat="false" ht="15.75" hidden="false" customHeight="false" outlineLevel="0" collapsed="false">
      <c r="A1213" s="7"/>
      <c r="B1213" s="16"/>
      <c r="C1213" s="19"/>
      <c r="D1213" s="18"/>
      <c r="E1213" s="18"/>
      <c r="F1213" s="18"/>
      <c r="G1213" s="7"/>
      <c r="H1213" s="7"/>
      <c r="I1213" s="7"/>
      <c r="J1213" s="12"/>
      <c r="K1213" s="8"/>
      <c r="Q1213" s="8"/>
      <c r="Z1213" s="9"/>
    </row>
    <row r="1214" customFormat="false" ht="15.75" hidden="false" customHeight="false" outlineLevel="0" collapsed="false">
      <c r="A1214" s="7"/>
      <c r="B1214" s="16"/>
      <c r="C1214" s="19"/>
      <c r="D1214" s="18"/>
      <c r="E1214" s="18"/>
      <c r="F1214" s="18"/>
      <c r="G1214" s="7"/>
      <c r="H1214" s="7"/>
      <c r="I1214" s="7"/>
      <c r="J1214" s="12"/>
      <c r="K1214" s="8"/>
      <c r="Q1214" s="8"/>
      <c r="Z1214" s="9"/>
    </row>
    <row r="1215" customFormat="false" ht="15.75" hidden="false" customHeight="false" outlineLevel="0" collapsed="false">
      <c r="A1215" s="7"/>
      <c r="B1215" s="16"/>
      <c r="C1215" s="19"/>
      <c r="D1215" s="18"/>
      <c r="E1215" s="18"/>
      <c r="F1215" s="18"/>
      <c r="G1215" s="7"/>
      <c r="H1215" s="7"/>
      <c r="I1215" s="7"/>
      <c r="J1215" s="12"/>
      <c r="K1215" s="8"/>
      <c r="Q1215" s="8"/>
      <c r="Z1215" s="9"/>
    </row>
    <row r="1216" customFormat="false" ht="15.75" hidden="false" customHeight="false" outlineLevel="0" collapsed="false">
      <c r="A1216" s="7"/>
      <c r="B1216" s="16"/>
      <c r="C1216" s="19"/>
      <c r="D1216" s="18"/>
      <c r="E1216" s="18"/>
      <c r="F1216" s="18"/>
      <c r="G1216" s="7"/>
      <c r="H1216" s="7"/>
      <c r="I1216" s="7"/>
      <c r="J1216" s="12"/>
      <c r="K1216" s="8"/>
      <c r="Q1216" s="8"/>
      <c r="Z1216" s="9"/>
    </row>
    <row r="1217" customFormat="false" ht="15.75" hidden="false" customHeight="false" outlineLevel="0" collapsed="false">
      <c r="A1217" s="7"/>
      <c r="B1217" s="16"/>
      <c r="C1217" s="19"/>
      <c r="D1217" s="18"/>
      <c r="E1217" s="18"/>
      <c r="F1217" s="18"/>
      <c r="G1217" s="7"/>
      <c r="H1217" s="7"/>
      <c r="I1217" s="7"/>
      <c r="J1217" s="12"/>
      <c r="K1217" s="8"/>
      <c r="Q1217" s="8"/>
      <c r="Z1217" s="9"/>
    </row>
    <row r="1218" customFormat="false" ht="15.75" hidden="false" customHeight="false" outlineLevel="0" collapsed="false">
      <c r="A1218" s="7"/>
      <c r="B1218" s="16"/>
      <c r="C1218" s="19"/>
      <c r="D1218" s="18"/>
      <c r="E1218" s="18"/>
      <c r="F1218" s="18"/>
      <c r="G1218" s="7"/>
      <c r="H1218" s="7"/>
      <c r="I1218" s="7"/>
      <c r="J1218" s="12"/>
      <c r="K1218" s="8"/>
      <c r="Q1218" s="8"/>
      <c r="Z1218" s="9"/>
    </row>
    <row r="1219" customFormat="false" ht="15.75" hidden="false" customHeight="false" outlineLevel="0" collapsed="false">
      <c r="A1219" s="7"/>
      <c r="B1219" s="16"/>
      <c r="C1219" s="19"/>
      <c r="D1219" s="18"/>
      <c r="E1219" s="18"/>
      <c r="F1219" s="18"/>
      <c r="G1219" s="7"/>
      <c r="H1219" s="7"/>
      <c r="I1219" s="7"/>
      <c r="J1219" s="12"/>
      <c r="K1219" s="8"/>
      <c r="Q1219" s="8"/>
      <c r="Z1219" s="9"/>
    </row>
    <row r="1220" customFormat="false" ht="15.75" hidden="false" customHeight="false" outlineLevel="0" collapsed="false">
      <c r="A1220" s="7"/>
      <c r="B1220" s="16"/>
      <c r="C1220" s="19"/>
      <c r="D1220" s="18"/>
      <c r="E1220" s="18"/>
      <c r="F1220" s="18"/>
      <c r="G1220" s="7"/>
      <c r="H1220" s="7"/>
      <c r="I1220" s="7"/>
      <c r="J1220" s="12"/>
      <c r="K1220" s="8"/>
      <c r="Q1220" s="8"/>
      <c r="Z1220" s="9"/>
    </row>
    <row r="1221" customFormat="false" ht="15.75" hidden="false" customHeight="false" outlineLevel="0" collapsed="false">
      <c r="A1221" s="7"/>
      <c r="B1221" s="16"/>
      <c r="C1221" s="19"/>
      <c r="D1221" s="18"/>
      <c r="E1221" s="18"/>
      <c r="F1221" s="18"/>
      <c r="G1221" s="7"/>
      <c r="H1221" s="7"/>
      <c r="I1221" s="7"/>
      <c r="J1221" s="12"/>
      <c r="K1221" s="8"/>
      <c r="Q1221" s="8"/>
      <c r="Z1221" s="9"/>
    </row>
    <row r="1222" customFormat="false" ht="15.75" hidden="false" customHeight="false" outlineLevel="0" collapsed="false">
      <c r="A1222" s="7"/>
      <c r="B1222" s="16"/>
      <c r="C1222" s="19"/>
      <c r="D1222" s="18"/>
      <c r="E1222" s="18"/>
      <c r="F1222" s="18"/>
      <c r="G1222" s="7"/>
      <c r="H1222" s="7"/>
      <c r="I1222" s="7"/>
      <c r="J1222" s="12"/>
      <c r="K1222" s="8"/>
      <c r="Q1222" s="8"/>
      <c r="Z1222" s="9"/>
    </row>
    <row r="1223" customFormat="false" ht="15.75" hidden="false" customHeight="false" outlineLevel="0" collapsed="false">
      <c r="A1223" s="7"/>
      <c r="B1223" s="16"/>
      <c r="C1223" s="19"/>
      <c r="D1223" s="18"/>
      <c r="E1223" s="18"/>
      <c r="F1223" s="18"/>
      <c r="G1223" s="7"/>
      <c r="H1223" s="7"/>
      <c r="I1223" s="7"/>
      <c r="J1223" s="12"/>
      <c r="K1223" s="8"/>
      <c r="Q1223" s="8"/>
      <c r="Z1223" s="9"/>
    </row>
    <row r="1224" customFormat="false" ht="15.75" hidden="false" customHeight="false" outlineLevel="0" collapsed="false">
      <c r="A1224" s="7"/>
      <c r="B1224" s="16"/>
      <c r="C1224" s="19"/>
      <c r="D1224" s="18"/>
      <c r="E1224" s="18"/>
      <c r="F1224" s="18"/>
      <c r="G1224" s="7"/>
      <c r="H1224" s="7"/>
      <c r="I1224" s="7"/>
      <c r="J1224" s="12"/>
      <c r="K1224" s="8"/>
      <c r="Q1224" s="8"/>
      <c r="Z1224" s="9"/>
    </row>
    <row r="1225" customFormat="false" ht="15.75" hidden="false" customHeight="false" outlineLevel="0" collapsed="false">
      <c r="A1225" s="7"/>
      <c r="B1225" s="16"/>
      <c r="C1225" s="19"/>
      <c r="D1225" s="18"/>
      <c r="E1225" s="18"/>
      <c r="F1225" s="18"/>
      <c r="G1225" s="7"/>
      <c r="H1225" s="7"/>
      <c r="I1225" s="7"/>
      <c r="J1225" s="12"/>
      <c r="K1225" s="8"/>
      <c r="Q1225" s="8"/>
      <c r="Z1225" s="9"/>
    </row>
    <row r="1226" customFormat="false" ht="15.75" hidden="false" customHeight="false" outlineLevel="0" collapsed="false">
      <c r="A1226" s="7"/>
      <c r="B1226" s="16"/>
      <c r="C1226" s="19"/>
      <c r="D1226" s="18"/>
      <c r="E1226" s="18"/>
      <c r="F1226" s="18"/>
      <c r="G1226" s="7"/>
      <c r="H1226" s="7"/>
      <c r="I1226" s="7"/>
      <c r="J1226" s="12"/>
      <c r="K1226" s="8"/>
      <c r="Q1226" s="8"/>
      <c r="Z1226" s="9"/>
    </row>
    <row r="1227" customFormat="false" ht="15.75" hidden="false" customHeight="false" outlineLevel="0" collapsed="false">
      <c r="A1227" s="7"/>
      <c r="B1227" s="16"/>
      <c r="C1227" s="19"/>
      <c r="D1227" s="18"/>
      <c r="E1227" s="18"/>
      <c r="F1227" s="18"/>
      <c r="G1227" s="7"/>
      <c r="H1227" s="7"/>
      <c r="I1227" s="7"/>
      <c r="J1227" s="12"/>
      <c r="K1227" s="8"/>
      <c r="Q1227" s="8"/>
      <c r="Z1227" s="9"/>
    </row>
    <row r="1228" customFormat="false" ht="15.75" hidden="false" customHeight="false" outlineLevel="0" collapsed="false">
      <c r="A1228" s="7"/>
      <c r="B1228" s="16"/>
      <c r="C1228" s="19"/>
      <c r="D1228" s="18"/>
      <c r="E1228" s="18"/>
      <c r="F1228" s="18"/>
      <c r="G1228" s="7"/>
      <c r="H1228" s="7"/>
      <c r="I1228" s="7"/>
      <c r="J1228" s="12"/>
      <c r="K1228" s="8"/>
      <c r="Q1228" s="8"/>
      <c r="Z1228" s="9"/>
    </row>
    <row r="1229" customFormat="false" ht="15.75" hidden="false" customHeight="false" outlineLevel="0" collapsed="false">
      <c r="A1229" s="7"/>
      <c r="B1229" s="16"/>
      <c r="C1229" s="19"/>
      <c r="D1229" s="18"/>
      <c r="E1229" s="18"/>
      <c r="F1229" s="18"/>
      <c r="G1229" s="7"/>
      <c r="H1229" s="7"/>
      <c r="I1229" s="7"/>
      <c r="J1229" s="12"/>
      <c r="K1229" s="8"/>
      <c r="Q1229" s="8"/>
      <c r="Z1229" s="9"/>
    </row>
    <row r="1230" customFormat="false" ht="15.75" hidden="false" customHeight="false" outlineLevel="0" collapsed="false">
      <c r="A1230" s="7"/>
      <c r="B1230" s="16"/>
      <c r="C1230" s="19"/>
      <c r="D1230" s="18"/>
      <c r="E1230" s="18"/>
      <c r="F1230" s="18"/>
      <c r="G1230" s="7"/>
      <c r="H1230" s="7"/>
      <c r="I1230" s="7"/>
      <c r="J1230" s="12"/>
      <c r="K1230" s="8"/>
      <c r="Q1230" s="8"/>
      <c r="Z1230" s="9"/>
    </row>
    <row r="1231" customFormat="false" ht="15.75" hidden="false" customHeight="false" outlineLevel="0" collapsed="false">
      <c r="A1231" s="7"/>
      <c r="B1231" s="16"/>
      <c r="C1231" s="19"/>
      <c r="D1231" s="18"/>
      <c r="E1231" s="18"/>
      <c r="F1231" s="18"/>
      <c r="G1231" s="7"/>
      <c r="H1231" s="7"/>
      <c r="I1231" s="7"/>
      <c r="J1231" s="12"/>
      <c r="K1231" s="8"/>
      <c r="Q1231" s="8"/>
      <c r="Z1231" s="9"/>
    </row>
    <row r="1232" customFormat="false" ht="15.75" hidden="false" customHeight="false" outlineLevel="0" collapsed="false">
      <c r="A1232" s="7"/>
      <c r="B1232" s="16"/>
      <c r="C1232" s="19"/>
      <c r="D1232" s="18"/>
      <c r="E1232" s="18"/>
      <c r="F1232" s="18"/>
      <c r="G1232" s="7"/>
      <c r="H1232" s="7"/>
      <c r="I1232" s="7"/>
      <c r="J1232" s="12"/>
      <c r="K1232" s="8"/>
      <c r="Q1232" s="8"/>
      <c r="Z1232" s="9"/>
    </row>
    <row r="1233" customFormat="false" ht="15.75" hidden="false" customHeight="false" outlineLevel="0" collapsed="false">
      <c r="A1233" s="7"/>
      <c r="B1233" s="16"/>
      <c r="C1233" s="19"/>
      <c r="D1233" s="18"/>
      <c r="E1233" s="18"/>
      <c r="F1233" s="18"/>
      <c r="G1233" s="7"/>
      <c r="H1233" s="7"/>
      <c r="I1233" s="7"/>
      <c r="J1233" s="12"/>
      <c r="K1233" s="8"/>
      <c r="Q1233" s="8"/>
      <c r="Z1233" s="9"/>
    </row>
    <row r="1234" customFormat="false" ht="15.75" hidden="false" customHeight="false" outlineLevel="0" collapsed="false">
      <c r="A1234" s="7"/>
      <c r="B1234" s="16"/>
      <c r="C1234" s="19"/>
      <c r="D1234" s="18"/>
      <c r="E1234" s="18"/>
      <c r="F1234" s="18"/>
      <c r="G1234" s="7"/>
      <c r="H1234" s="7"/>
      <c r="I1234" s="7"/>
      <c r="J1234" s="12"/>
      <c r="K1234" s="8"/>
      <c r="Q1234" s="8"/>
      <c r="Z1234" s="9"/>
    </row>
    <row r="1235" customFormat="false" ht="15.75" hidden="false" customHeight="false" outlineLevel="0" collapsed="false">
      <c r="A1235" s="7"/>
      <c r="B1235" s="16"/>
      <c r="C1235" s="19"/>
      <c r="D1235" s="18"/>
      <c r="E1235" s="18"/>
      <c r="F1235" s="18"/>
      <c r="G1235" s="7"/>
      <c r="H1235" s="7"/>
      <c r="I1235" s="7"/>
      <c r="J1235" s="12"/>
      <c r="K1235" s="8"/>
      <c r="Q1235" s="8"/>
      <c r="Z1235" s="9"/>
    </row>
    <row r="1236" customFormat="false" ht="15.75" hidden="false" customHeight="false" outlineLevel="0" collapsed="false">
      <c r="A1236" s="7"/>
      <c r="B1236" s="16"/>
      <c r="C1236" s="19"/>
      <c r="D1236" s="18"/>
      <c r="E1236" s="18"/>
      <c r="F1236" s="18"/>
      <c r="G1236" s="7"/>
      <c r="H1236" s="7"/>
      <c r="I1236" s="7"/>
      <c r="J1236" s="12"/>
      <c r="K1236" s="8"/>
      <c r="Q1236" s="8"/>
      <c r="Z1236" s="9"/>
    </row>
    <row r="1237" customFormat="false" ht="15.75" hidden="false" customHeight="false" outlineLevel="0" collapsed="false">
      <c r="A1237" s="7"/>
      <c r="B1237" s="16"/>
      <c r="C1237" s="19"/>
      <c r="D1237" s="18"/>
      <c r="E1237" s="18"/>
      <c r="F1237" s="18"/>
      <c r="G1237" s="7"/>
      <c r="H1237" s="7"/>
      <c r="I1237" s="7"/>
      <c r="J1237" s="12"/>
      <c r="K1237" s="8"/>
      <c r="Q1237" s="8"/>
      <c r="Z1237" s="9"/>
    </row>
    <row r="1238" customFormat="false" ht="15.75" hidden="false" customHeight="false" outlineLevel="0" collapsed="false">
      <c r="A1238" s="7"/>
      <c r="B1238" s="16"/>
      <c r="C1238" s="19"/>
      <c r="D1238" s="18"/>
      <c r="E1238" s="18"/>
      <c r="F1238" s="18"/>
      <c r="G1238" s="7"/>
      <c r="H1238" s="7"/>
      <c r="I1238" s="7"/>
      <c r="J1238" s="12"/>
      <c r="K1238" s="8"/>
      <c r="Q1238" s="8"/>
      <c r="Z1238" s="9"/>
    </row>
    <row r="1239" customFormat="false" ht="15.75" hidden="false" customHeight="false" outlineLevel="0" collapsed="false">
      <c r="A1239" s="7"/>
      <c r="B1239" s="16"/>
      <c r="C1239" s="19"/>
      <c r="D1239" s="18"/>
      <c r="E1239" s="18"/>
      <c r="F1239" s="18"/>
      <c r="G1239" s="7"/>
      <c r="H1239" s="7"/>
      <c r="I1239" s="7"/>
      <c r="J1239" s="12"/>
      <c r="K1239" s="8"/>
      <c r="Q1239" s="8"/>
      <c r="Z1239" s="9"/>
    </row>
    <row r="1240" customFormat="false" ht="15.75" hidden="false" customHeight="false" outlineLevel="0" collapsed="false">
      <c r="A1240" s="7"/>
      <c r="B1240" s="16"/>
      <c r="C1240" s="19"/>
      <c r="D1240" s="18"/>
      <c r="E1240" s="18"/>
      <c r="F1240" s="18"/>
      <c r="G1240" s="7"/>
      <c r="H1240" s="7"/>
      <c r="I1240" s="7"/>
      <c r="J1240" s="12"/>
      <c r="K1240" s="8"/>
      <c r="Q1240" s="8"/>
      <c r="Z1240" s="9"/>
    </row>
    <row r="1241" customFormat="false" ht="15.75" hidden="false" customHeight="false" outlineLevel="0" collapsed="false">
      <c r="A1241" s="7"/>
      <c r="B1241" s="16"/>
      <c r="C1241" s="19"/>
      <c r="D1241" s="18"/>
      <c r="E1241" s="18"/>
      <c r="F1241" s="18"/>
      <c r="G1241" s="7"/>
      <c r="H1241" s="7"/>
      <c r="I1241" s="7"/>
      <c r="J1241" s="12"/>
      <c r="K1241" s="8"/>
      <c r="Q1241" s="8"/>
      <c r="Z1241" s="9"/>
    </row>
    <row r="1242" customFormat="false" ht="15.75" hidden="false" customHeight="false" outlineLevel="0" collapsed="false">
      <c r="A1242" s="7"/>
      <c r="B1242" s="16"/>
      <c r="C1242" s="19"/>
      <c r="D1242" s="18"/>
      <c r="E1242" s="18"/>
      <c r="F1242" s="18"/>
      <c r="G1242" s="7"/>
      <c r="H1242" s="7"/>
      <c r="I1242" s="7"/>
      <c r="J1242" s="12"/>
      <c r="K1242" s="8"/>
      <c r="Q1242" s="8"/>
      <c r="Z1242" s="9"/>
    </row>
    <row r="1243" customFormat="false" ht="15.75" hidden="false" customHeight="false" outlineLevel="0" collapsed="false">
      <c r="A1243" s="7"/>
      <c r="B1243" s="16"/>
      <c r="C1243" s="19"/>
      <c r="D1243" s="18"/>
      <c r="E1243" s="18"/>
      <c r="F1243" s="18"/>
      <c r="G1243" s="7"/>
      <c r="H1243" s="7"/>
      <c r="I1243" s="7"/>
      <c r="J1243" s="12"/>
      <c r="K1243" s="8"/>
      <c r="Q1243" s="8"/>
      <c r="Z1243" s="9"/>
    </row>
    <row r="1244" customFormat="false" ht="15.75" hidden="false" customHeight="false" outlineLevel="0" collapsed="false">
      <c r="A1244" s="7"/>
      <c r="B1244" s="16"/>
      <c r="C1244" s="19"/>
      <c r="D1244" s="18"/>
      <c r="E1244" s="18"/>
      <c r="F1244" s="18"/>
      <c r="G1244" s="7"/>
      <c r="H1244" s="7"/>
      <c r="I1244" s="7"/>
      <c r="J1244" s="12"/>
      <c r="K1244" s="8"/>
      <c r="Q1244" s="8"/>
      <c r="Z1244" s="9"/>
    </row>
    <row r="1245" customFormat="false" ht="15.75" hidden="false" customHeight="false" outlineLevel="0" collapsed="false">
      <c r="A1245" s="7"/>
      <c r="B1245" s="16"/>
      <c r="C1245" s="19"/>
      <c r="D1245" s="18"/>
      <c r="E1245" s="18"/>
      <c r="F1245" s="18"/>
      <c r="G1245" s="7"/>
      <c r="H1245" s="7"/>
      <c r="I1245" s="7"/>
      <c r="J1245" s="12"/>
      <c r="K1245" s="8"/>
      <c r="Q1245" s="8"/>
      <c r="Z1245" s="9"/>
    </row>
    <row r="1246" customFormat="false" ht="15.75" hidden="false" customHeight="false" outlineLevel="0" collapsed="false">
      <c r="A1246" s="7"/>
      <c r="B1246" s="16"/>
      <c r="C1246" s="19"/>
      <c r="D1246" s="18"/>
      <c r="E1246" s="18"/>
      <c r="F1246" s="18"/>
      <c r="G1246" s="7"/>
      <c r="H1246" s="7"/>
      <c r="I1246" s="7"/>
      <c r="J1246" s="12"/>
      <c r="K1246" s="8"/>
      <c r="Q1246" s="8"/>
      <c r="Z1246" s="9"/>
    </row>
    <row r="1247" customFormat="false" ht="15.75" hidden="false" customHeight="false" outlineLevel="0" collapsed="false">
      <c r="A1247" s="7"/>
      <c r="B1247" s="16"/>
      <c r="C1247" s="19"/>
      <c r="D1247" s="18"/>
      <c r="E1247" s="18"/>
      <c r="F1247" s="18"/>
      <c r="G1247" s="7"/>
      <c r="H1247" s="7"/>
      <c r="I1247" s="7"/>
      <c r="J1247" s="12"/>
      <c r="K1247" s="8"/>
      <c r="Q1247" s="8"/>
      <c r="Z1247" s="9"/>
    </row>
    <row r="1248" customFormat="false" ht="15.75" hidden="false" customHeight="false" outlineLevel="0" collapsed="false">
      <c r="A1248" s="7"/>
      <c r="B1248" s="16"/>
      <c r="C1248" s="19"/>
      <c r="D1248" s="18"/>
      <c r="E1248" s="18"/>
      <c r="F1248" s="18"/>
      <c r="G1248" s="7"/>
      <c r="H1248" s="7"/>
      <c r="I1248" s="7"/>
      <c r="J1248" s="12"/>
      <c r="K1248" s="8"/>
      <c r="Q1248" s="8"/>
      <c r="Z1248" s="9"/>
    </row>
    <row r="1249" customFormat="false" ht="15.75" hidden="false" customHeight="false" outlineLevel="0" collapsed="false">
      <c r="A1249" s="7"/>
      <c r="B1249" s="16"/>
      <c r="C1249" s="19"/>
      <c r="D1249" s="18"/>
      <c r="E1249" s="18"/>
      <c r="F1249" s="18"/>
      <c r="G1249" s="7"/>
      <c r="H1249" s="7"/>
      <c r="I1249" s="7"/>
      <c r="J1249" s="12"/>
      <c r="K1249" s="8"/>
      <c r="Q1249" s="8"/>
      <c r="Z1249" s="9"/>
    </row>
    <row r="1250" customFormat="false" ht="15.75" hidden="false" customHeight="false" outlineLevel="0" collapsed="false">
      <c r="A1250" s="7"/>
      <c r="B1250" s="16"/>
      <c r="C1250" s="19"/>
      <c r="D1250" s="18"/>
      <c r="E1250" s="18"/>
      <c r="F1250" s="18"/>
      <c r="G1250" s="7"/>
      <c r="H1250" s="7"/>
      <c r="I1250" s="7"/>
      <c r="J1250" s="12"/>
      <c r="K1250" s="8"/>
      <c r="Q1250" s="8"/>
      <c r="Z1250" s="9"/>
    </row>
    <row r="1251" customFormat="false" ht="15.75" hidden="false" customHeight="false" outlineLevel="0" collapsed="false">
      <c r="A1251" s="7"/>
      <c r="B1251" s="16"/>
      <c r="C1251" s="19"/>
      <c r="D1251" s="18"/>
      <c r="E1251" s="18"/>
      <c r="F1251" s="18"/>
      <c r="G1251" s="7"/>
      <c r="H1251" s="7"/>
      <c r="I1251" s="7"/>
      <c r="J1251" s="12"/>
      <c r="K1251" s="8"/>
      <c r="Q1251" s="8"/>
      <c r="Z1251" s="9"/>
    </row>
    <row r="1252" customFormat="false" ht="15.75" hidden="false" customHeight="false" outlineLevel="0" collapsed="false">
      <c r="A1252" s="7"/>
      <c r="B1252" s="16"/>
      <c r="C1252" s="19"/>
      <c r="D1252" s="18"/>
      <c r="E1252" s="18"/>
      <c r="F1252" s="18"/>
      <c r="G1252" s="7"/>
      <c r="H1252" s="7"/>
      <c r="I1252" s="7"/>
      <c r="J1252" s="12"/>
      <c r="K1252" s="8"/>
      <c r="Q1252" s="8"/>
      <c r="Z1252" s="9"/>
    </row>
    <row r="1253" customFormat="false" ht="15.75" hidden="false" customHeight="false" outlineLevel="0" collapsed="false">
      <c r="A1253" s="7"/>
      <c r="B1253" s="16"/>
      <c r="C1253" s="19"/>
      <c r="D1253" s="18"/>
      <c r="E1253" s="18"/>
      <c r="F1253" s="18"/>
      <c r="G1253" s="7"/>
      <c r="H1253" s="7"/>
      <c r="I1253" s="7"/>
      <c r="J1253" s="12"/>
      <c r="K1253" s="8"/>
      <c r="Q1253" s="8"/>
      <c r="Z1253" s="9"/>
    </row>
    <row r="1254" customFormat="false" ht="15.75" hidden="false" customHeight="false" outlineLevel="0" collapsed="false">
      <c r="A1254" s="7"/>
      <c r="B1254" s="16"/>
      <c r="C1254" s="19"/>
      <c r="D1254" s="18"/>
      <c r="E1254" s="18"/>
      <c r="F1254" s="18"/>
      <c r="G1254" s="7"/>
      <c r="H1254" s="7"/>
      <c r="I1254" s="7"/>
      <c r="J1254" s="12"/>
      <c r="K1254" s="8"/>
      <c r="Q1254" s="8"/>
      <c r="Z1254" s="9"/>
    </row>
    <row r="1255" customFormat="false" ht="15.75" hidden="false" customHeight="false" outlineLevel="0" collapsed="false">
      <c r="A1255" s="7"/>
      <c r="B1255" s="16"/>
      <c r="C1255" s="19"/>
      <c r="D1255" s="18"/>
      <c r="E1255" s="18"/>
      <c r="F1255" s="18"/>
      <c r="G1255" s="7"/>
      <c r="H1255" s="7"/>
      <c r="I1255" s="7"/>
      <c r="J1255" s="12"/>
      <c r="K1255" s="8"/>
      <c r="Q1255" s="8"/>
      <c r="Z1255" s="9"/>
    </row>
    <row r="1256" customFormat="false" ht="15.75" hidden="false" customHeight="false" outlineLevel="0" collapsed="false">
      <c r="A1256" s="7"/>
      <c r="B1256" s="16"/>
      <c r="C1256" s="19"/>
      <c r="D1256" s="18"/>
      <c r="E1256" s="18"/>
      <c r="F1256" s="18"/>
      <c r="G1256" s="7"/>
      <c r="H1256" s="7"/>
      <c r="I1256" s="7"/>
      <c r="J1256" s="12"/>
      <c r="K1256" s="8"/>
      <c r="Q1256" s="8"/>
      <c r="Z1256" s="9"/>
    </row>
    <row r="1257" customFormat="false" ht="15.75" hidden="false" customHeight="false" outlineLevel="0" collapsed="false">
      <c r="A1257" s="7"/>
      <c r="B1257" s="16"/>
      <c r="C1257" s="19"/>
      <c r="D1257" s="18"/>
      <c r="E1257" s="18"/>
      <c r="F1257" s="18"/>
      <c r="G1257" s="7"/>
      <c r="H1257" s="7"/>
      <c r="I1257" s="7"/>
      <c r="J1257" s="12"/>
      <c r="K1257" s="8"/>
      <c r="Q1257" s="8"/>
      <c r="Z1257" s="9"/>
    </row>
    <row r="1258" customFormat="false" ht="15.75" hidden="false" customHeight="false" outlineLevel="0" collapsed="false">
      <c r="A1258" s="7"/>
      <c r="B1258" s="16"/>
      <c r="C1258" s="19"/>
      <c r="D1258" s="18"/>
      <c r="E1258" s="18"/>
      <c r="F1258" s="18"/>
      <c r="G1258" s="7"/>
      <c r="H1258" s="7"/>
      <c r="I1258" s="7"/>
      <c r="J1258" s="12"/>
      <c r="K1258" s="8"/>
      <c r="Q1258" s="8"/>
      <c r="Z1258" s="9"/>
    </row>
    <row r="1259" customFormat="false" ht="15.75" hidden="false" customHeight="false" outlineLevel="0" collapsed="false">
      <c r="A1259" s="7"/>
      <c r="B1259" s="16"/>
      <c r="C1259" s="19"/>
      <c r="D1259" s="18"/>
      <c r="E1259" s="18"/>
      <c r="F1259" s="18"/>
      <c r="G1259" s="7"/>
      <c r="H1259" s="7"/>
      <c r="I1259" s="7"/>
      <c r="J1259" s="12"/>
      <c r="K1259" s="8"/>
      <c r="Q1259" s="8"/>
      <c r="Z1259" s="9"/>
    </row>
    <row r="1260" customFormat="false" ht="15.75" hidden="false" customHeight="false" outlineLevel="0" collapsed="false">
      <c r="A1260" s="7"/>
      <c r="B1260" s="16"/>
      <c r="C1260" s="19"/>
      <c r="D1260" s="18"/>
      <c r="E1260" s="18"/>
      <c r="F1260" s="18"/>
      <c r="G1260" s="7"/>
      <c r="H1260" s="7"/>
      <c r="I1260" s="7"/>
      <c r="J1260" s="12"/>
      <c r="K1260" s="8"/>
      <c r="Q1260" s="8"/>
      <c r="Z1260" s="9"/>
    </row>
    <row r="1261" customFormat="false" ht="15.75" hidden="false" customHeight="false" outlineLevel="0" collapsed="false">
      <c r="A1261" s="7"/>
      <c r="B1261" s="16"/>
      <c r="C1261" s="19"/>
      <c r="D1261" s="18"/>
      <c r="E1261" s="18"/>
      <c r="F1261" s="18"/>
      <c r="G1261" s="7"/>
      <c r="H1261" s="7"/>
      <c r="I1261" s="7"/>
      <c r="J1261" s="12"/>
      <c r="K1261" s="8"/>
      <c r="Q1261" s="8"/>
      <c r="Z1261" s="9"/>
    </row>
    <row r="1262" customFormat="false" ht="15.75" hidden="false" customHeight="false" outlineLevel="0" collapsed="false">
      <c r="A1262" s="7"/>
      <c r="B1262" s="16"/>
      <c r="C1262" s="19"/>
      <c r="D1262" s="18"/>
      <c r="E1262" s="18"/>
      <c r="F1262" s="18"/>
      <c r="G1262" s="7"/>
      <c r="H1262" s="7"/>
      <c r="I1262" s="7"/>
      <c r="J1262" s="12"/>
      <c r="K1262" s="8"/>
      <c r="Q1262" s="8"/>
      <c r="Z1262" s="9"/>
    </row>
    <row r="1263" customFormat="false" ht="15.75" hidden="false" customHeight="false" outlineLevel="0" collapsed="false">
      <c r="A1263" s="7"/>
      <c r="B1263" s="16"/>
      <c r="C1263" s="19"/>
      <c r="D1263" s="18"/>
      <c r="E1263" s="18"/>
      <c r="F1263" s="18"/>
      <c r="G1263" s="7"/>
      <c r="H1263" s="7"/>
      <c r="I1263" s="7"/>
      <c r="J1263" s="12"/>
      <c r="K1263" s="8"/>
      <c r="Q1263" s="8"/>
      <c r="Z1263" s="9"/>
    </row>
    <row r="1264" customFormat="false" ht="15.75" hidden="false" customHeight="false" outlineLevel="0" collapsed="false">
      <c r="A1264" s="7"/>
      <c r="B1264" s="16"/>
      <c r="C1264" s="19"/>
      <c r="D1264" s="18"/>
      <c r="E1264" s="18"/>
      <c r="F1264" s="18"/>
      <c r="G1264" s="7"/>
      <c r="H1264" s="7"/>
      <c r="I1264" s="7"/>
      <c r="J1264" s="12"/>
      <c r="K1264" s="8"/>
      <c r="Q1264" s="8"/>
      <c r="Z1264" s="9"/>
    </row>
    <row r="1265" customFormat="false" ht="15.75" hidden="false" customHeight="false" outlineLevel="0" collapsed="false">
      <c r="A1265" s="7"/>
      <c r="B1265" s="16"/>
      <c r="C1265" s="19"/>
      <c r="D1265" s="18"/>
      <c r="E1265" s="18"/>
      <c r="F1265" s="18"/>
      <c r="G1265" s="7"/>
      <c r="H1265" s="7"/>
      <c r="I1265" s="7"/>
      <c r="J1265" s="12"/>
      <c r="K1265" s="8"/>
      <c r="Q1265" s="8"/>
      <c r="Z1265" s="9"/>
    </row>
    <row r="1266" customFormat="false" ht="15.75" hidden="false" customHeight="false" outlineLevel="0" collapsed="false">
      <c r="A1266" s="7"/>
      <c r="B1266" s="16"/>
      <c r="C1266" s="19"/>
      <c r="D1266" s="18"/>
      <c r="E1266" s="18"/>
      <c r="F1266" s="18"/>
      <c r="G1266" s="7"/>
      <c r="H1266" s="7"/>
      <c r="I1266" s="7"/>
      <c r="J1266" s="12"/>
      <c r="K1266" s="8"/>
      <c r="Q1266" s="8"/>
      <c r="Z1266" s="9"/>
    </row>
    <row r="1267" customFormat="false" ht="15.75" hidden="false" customHeight="false" outlineLevel="0" collapsed="false">
      <c r="A1267" s="7"/>
      <c r="B1267" s="16"/>
      <c r="C1267" s="19"/>
      <c r="D1267" s="18"/>
      <c r="E1267" s="18"/>
      <c r="F1267" s="18"/>
      <c r="G1267" s="7"/>
      <c r="H1267" s="7"/>
      <c r="I1267" s="7"/>
      <c r="J1267" s="12"/>
      <c r="K1267" s="8"/>
      <c r="Q1267" s="8"/>
      <c r="Z1267" s="9"/>
    </row>
    <row r="1268" customFormat="false" ht="15.75" hidden="false" customHeight="false" outlineLevel="0" collapsed="false">
      <c r="A1268" s="7"/>
      <c r="B1268" s="16"/>
      <c r="C1268" s="19"/>
      <c r="D1268" s="18"/>
      <c r="E1268" s="18"/>
      <c r="F1268" s="18"/>
      <c r="G1268" s="7"/>
      <c r="H1268" s="7"/>
      <c r="I1268" s="7"/>
      <c r="J1268" s="12"/>
      <c r="K1268" s="8"/>
      <c r="Q1268" s="8"/>
      <c r="Z1268" s="9"/>
    </row>
    <row r="1269" customFormat="false" ht="15.75" hidden="false" customHeight="false" outlineLevel="0" collapsed="false">
      <c r="A1269" s="7"/>
      <c r="B1269" s="16"/>
      <c r="C1269" s="19"/>
      <c r="D1269" s="18"/>
      <c r="E1269" s="18"/>
      <c r="F1269" s="18"/>
      <c r="G1269" s="7"/>
      <c r="H1269" s="7"/>
      <c r="I1269" s="7"/>
      <c r="J1269" s="12"/>
      <c r="K1269" s="8"/>
      <c r="Q1269" s="8"/>
      <c r="Z1269" s="9"/>
    </row>
    <row r="1270" customFormat="false" ht="15.75" hidden="false" customHeight="false" outlineLevel="0" collapsed="false">
      <c r="A1270" s="7"/>
      <c r="B1270" s="16"/>
      <c r="C1270" s="19"/>
      <c r="D1270" s="18"/>
      <c r="E1270" s="18"/>
      <c r="F1270" s="18"/>
      <c r="G1270" s="7"/>
      <c r="H1270" s="7"/>
      <c r="I1270" s="7"/>
      <c r="J1270" s="12"/>
      <c r="K1270" s="8"/>
      <c r="Q1270" s="8"/>
      <c r="Z1270" s="9"/>
    </row>
    <row r="1271" customFormat="false" ht="15.75" hidden="false" customHeight="false" outlineLevel="0" collapsed="false">
      <c r="A1271" s="7"/>
      <c r="B1271" s="16"/>
      <c r="C1271" s="19"/>
      <c r="D1271" s="18"/>
      <c r="E1271" s="18"/>
      <c r="F1271" s="18"/>
      <c r="G1271" s="7"/>
      <c r="H1271" s="7"/>
      <c r="I1271" s="7"/>
      <c r="J1271" s="12"/>
      <c r="K1271" s="8"/>
      <c r="Q1271" s="8"/>
      <c r="Z1271" s="9"/>
    </row>
    <row r="1272" customFormat="false" ht="15.75" hidden="false" customHeight="false" outlineLevel="0" collapsed="false">
      <c r="A1272" s="7"/>
      <c r="B1272" s="16"/>
      <c r="C1272" s="19"/>
      <c r="D1272" s="18"/>
      <c r="E1272" s="18"/>
      <c r="F1272" s="18"/>
      <c r="G1272" s="7"/>
      <c r="H1272" s="7"/>
      <c r="I1272" s="7"/>
      <c r="J1272" s="12"/>
      <c r="K1272" s="8"/>
      <c r="Q1272" s="8"/>
      <c r="Z1272" s="9"/>
    </row>
    <row r="1273" customFormat="false" ht="15.75" hidden="false" customHeight="false" outlineLevel="0" collapsed="false">
      <c r="A1273" s="7"/>
      <c r="B1273" s="16"/>
      <c r="C1273" s="19"/>
      <c r="D1273" s="18"/>
      <c r="E1273" s="18"/>
      <c r="F1273" s="18"/>
      <c r="G1273" s="7"/>
      <c r="H1273" s="7"/>
      <c r="I1273" s="7"/>
      <c r="J1273" s="12"/>
      <c r="K1273" s="8"/>
      <c r="Q1273" s="8"/>
      <c r="Z1273" s="9"/>
    </row>
    <row r="1274" customFormat="false" ht="15.75" hidden="false" customHeight="false" outlineLevel="0" collapsed="false">
      <c r="A1274" s="7"/>
      <c r="B1274" s="16"/>
      <c r="C1274" s="19"/>
      <c r="D1274" s="18"/>
      <c r="E1274" s="18"/>
      <c r="F1274" s="18"/>
      <c r="G1274" s="7"/>
      <c r="H1274" s="7"/>
      <c r="I1274" s="7"/>
      <c r="J1274" s="12"/>
      <c r="K1274" s="8"/>
      <c r="Q1274" s="8"/>
      <c r="Z1274" s="9"/>
    </row>
    <row r="1275" customFormat="false" ht="15.75" hidden="false" customHeight="false" outlineLevel="0" collapsed="false">
      <c r="A1275" s="7"/>
      <c r="B1275" s="16"/>
      <c r="C1275" s="19"/>
      <c r="D1275" s="18"/>
      <c r="E1275" s="18"/>
      <c r="F1275" s="18"/>
      <c r="G1275" s="7"/>
      <c r="H1275" s="7"/>
      <c r="I1275" s="7"/>
      <c r="J1275" s="12"/>
      <c r="K1275" s="8"/>
      <c r="Q1275" s="8"/>
      <c r="Z1275" s="9"/>
    </row>
    <row r="1276" customFormat="false" ht="15.75" hidden="false" customHeight="false" outlineLevel="0" collapsed="false">
      <c r="A1276" s="7"/>
      <c r="B1276" s="16"/>
      <c r="C1276" s="19"/>
      <c r="D1276" s="18"/>
      <c r="E1276" s="18"/>
      <c r="F1276" s="18"/>
      <c r="G1276" s="7"/>
      <c r="H1276" s="7"/>
      <c r="I1276" s="7"/>
      <c r="J1276" s="12"/>
      <c r="K1276" s="8"/>
      <c r="Q1276" s="8"/>
      <c r="Z1276" s="9"/>
    </row>
    <row r="1277" customFormat="false" ht="15.75" hidden="false" customHeight="false" outlineLevel="0" collapsed="false">
      <c r="A1277" s="7"/>
      <c r="B1277" s="16"/>
      <c r="C1277" s="19"/>
      <c r="D1277" s="18"/>
      <c r="E1277" s="18"/>
      <c r="F1277" s="18"/>
      <c r="G1277" s="7"/>
      <c r="H1277" s="7"/>
      <c r="I1277" s="7"/>
      <c r="J1277" s="12"/>
      <c r="K1277" s="8"/>
      <c r="Q1277" s="8"/>
      <c r="Z1277" s="9"/>
    </row>
    <row r="1278" customFormat="false" ht="15.75" hidden="false" customHeight="false" outlineLevel="0" collapsed="false">
      <c r="A1278" s="7"/>
      <c r="B1278" s="16"/>
      <c r="C1278" s="19"/>
      <c r="D1278" s="18"/>
      <c r="E1278" s="18"/>
      <c r="F1278" s="18"/>
      <c r="G1278" s="7"/>
      <c r="H1278" s="7"/>
      <c r="I1278" s="7"/>
      <c r="J1278" s="12"/>
      <c r="K1278" s="8"/>
      <c r="Q1278" s="8"/>
      <c r="Z1278" s="9"/>
    </row>
    <row r="1279" customFormat="false" ht="15.75" hidden="false" customHeight="false" outlineLevel="0" collapsed="false">
      <c r="A1279" s="7"/>
      <c r="B1279" s="16"/>
      <c r="C1279" s="19"/>
      <c r="D1279" s="18"/>
      <c r="E1279" s="18"/>
      <c r="F1279" s="18"/>
      <c r="G1279" s="7"/>
      <c r="H1279" s="7"/>
      <c r="I1279" s="7"/>
      <c r="J1279" s="12"/>
      <c r="K1279" s="8"/>
      <c r="Q1279" s="8"/>
      <c r="Z1279" s="9"/>
    </row>
    <row r="1280" customFormat="false" ht="15.75" hidden="false" customHeight="false" outlineLevel="0" collapsed="false">
      <c r="A1280" s="7"/>
      <c r="B1280" s="16"/>
      <c r="C1280" s="19"/>
      <c r="D1280" s="18"/>
      <c r="E1280" s="18"/>
      <c r="F1280" s="18"/>
      <c r="G1280" s="7"/>
      <c r="H1280" s="7"/>
      <c r="I1280" s="7"/>
      <c r="J1280" s="12"/>
      <c r="K1280" s="8"/>
      <c r="Q1280" s="8"/>
      <c r="Z1280" s="9"/>
    </row>
    <row r="1281" customFormat="false" ht="15.75" hidden="false" customHeight="false" outlineLevel="0" collapsed="false">
      <c r="A1281" s="7"/>
      <c r="B1281" s="16"/>
      <c r="C1281" s="19"/>
      <c r="D1281" s="18"/>
      <c r="E1281" s="18"/>
      <c r="F1281" s="18"/>
      <c r="G1281" s="7"/>
      <c r="H1281" s="7"/>
      <c r="I1281" s="7"/>
      <c r="J1281" s="12"/>
      <c r="K1281" s="8"/>
      <c r="Q1281" s="8"/>
      <c r="Z1281" s="9"/>
    </row>
    <row r="1282" customFormat="false" ht="15.75" hidden="false" customHeight="false" outlineLevel="0" collapsed="false">
      <c r="A1282" s="7"/>
      <c r="B1282" s="16"/>
      <c r="C1282" s="19"/>
      <c r="D1282" s="18"/>
      <c r="E1282" s="18"/>
      <c r="F1282" s="18"/>
      <c r="G1282" s="7"/>
      <c r="H1282" s="7"/>
      <c r="I1282" s="7"/>
      <c r="J1282" s="12"/>
      <c r="K1282" s="8"/>
      <c r="Q1282" s="8"/>
      <c r="Z1282" s="9"/>
    </row>
    <row r="1283" customFormat="false" ht="15.75" hidden="false" customHeight="false" outlineLevel="0" collapsed="false">
      <c r="A1283" s="7"/>
      <c r="B1283" s="16"/>
      <c r="C1283" s="19"/>
      <c r="D1283" s="18"/>
      <c r="E1283" s="18"/>
      <c r="F1283" s="18"/>
      <c r="G1283" s="7"/>
      <c r="H1283" s="7"/>
      <c r="I1283" s="7"/>
      <c r="J1283" s="12"/>
      <c r="K1283" s="8"/>
      <c r="Q1283" s="8"/>
      <c r="Z1283" s="9"/>
    </row>
    <row r="1284" customFormat="false" ht="15.75" hidden="false" customHeight="false" outlineLevel="0" collapsed="false">
      <c r="A1284" s="7"/>
      <c r="B1284" s="16"/>
      <c r="C1284" s="19"/>
      <c r="D1284" s="18"/>
      <c r="E1284" s="18"/>
      <c r="F1284" s="18"/>
      <c r="G1284" s="7"/>
      <c r="H1284" s="7"/>
      <c r="I1284" s="7"/>
      <c r="J1284" s="12"/>
      <c r="K1284" s="8"/>
      <c r="Q1284" s="8"/>
      <c r="Z1284" s="9"/>
    </row>
    <row r="1285" customFormat="false" ht="15.75" hidden="false" customHeight="false" outlineLevel="0" collapsed="false">
      <c r="A1285" s="7"/>
      <c r="B1285" s="16"/>
      <c r="C1285" s="19"/>
      <c r="D1285" s="18"/>
      <c r="E1285" s="18"/>
      <c r="F1285" s="18"/>
      <c r="G1285" s="7"/>
      <c r="H1285" s="7"/>
      <c r="I1285" s="7"/>
      <c r="J1285" s="12"/>
      <c r="K1285" s="8"/>
      <c r="Q1285" s="8"/>
      <c r="Z1285" s="9"/>
    </row>
    <row r="1286" customFormat="false" ht="15.75" hidden="false" customHeight="false" outlineLevel="0" collapsed="false">
      <c r="A1286" s="7"/>
      <c r="B1286" s="16"/>
      <c r="C1286" s="19"/>
      <c r="D1286" s="18"/>
      <c r="E1286" s="18"/>
      <c r="F1286" s="18"/>
      <c r="G1286" s="7"/>
      <c r="H1286" s="7"/>
      <c r="I1286" s="7"/>
      <c r="J1286" s="12"/>
      <c r="K1286" s="8"/>
      <c r="Q1286" s="8"/>
      <c r="Z1286" s="9"/>
    </row>
    <row r="1287" customFormat="false" ht="15.75" hidden="false" customHeight="false" outlineLevel="0" collapsed="false">
      <c r="A1287" s="7"/>
      <c r="B1287" s="16"/>
      <c r="C1287" s="19"/>
      <c r="D1287" s="18"/>
      <c r="E1287" s="18"/>
      <c r="F1287" s="18"/>
      <c r="G1287" s="7"/>
      <c r="H1287" s="7"/>
      <c r="I1287" s="7"/>
      <c r="J1287" s="12"/>
      <c r="K1287" s="8"/>
      <c r="Q1287" s="8"/>
      <c r="Z1287" s="9"/>
    </row>
    <row r="1288" customFormat="false" ht="15.75" hidden="false" customHeight="false" outlineLevel="0" collapsed="false">
      <c r="A1288" s="7"/>
      <c r="B1288" s="16"/>
      <c r="C1288" s="19"/>
      <c r="D1288" s="18"/>
      <c r="E1288" s="18"/>
      <c r="F1288" s="18"/>
      <c r="G1288" s="7"/>
      <c r="H1288" s="7"/>
      <c r="I1288" s="7"/>
      <c r="J1288" s="12"/>
      <c r="K1288" s="8"/>
      <c r="Q1288" s="8"/>
      <c r="Z1288" s="9"/>
    </row>
    <row r="1289" customFormat="false" ht="15.75" hidden="false" customHeight="false" outlineLevel="0" collapsed="false">
      <c r="A1289" s="7"/>
      <c r="B1289" s="16"/>
      <c r="C1289" s="19"/>
      <c r="D1289" s="18"/>
      <c r="E1289" s="18"/>
      <c r="F1289" s="18"/>
      <c r="G1289" s="7"/>
      <c r="H1289" s="7"/>
      <c r="I1289" s="7"/>
      <c r="J1289" s="12"/>
      <c r="K1289" s="8"/>
      <c r="Q1289" s="8"/>
      <c r="Z1289" s="9"/>
    </row>
    <row r="1290" customFormat="false" ht="15.75" hidden="false" customHeight="false" outlineLevel="0" collapsed="false">
      <c r="A1290" s="7"/>
      <c r="B1290" s="16"/>
      <c r="C1290" s="19"/>
      <c r="D1290" s="18"/>
      <c r="E1290" s="18"/>
      <c r="F1290" s="18"/>
      <c r="G1290" s="7"/>
      <c r="H1290" s="7"/>
      <c r="I1290" s="7"/>
      <c r="J1290" s="12"/>
      <c r="K1290" s="8"/>
      <c r="Q1290" s="8"/>
      <c r="Z1290" s="9"/>
    </row>
    <row r="1291" customFormat="false" ht="15.75" hidden="false" customHeight="false" outlineLevel="0" collapsed="false">
      <c r="A1291" s="7"/>
      <c r="B1291" s="16"/>
      <c r="C1291" s="19"/>
      <c r="D1291" s="18"/>
      <c r="E1291" s="18"/>
      <c r="F1291" s="18"/>
      <c r="G1291" s="7"/>
      <c r="H1291" s="7"/>
      <c r="I1291" s="7"/>
      <c r="J1291" s="12"/>
      <c r="K1291" s="8"/>
      <c r="Q1291" s="8"/>
      <c r="Z1291" s="9"/>
    </row>
    <row r="1292" customFormat="false" ht="15.75" hidden="false" customHeight="false" outlineLevel="0" collapsed="false">
      <c r="A1292" s="7"/>
      <c r="B1292" s="16"/>
      <c r="C1292" s="19"/>
      <c r="D1292" s="18"/>
      <c r="E1292" s="18"/>
      <c r="F1292" s="18"/>
      <c r="G1292" s="7"/>
      <c r="H1292" s="7"/>
      <c r="I1292" s="7"/>
      <c r="J1292" s="12"/>
      <c r="K1292" s="8"/>
      <c r="Q1292" s="8"/>
      <c r="Z1292" s="9"/>
    </row>
    <row r="1293" customFormat="false" ht="15.75" hidden="false" customHeight="false" outlineLevel="0" collapsed="false">
      <c r="A1293" s="7"/>
      <c r="B1293" s="16"/>
      <c r="C1293" s="19"/>
      <c r="D1293" s="18"/>
      <c r="E1293" s="18"/>
      <c r="F1293" s="18"/>
      <c r="G1293" s="7"/>
      <c r="H1293" s="7"/>
      <c r="I1293" s="7"/>
      <c r="J1293" s="12"/>
      <c r="K1293" s="8"/>
      <c r="Q1293" s="8"/>
      <c r="Z1293" s="9"/>
    </row>
    <row r="1294" customFormat="false" ht="15.75" hidden="false" customHeight="false" outlineLevel="0" collapsed="false">
      <c r="A1294" s="7"/>
      <c r="B1294" s="16"/>
      <c r="C1294" s="19"/>
      <c r="D1294" s="18"/>
      <c r="E1294" s="18"/>
      <c r="F1294" s="18"/>
      <c r="G1294" s="7"/>
      <c r="H1294" s="7"/>
      <c r="I1294" s="7"/>
      <c r="J1294" s="12"/>
      <c r="K1294" s="8"/>
      <c r="Q1294" s="8"/>
      <c r="Z1294" s="9"/>
    </row>
    <row r="1295" customFormat="false" ht="15.75" hidden="false" customHeight="false" outlineLevel="0" collapsed="false">
      <c r="A1295" s="7"/>
      <c r="B1295" s="16"/>
      <c r="C1295" s="19"/>
      <c r="D1295" s="18"/>
      <c r="E1295" s="18"/>
      <c r="F1295" s="18"/>
      <c r="G1295" s="7"/>
      <c r="H1295" s="7"/>
      <c r="I1295" s="7"/>
      <c r="J1295" s="12"/>
      <c r="K1295" s="8"/>
      <c r="Q1295" s="8"/>
      <c r="Z1295" s="9"/>
    </row>
    <row r="1296" customFormat="false" ht="15.75" hidden="false" customHeight="false" outlineLevel="0" collapsed="false">
      <c r="A1296" s="7"/>
      <c r="B1296" s="16"/>
      <c r="C1296" s="19"/>
      <c r="D1296" s="18"/>
      <c r="E1296" s="18"/>
      <c r="F1296" s="18"/>
      <c r="G1296" s="7"/>
      <c r="H1296" s="7"/>
      <c r="I1296" s="7"/>
      <c r="J1296" s="12"/>
      <c r="K1296" s="8"/>
      <c r="Q1296" s="8"/>
      <c r="Z1296" s="9"/>
    </row>
    <row r="1297" customFormat="false" ht="15.75" hidden="false" customHeight="false" outlineLevel="0" collapsed="false">
      <c r="A1297" s="7"/>
      <c r="B1297" s="16"/>
      <c r="C1297" s="19"/>
      <c r="D1297" s="18"/>
      <c r="E1297" s="18"/>
      <c r="F1297" s="18"/>
      <c r="G1297" s="7"/>
      <c r="H1297" s="7"/>
      <c r="I1297" s="7"/>
      <c r="J1297" s="12"/>
      <c r="K1297" s="8"/>
      <c r="Q1297" s="8"/>
      <c r="Z1297" s="9"/>
    </row>
    <row r="1298" customFormat="false" ht="15.75" hidden="false" customHeight="false" outlineLevel="0" collapsed="false">
      <c r="A1298" s="7"/>
      <c r="B1298" s="16"/>
      <c r="C1298" s="19"/>
      <c r="D1298" s="18"/>
      <c r="E1298" s="18"/>
      <c r="F1298" s="18"/>
      <c r="G1298" s="7"/>
      <c r="H1298" s="7"/>
      <c r="I1298" s="7"/>
      <c r="J1298" s="12"/>
      <c r="K1298" s="8"/>
      <c r="Q1298" s="8"/>
      <c r="Z1298" s="9"/>
    </row>
    <row r="1299" customFormat="false" ht="15.75" hidden="false" customHeight="false" outlineLevel="0" collapsed="false">
      <c r="A1299" s="7"/>
      <c r="B1299" s="16"/>
      <c r="C1299" s="19"/>
      <c r="D1299" s="18"/>
      <c r="E1299" s="18"/>
      <c r="F1299" s="18"/>
      <c r="G1299" s="7"/>
      <c r="H1299" s="7"/>
      <c r="I1299" s="7"/>
      <c r="J1299" s="12"/>
      <c r="K1299" s="8"/>
      <c r="Q1299" s="8"/>
      <c r="Z1299" s="9"/>
    </row>
    <row r="1300" customFormat="false" ht="15.75" hidden="false" customHeight="false" outlineLevel="0" collapsed="false">
      <c r="A1300" s="7"/>
      <c r="B1300" s="16"/>
      <c r="C1300" s="19"/>
      <c r="D1300" s="18"/>
      <c r="E1300" s="18"/>
      <c r="F1300" s="18"/>
      <c r="G1300" s="7"/>
      <c r="H1300" s="7"/>
      <c r="I1300" s="7"/>
      <c r="J1300" s="12"/>
      <c r="K1300" s="8"/>
      <c r="Q1300" s="8"/>
      <c r="Z1300" s="9"/>
    </row>
    <row r="1301" customFormat="false" ht="15.75" hidden="false" customHeight="false" outlineLevel="0" collapsed="false">
      <c r="A1301" s="7"/>
      <c r="B1301" s="16"/>
      <c r="C1301" s="19"/>
      <c r="D1301" s="18"/>
      <c r="E1301" s="18"/>
      <c r="F1301" s="18"/>
      <c r="G1301" s="7"/>
      <c r="H1301" s="7"/>
      <c r="I1301" s="7"/>
      <c r="J1301" s="12"/>
      <c r="K1301" s="8"/>
      <c r="Q1301" s="8"/>
      <c r="Z1301" s="9"/>
    </row>
    <row r="1302" customFormat="false" ht="15.75" hidden="false" customHeight="false" outlineLevel="0" collapsed="false">
      <c r="A1302" s="7"/>
      <c r="B1302" s="16"/>
      <c r="C1302" s="19"/>
      <c r="D1302" s="18"/>
      <c r="E1302" s="18"/>
      <c r="F1302" s="18"/>
      <c r="G1302" s="7"/>
      <c r="H1302" s="7"/>
      <c r="I1302" s="7"/>
      <c r="J1302" s="12"/>
      <c r="K1302" s="8"/>
      <c r="Q1302" s="8"/>
      <c r="Z1302" s="9"/>
    </row>
    <row r="1303" customFormat="false" ht="15.75" hidden="false" customHeight="false" outlineLevel="0" collapsed="false">
      <c r="A1303" s="7"/>
      <c r="B1303" s="16"/>
      <c r="C1303" s="19"/>
      <c r="D1303" s="18"/>
      <c r="E1303" s="18"/>
      <c r="F1303" s="18"/>
      <c r="G1303" s="7"/>
      <c r="H1303" s="7"/>
      <c r="I1303" s="7"/>
      <c r="J1303" s="12"/>
      <c r="K1303" s="8"/>
      <c r="Q1303" s="8"/>
      <c r="Z1303" s="9"/>
    </row>
    <row r="1304" customFormat="false" ht="15.75" hidden="false" customHeight="false" outlineLevel="0" collapsed="false">
      <c r="A1304" s="7"/>
      <c r="B1304" s="16"/>
      <c r="C1304" s="19"/>
      <c r="D1304" s="18"/>
      <c r="E1304" s="18"/>
      <c r="F1304" s="18"/>
      <c r="G1304" s="7"/>
      <c r="H1304" s="7"/>
      <c r="I1304" s="7"/>
      <c r="J1304" s="12"/>
      <c r="K1304" s="8"/>
      <c r="Q1304" s="8"/>
      <c r="Z1304" s="9"/>
    </row>
    <row r="1305" customFormat="false" ht="15.75" hidden="false" customHeight="false" outlineLevel="0" collapsed="false">
      <c r="A1305" s="7"/>
      <c r="B1305" s="16"/>
      <c r="C1305" s="19"/>
      <c r="D1305" s="18"/>
      <c r="E1305" s="18"/>
      <c r="F1305" s="18"/>
      <c r="G1305" s="7"/>
      <c r="H1305" s="7"/>
      <c r="I1305" s="7"/>
      <c r="J1305" s="12"/>
      <c r="K1305" s="8"/>
      <c r="Q1305" s="8"/>
      <c r="Z1305" s="9"/>
    </row>
    <row r="1306" customFormat="false" ht="15.75" hidden="false" customHeight="false" outlineLevel="0" collapsed="false">
      <c r="A1306" s="7"/>
      <c r="B1306" s="16"/>
      <c r="C1306" s="19"/>
      <c r="D1306" s="18"/>
      <c r="E1306" s="18"/>
      <c r="F1306" s="18"/>
      <c r="G1306" s="7"/>
      <c r="H1306" s="7"/>
      <c r="I1306" s="7"/>
      <c r="J1306" s="12"/>
      <c r="K1306" s="8"/>
      <c r="Q1306" s="8"/>
      <c r="Z1306" s="9"/>
    </row>
    <row r="1307" customFormat="false" ht="15.75" hidden="false" customHeight="false" outlineLevel="0" collapsed="false">
      <c r="A1307" s="7"/>
      <c r="B1307" s="16"/>
      <c r="C1307" s="19"/>
      <c r="D1307" s="18"/>
      <c r="E1307" s="18"/>
      <c r="F1307" s="18"/>
      <c r="G1307" s="7"/>
      <c r="H1307" s="7"/>
      <c r="I1307" s="7"/>
      <c r="J1307" s="12"/>
      <c r="K1307" s="8"/>
      <c r="Q1307" s="8"/>
      <c r="Z1307" s="9"/>
    </row>
    <row r="1308" customFormat="false" ht="15.75" hidden="false" customHeight="false" outlineLevel="0" collapsed="false">
      <c r="A1308" s="7"/>
      <c r="B1308" s="16"/>
      <c r="C1308" s="19"/>
      <c r="D1308" s="18"/>
      <c r="E1308" s="18"/>
      <c r="F1308" s="18"/>
      <c r="G1308" s="7"/>
      <c r="H1308" s="7"/>
      <c r="I1308" s="7"/>
      <c r="J1308" s="12"/>
      <c r="K1308" s="8"/>
      <c r="Q1308" s="8"/>
      <c r="Z1308" s="9"/>
    </row>
    <row r="1309" customFormat="false" ht="15.75" hidden="false" customHeight="false" outlineLevel="0" collapsed="false">
      <c r="A1309" s="7"/>
      <c r="B1309" s="16"/>
      <c r="C1309" s="19"/>
      <c r="D1309" s="18"/>
      <c r="E1309" s="18"/>
      <c r="F1309" s="18"/>
      <c r="G1309" s="7"/>
      <c r="H1309" s="7"/>
      <c r="I1309" s="7"/>
      <c r="J1309" s="12"/>
      <c r="K1309" s="8"/>
      <c r="Q1309" s="8"/>
      <c r="Z1309" s="9"/>
    </row>
    <row r="1310" customFormat="false" ht="15.75" hidden="false" customHeight="false" outlineLevel="0" collapsed="false">
      <c r="A1310" s="7"/>
      <c r="B1310" s="16"/>
      <c r="C1310" s="19"/>
      <c r="D1310" s="18"/>
      <c r="E1310" s="18"/>
      <c r="F1310" s="18"/>
      <c r="G1310" s="7"/>
      <c r="H1310" s="7"/>
      <c r="I1310" s="7"/>
      <c r="J1310" s="12"/>
      <c r="K1310" s="8"/>
      <c r="Q1310" s="8"/>
      <c r="Z1310" s="9"/>
    </row>
    <row r="1311" customFormat="false" ht="15.75" hidden="false" customHeight="false" outlineLevel="0" collapsed="false">
      <c r="A1311" s="7"/>
      <c r="B1311" s="16"/>
      <c r="C1311" s="19"/>
      <c r="D1311" s="18"/>
      <c r="E1311" s="18"/>
      <c r="F1311" s="18"/>
      <c r="G1311" s="7"/>
      <c r="H1311" s="7"/>
      <c r="I1311" s="7"/>
      <c r="J1311" s="12"/>
      <c r="K1311" s="8"/>
      <c r="Q1311" s="8"/>
      <c r="Z1311" s="9"/>
    </row>
    <row r="1312" customFormat="false" ht="15.75" hidden="false" customHeight="false" outlineLevel="0" collapsed="false">
      <c r="A1312" s="7"/>
      <c r="B1312" s="16"/>
      <c r="C1312" s="19"/>
      <c r="D1312" s="18"/>
      <c r="E1312" s="18"/>
      <c r="F1312" s="18"/>
      <c r="G1312" s="7"/>
      <c r="H1312" s="7"/>
      <c r="I1312" s="7"/>
      <c r="J1312" s="12"/>
      <c r="K1312" s="8"/>
      <c r="Q1312" s="8"/>
      <c r="Z1312" s="9"/>
    </row>
    <row r="1313" customFormat="false" ht="15.75" hidden="false" customHeight="false" outlineLevel="0" collapsed="false">
      <c r="A1313" s="7"/>
      <c r="B1313" s="16"/>
      <c r="C1313" s="19"/>
      <c r="D1313" s="18"/>
      <c r="E1313" s="18"/>
      <c r="F1313" s="18"/>
      <c r="G1313" s="7"/>
      <c r="H1313" s="7"/>
      <c r="I1313" s="7"/>
      <c r="J1313" s="12"/>
      <c r="K1313" s="8"/>
      <c r="Q1313" s="8"/>
      <c r="Z1313" s="9"/>
    </row>
    <row r="1314" customFormat="false" ht="15.75" hidden="false" customHeight="false" outlineLevel="0" collapsed="false">
      <c r="A1314" s="7"/>
      <c r="B1314" s="16"/>
      <c r="C1314" s="19"/>
      <c r="D1314" s="18"/>
      <c r="E1314" s="18"/>
      <c r="F1314" s="18"/>
      <c r="G1314" s="7"/>
      <c r="H1314" s="7"/>
      <c r="I1314" s="7"/>
      <c r="J1314" s="12"/>
      <c r="K1314" s="8"/>
      <c r="Q1314" s="8"/>
      <c r="Z1314" s="9"/>
    </row>
    <row r="1315" customFormat="false" ht="15.75" hidden="false" customHeight="false" outlineLevel="0" collapsed="false">
      <c r="A1315" s="7"/>
      <c r="B1315" s="16"/>
      <c r="C1315" s="19"/>
      <c r="D1315" s="18"/>
      <c r="E1315" s="18"/>
      <c r="F1315" s="18"/>
      <c r="G1315" s="7"/>
      <c r="H1315" s="7"/>
      <c r="I1315" s="7"/>
      <c r="J1315" s="12"/>
      <c r="K1315" s="8"/>
      <c r="Q1315" s="8"/>
      <c r="Z1315" s="9"/>
    </row>
    <row r="1316" customFormat="false" ht="15.75" hidden="false" customHeight="false" outlineLevel="0" collapsed="false">
      <c r="A1316" s="7"/>
      <c r="B1316" s="16"/>
      <c r="C1316" s="19"/>
      <c r="D1316" s="18"/>
      <c r="E1316" s="18"/>
      <c r="F1316" s="18"/>
      <c r="G1316" s="7"/>
      <c r="H1316" s="7"/>
      <c r="I1316" s="7"/>
      <c r="J1316" s="12"/>
      <c r="K1316" s="8"/>
      <c r="Q1316" s="8"/>
      <c r="Z1316" s="9"/>
    </row>
    <row r="1317" customFormat="false" ht="15.75" hidden="false" customHeight="false" outlineLevel="0" collapsed="false">
      <c r="A1317" s="7"/>
      <c r="B1317" s="16"/>
      <c r="C1317" s="19"/>
      <c r="D1317" s="18"/>
      <c r="E1317" s="18"/>
      <c r="F1317" s="18"/>
      <c r="G1317" s="7"/>
      <c r="H1317" s="7"/>
      <c r="I1317" s="7"/>
      <c r="J1317" s="12"/>
      <c r="K1317" s="8"/>
      <c r="Q1317" s="8"/>
      <c r="Z1317" s="9"/>
    </row>
    <row r="1318" customFormat="false" ht="15.75" hidden="false" customHeight="false" outlineLevel="0" collapsed="false">
      <c r="A1318" s="7"/>
      <c r="B1318" s="16"/>
      <c r="C1318" s="19"/>
      <c r="D1318" s="18"/>
      <c r="E1318" s="18"/>
      <c r="F1318" s="18"/>
      <c r="G1318" s="7"/>
      <c r="H1318" s="7"/>
      <c r="I1318" s="7"/>
      <c r="J1318" s="12"/>
      <c r="K1318" s="8"/>
      <c r="Q1318" s="8"/>
      <c r="Z1318" s="9"/>
    </row>
    <row r="1319" customFormat="false" ht="15.75" hidden="false" customHeight="false" outlineLevel="0" collapsed="false">
      <c r="A1319" s="7"/>
      <c r="B1319" s="16"/>
      <c r="C1319" s="19"/>
      <c r="D1319" s="18"/>
      <c r="E1319" s="18"/>
      <c r="F1319" s="18"/>
      <c r="G1319" s="7"/>
      <c r="H1319" s="7"/>
      <c r="I1319" s="7"/>
      <c r="J1319" s="12"/>
      <c r="K1319" s="8"/>
      <c r="Q1319" s="8"/>
      <c r="Z1319" s="9"/>
    </row>
    <row r="1320" customFormat="false" ht="15.75" hidden="false" customHeight="false" outlineLevel="0" collapsed="false">
      <c r="A1320" s="7"/>
      <c r="B1320" s="16"/>
      <c r="C1320" s="19"/>
      <c r="D1320" s="18"/>
      <c r="E1320" s="18"/>
      <c r="F1320" s="18"/>
      <c r="G1320" s="7"/>
      <c r="H1320" s="7"/>
      <c r="I1320" s="7"/>
      <c r="J1320" s="12"/>
      <c r="K1320" s="8"/>
      <c r="Q1320" s="8"/>
      <c r="Z1320" s="9"/>
    </row>
    <row r="1321" customFormat="false" ht="15.75" hidden="false" customHeight="false" outlineLevel="0" collapsed="false">
      <c r="A1321" s="7"/>
      <c r="B1321" s="16"/>
      <c r="C1321" s="19"/>
      <c r="D1321" s="18"/>
      <c r="E1321" s="18"/>
      <c r="F1321" s="18"/>
      <c r="G1321" s="7"/>
      <c r="H1321" s="7"/>
      <c r="I1321" s="7"/>
      <c r="J1321" s="12"/>
      <c r="K1321" s="8"/>
      <c r="Q1321" s="8"/>
      <c r="Z1321" s="9"/>
    </row>
    <row r="1322" customFormat="false" ht="15.75" hidden="false" customHeight="false" outlineLevel="0" collapsed="false">
      <c r="A1322" s="7"/>
      <c r="B1322" s="16"/>
      <c r="C1322" s="19"/>
      <c r="D1322" s="18"/>
      <c r="E1322" s="18"/>
      <c r="F1322" s="18"/>
      <c r="G1322" s="7"/>
      <c r="H1322" s="7"/>
      <c r="I1322" s="7"/>
      <c r="J1322" s="12"/>
      <c r="K1322" s="8"/>
      <c r="Q1322" s="8"/>
      <c r="Z1322" s="9"/>
    </row>
    <row r="1323" customFormat="false" ht="15.75" hidden="false" customHeight="false" outlineLevel="0" collapsed="false">
      <c r="A1323" s="7"/>
      <c r="B1323" s="16"/>
      <c r="C1323" s="19"/>
      <c r="D1323" s="18"/>
      <c r="E1323" s="18"/>
      <c r="F1323" s="18"/>
      <c r="G1323" s="7"/>
      <c r="H1323" s="7"/>
      <c r="I1323" s="7"/>
      <c r="J1323" s="12"/>
      <c r="K1323" s="8"/>
      <c r="Q1323" s="8"/>
      <c r="Z1323" s="9"/>
    </row>
    <row r="1324" customFormat="false" ht="15.75" hidden="false" customHeight="false" outlineLevel="0" collapsed="false">
      <c r="A1324" s="7"/>
      <c r="B1324" s="16"/>
      <c r="C1324" s="19"/>
      <c r="D1324" s="18"/>
      <c r="E1324" s="18"/>
      <c r="F1324" s="18"/>
      <c r="G1324" s="7"/>
      <c r="H1324" s="7"/>
      <c r="I1324" s="7"/>
      <c r="J1324" s="12"/>
      <c r="K1324" s="8"/>
      <c r="Q1324" s="8"/>
      <c r="Z1324" s="9"/>
    </row>
    <row r="1325" customFormat="false" ht="15.75" hidden="false" customHeight="false" outlineLevel="0" collapsed="false">
      <c r="A1325" s="7"/>
      <c r="B1325" s="16"/>
      <c r="C1325" s="19"/>
      <c r="D1325" s="18"/>
      <c r="E1325" s="18"/>
      <c r="F1325" s="18"/>
      <c r="G1325" s="7"/>
      <c r="H1325" s="7"/>
      <c r="I1325" s="7"/>
      <c r="J1325" s="12"/>
      <c r="K1325" s="8"/>
      <c r="Q1325" s="8"/>
      <c r="Z1325" s="9"/>
    </row>
    <row r="1326" customFormat="false" ht="15.75" hidden="false" customHeight="false" outlineLevel="0" collapsed="false">
      <c r="A1326" s="7"/>
      <c r="B1326" s="16"/>
      <c r="C1326" s="19"/>
      <c r="D1326" s="18"/>
      <c r="E1326" s="18"/>
      <c r="F1326" s="18"/>
      <c r="G1326" s="7"/>
      <c r="H1326" s="7"/>
      <c r="I1326" s="7"/>
      <c r="J1326" s="12"/>
      <c r="K1326" s="8"/>
      <c r="Q1326" s="8"/>
      <c r="Z1326" s="9"/>
    </row>
    <row r="1327" customFormat="false" ht="15.75" hidden="false" customHeight="false" outlineLevel="0" collapsed="false">
      <c r="A1327" s="7"/>
      <c r="B1327" s="16"/>
      <c r="C1327" s="19"/>
      <c r="D1327" s="18"/>
      <c r="E1327" s="18"/>
      <c r="F1327" s="18"/>
      <c r="G1327" s="7"/>
      <c r="H1327" s="7"/>
      <c r="I1327" s="7"/>
      <c r="J1327" s="12"/>
      <c r="K1327" s="8"/>
      <c r="Q1327" s="8"/>
      <c r="Z1327" s="9"/>
    </row>
    <row r="1328" customFormat="false" ht="15.75" hidden="false" customHeight="false" outlineLevel="0" collapsed="false">
      <c r="A1328" s="7"/>
      <c r="B1328" s="16"/>
      <c r="C1328" s="19"/>
      <c r="D1328" s="18"/>
      <c r="E1328" s="18"/>
      <c r="F1328" s="18"/>
      <c r="G1328" s="7"/>
      <c r="H1328" s="7"/>
      <c r="I1328" s="7"/>
      <c r="J1328" s="12"/>
      <c r="K1328" s="8"/>
      <c r="Q1328" s="8"/>
      <c r="Z1328" s="9"/>
    </row>
    <row r="1329" customFormat="false" ht="15.75" hidden="false" customHeight="false" outlineLevel="0" collapsed="false">
      <c r="A1329" s="7"/>
      <c r="B1329" s="16"/>
      <c r="C1329" s="19"/>
      <c r="D1329" s="18"/>
      <c r="E1329" s="18"/>
      <c r="F1329" s="18"/>
      <c r="G1329" s="7"/>
      <c r="H1329" s="7"/>
      <c r="I1329" s="7"/>
      <c r="J1329" s="12"/>
      <c r="K1329" s="8"/>
      <c r="Q1329" s="8"/>
      <c r="Z1329" s="9"/>
    </row>
    <row r="1330" customFormat="false" ht="15.75" hidden="false" customHeight="false" outlineLevel="0" collapsed="false">
      <c r="A1330" s="7"/>
      <c r="B1330" s="16"/>
      <c r="C1330" s="19"/>
      <c r="D1330" s="18"/>
      <c r="E1330" s="18"/>
      <c r="F1330" s="18"/>
      <c r="G1330" s="7"/>
      <c r="H1330" s="7"/>
      <c r="I1330" s="7"/>
      <c r="J1330" s="12"/>
      <c r="K1330" s="8"/>
      <c r="Q1330" s="8"/>
      <c r="Z1330" s="9"/>
    </row>
    <row r="1331" customFormat="false" ht="15.75" hidden="false" customHeight="false" outlineLevel="0" collapsed="false">
      <c r="A1331" s="7"/>
      <c r="B1331" s="16"/>
      <c r="C1331" s="19"/>
      <c r="D1331" s="18"/>
      <c r="E1331" s="18"/>
      <c r="F1331" s="18"/>
      <c r="G1331" s="7"/>
      <c r="H1331" s="7"/>
      <c r="I1331" s="7"/>
      <c r="J1331" s="12"/>
      <c r="K1331" s="8"/>
      <c r="Q1331" s="8"/>
      <c r="Z1331" s="9"/>
    </row>
    <row r="1332" customFormat="false" ht="15.75" hidden="false" customHeight="false" outlineLevel="0" collapsed="false">
      <c r="A1332" s="7"/>
      <c r="B1332" s="16"/>
      <c r="C1332" s="19"/>
      <c r="D1332" s="18"/>
      <c r="E1332" s="18"/>
      <c r="F1332" s="18"/>
      <c r="G1332" s="7"/>
      <c r="H1332" s="7"/>
      <c r="I1332" s="7"/>
      <c r="J1332" s="12"/>
      <c r="K1332" s="8"/>
      <c r="Q1332" s="8"/>
      <c r="Z1332" s="9"/>
    </row>
    <row r="1333" customFormat="false" ht="15.75" hidden="false" customHeight="false" outlineLevel="0" collapsed="false">
      <c r="A1333" s="7"/>
      <c r="B1333" s="16"/>
      <c r="C1333" s="19"/>
      <c r="D1333" s="18"/>
      <c r="E1333" s="18"/>
      <c r="F1333" s="18"/>
      <c r="G1333" s="7"/>
      <c r="H1333" s="7"/>
      <c r="I1333" s="7"/>
      <c r="J1333" s="12"/>
      <c r="K1333" s="8"/>
      <c r="Q1333" s="8"/>
      <c r="Z1333" s="9"/>
    </row>
    <row r="1334" customFormat="false" ht="15.75" hidden="false" customHeight="false" outlineLevel="0" collapsed="false">
      <c r="A1334" s="7"/>
      <c r="B1334" s="16"/>
      <c r="C1334" s="19"/>
      <c r="D1334" s="18"/>
      <c r="E1334" s="18"/>
      <c r="F1334" s="18"/>
      <c r="G1334" s="7"/>
      <c r="H1334" s="7"/>
      <c r="I1334" s="7"/>
      <c r="J1334" s="12"/>
      <c r="K1334" s="8"/>
      <c r="Q1334" s="8"/>
      <c r="Z1334" s="9"/>
    </row>
    <row r="1335" customFormat="false" ht="15.75" hidden="false" customHeight="false" outlineLevel="0" collapsed="false">
      <c r="A1335" s="7"/>
      <c r="B1335" s="16"/>
      <c r="C1335" s="19"/>
      <c r="D1335" s="18"/>
      <c r="E1335" s="18"/>
      <c r="F1335" s="18"/>
      <c r="G1335" s="7"/>
      <c r="H1335" s="7"/>
      <c r="I1335" s="7"/>
      <c r="J1335" s="12"/>
      <c r="K1335" s="8"/>
      <c r="Q1335" s="8"/>
      <c r="Z1335" s="9"/>
    </row>
    <row r="1336" customFormat="false" ht="15.75" hidden="false" customHeight="false" outlineLevel="0" collapsed="false">
      <c r="A1336" s="7"/>
      <c r="B1336" s="16"/>
      <c r="C1336" s="19"/>
      <c r="D1336" s="18"/>
      <c r="E1336" s="18"/>
      <c r="F1336" s="18"/>
      <c r="G1336" s="7"/>
      <c r="H1336" s="7"/>
      <c r="I1336" s="7"/>
      <c r="J1336" s="12"/>
      <c r="K1336" s="8"/>
      <c r="Q1336" s="8"/>
      <c r="Z1336" s="9"/>
    </row>
    <row r="1337" customFormat="false" ht="15.75" hidden="false" customHeight="false" outlineLevel="0" collapsed="false">
      <c r="A1337" s="7"/>
      <c r="B1337" s="16"/>
      <c r="C1337" s="19"/>
      <c r="D1337" s="18"/>
      <c r="E1337" s="18"/>
      <c r="F1337" s="18"/>
      <c r="G1337" s="7"/>
      <c r="H1337" s="7"/>
      <c r="I1337" s="7"/>
      <c r="J1337" s="12"/>
      <c r="K1337" s="8"/>
      <c r="Q1337" s="8"/>
      <c r="Z1337" s="9"/>
    </row>
    <row r="1338" customFormat="false" ht="15.75" hidden="false" customHeight="false" outlineLevel="0" collapsed="false">
      <c r="A1338" s="7"/>
      <c r="B1338" s="16"/>
      <c r="C1338" s="19"/>
      <c r="D1338" s="18"/>
      <c r="E1338" s="18"/>
      <c r="F1338" s="18"/>
      <c r="G1338" s="7"/>
      <c r="H1338" s="7"/>
      <c r="I1338" s="7"/>
      <c r="J1338" s="12"/>
      <c r="K1338" s="8"/>
      <c r="Q1338" s="8"/>
      <c r="Z1338" s="9"/>
    </row>
    <row r="1339" customFormat="false" ht="15.75" hidden="false" customHeight="false" outlineLevel="0" collapsed="false">
      <c r="A1339" s="7"/>
      <c r="B1339" s="16"/>
      <c r="C1339" s="19"/>
      <c r="D1339" s="18"/>
      <c r="E1339" s="18"/>
      <c r="F1339" s="18"/>
      <c r="G1339" s="7"/>
      <c r="H1339" s="7"/>
      <c r="I1339" s="7"/>
      <c r="J1339" s="12"/>
      <c r="K1339" s="8"/>
      <c r="Q1339" s="8"/>
      <c r="Z1339" s="9"/>
    </row>
    <row r="1340" customFormat="false" ht="15.75" hidden="false" customHeight="false" outlineLevel="0" collapsed="false">
      <c r="A1340" s="7"/>
      <c r="B1340" s="16"/>
      <c r="C1340" s="19"/>
      <c r="D1340" s="18"/>
      <c r="E1340" s="18"/>
      <c r="F1340" s="18"/>
      <c r="G1340" s="7"/>
      <c r="H1340" s="7"/>
      <c r="I1340" s="7"/>
      <c r="J1340" s="12"/>
      <c r="K1340" s="8"/>
      <c r="Q1340" s="8"/>
      <c r="Z1340" s="9"/>
    </row>
    <row r="1341" customFormat="false" ht="15.75" hidden="false" customHeight="false" outlineLevel="0" collapsed="false">
      <c r="A1341" s="7"/>
      <c r="B1341" s="16"/>
      <c r="C1341" s="19"/>
      <c r="D1341" s="18"/>
      <c r="E1341" s="18"/>
      <c r="F1341" s="18"/>
      <c r="G1341" s="7"/>
      <c r="H1341" s="7"/>
      <c r="I1341" s="7"/>
      <c r="J1341" s="12"/>
      <c r="K1341" s="8"/>
      <c r="Q1341" s="8"/>
      <c r="Z1341" s="9"/>
    </row>
    <row r="1342" customFormat="false" ht="15.75" hidden="false" customHeight="false" outlineLevel="0" collapsed="false">
      <c r="A1342" s="7"/>
      <c r="B1342" s="16"/>
      <c r="C1342" s="19"/>
      <c r="D1342" s="18"/>
      <c r="E1342" s="18"/>
      <c r="F1342" s="18"/>
      <c r="G1342" s="7"/>
      <c r="H1342" s="7"/>
      <c r="I1342" s="7"/>
      <c r="J1342" s="12"/>
      <c r="K1342" s="8"/>
      <c r="Q1342" s="8"/>
      <c r="Z1342" s="9"/>
    </row>
    <row r="1343" customFormat="false" ht="15.75" hidden="false" customHeight="false" outlineLevel="0" collapsed="false">
      <c r="A1343" s="7"/>
      <c r="B1343" s="16"/>
      <c r="C1343" s="19"/>
      <c r="D1343" s="18"/>
      <c r="E1343" s="18"/>
      <c r="F1343" s="18"/>
      <c r="G1343" s="7"/>
      <c r="H1343" s="7"/>
      <c r="I1343" s="7"/>
      <c r="J1343" s="12"/>
      <c r="K1343" s="8"/>
      <c r="Q1343" s="8"/>
      <c r="Z1343" s="9"/>
    </row>
    <row r="1344" customFormat="false" ht="15.75" hidden="false" customHeight="false" outlineLevel="0" collapsed="false">
      <c r="A1344" s="7"/>
      <c r="B1344" s="16"/>
      <c r="C1344" s="19"/>
      <c r="D1344" s="18"/>
      <c r="E1344" s="18"/>
      <c r="F1344" s="18"/>
      <c r="G1344" s="7"/>
      <c r="H1344" s="7"/>
      <c r="I1344" s="7"/>
      <c r="J1344" s="12"/>
      <c r="K1344" s="8"/>
      <c r="Q1344" s="8"/>
      <c r="Z1344" s="9"/>
    </row>
    <row r="1345" customFormat="false" ht="15.75" hidden="false" customHeight="false" outlineLevel="0" collapsed="false">
      <c r="A1345" s="7"/>
      <c r="B1345" s="16"/>
      <c r="C1345" s="19"/>
      <c r="D1345" s="18"/>
      <c r="E1345" s="18"/>
      <c r="F1345" s="18"/>
      <c r="G1345" s="7"/>
      <c r="H1345" s="7"/>
      <c r="I1345" s="7"/>
      <c r="J1345" s="12"/>
      <c r="K1345" s="8"/>
      <c r="Q1345" s="8"/>
      <c r="Z1345" s="9"/>
    </row>
    <row r="1346" customFormat="false" ht="15.75" hidden="false" customHeight="false" outlineLevel="0" collapsed="false">
      <c r="A1346" s="7"/>
      <c r="B1346" s="16"/>
      <c r="C1346" s="19"/>
      <c r="D1346" s="18"/>
      <c r="E1346" s="18"/>
      <c r="F1346" s="18"/>
      <c r="G1346" s="7"/>
      <c r="H1346" s="7"/>
      <c r="I1346" s="7"/>
      <c r="J1346" s="12"/>
      <c r="K1346" s="8"/>
      <c r="Q1346" s="8"/>
      <c r="Z1346" s="9"/>
    </row>
    <row r="1347" customFormat="false" ht="15.75" hidden="false" customHeight="false" outlineLevel="0" collapsed="false">
      <c r="A1347" s="7"/>
      <c r="B1347" s="16"/>
      <c r="C1347" s="19"/>
      <c r="D1347" s="18"/>
      <c r="E1347" s="18"/>
      <c r="F1347" s="18"/>
      <c r="G1347" s="7"/>
      <c r="H1347" s="7"/>
      <c r="I1347" s="7"/>
      <c r="J1347" s="12"/>
      <c r="K1347" s="8"/>
      <c r="Q1347" s="8"/>
      <c r="Z1347" s="9"/>
    </row>
    <row r="1348" customFormat="false" ht="15.75" hidden="false" customHeight="false" outlineLevel="0" collapsed="false">
      <c r="A1348" s="7"/>
      <c r="B1348" s="16"/>
      <c r="C1348" s="19"/>
      <c r="D1348" s="18"/>
      <c r="E1348" s="18"/>
      <c r="F1348" s="18"/>
      <c r="G1348" s="7"/>
      <c r="H1348" s="7"/>
      <c r="I1348" s="7"/>
      <c r="J1348" s="12"/>
      <c r="K1348" s="8"/>
      <c r="Q1348" s="8"/>
      <c r="Z1348" s="9"/>
    </row>
    <row r="1349" customFormat="false" ht="15.75" hidden="false" customHeight="false" outlineLevel="0" collapsed="false">
      <c r="A1349" s="7"/>
      <c r="B1349" s="16"/>
      <c r="C1349" s="19"/>
      <c r="D1349" s="18"/>
      <c r="E1349" s="18"/>
      <c r="F1349" s="18"/>
      <c r="G1349" s="7"/>
      <c r="H1349" s="7"/>
      <c r="I1349" s="7"/>
      <c r="J1349" s="12"/>
      <c r="K1349" s="8"/>
      <c r="Q1349" s="8"/>
      <c r="Z1349" s="9"/>
    </row>
    <row r="1350" customFormat="false" ht="15.75" hidden="false" customHeight="false" outlineLevel="0" collapsed="false">
      <c r="A1350" s="7"/>
      <c r="B1350" s="16"/>
      <c r="C1350" s="19"/>
      <c r="D1350" s="18"/>
      <c r="E1350" s="18"/>
      <c r="F1350" s="18"/>
      <c r="G1350" s="7"/>
      <c r="H1350" s="7"/>
      <c r="I1350" s="7"/>
      <c r="J1350" s="12"/>
      <c r="K1350" s="8"/>
      <c r="Q1350" s="8"/>
      <c r="Z1350" s="9"/>
    </row>
    <row r="1351" customFormat="false" ht="15.75" hidden="false" customHeight="false" outlineLevel="0" collapsed="false">
      <c r="A1351" s="7"/>
      <c r="B1351" s="16"/>
      <c r="C1351" s="19"/>
      <c r="D1351" s="18"/>
      <c r="E1351" s="18"/>
      <c r="F1351" s="18"/>
      <c r="G1351" s="7"/>
      <c r="H1351" s="7"/>
      <c r="I1351" s="7"/>
      <c r="J1351" s="12"/>
      <c r="K1351" s="8"/>
      <c r="Q1351" s="8"/>
      <c r="Z1351" s="9"/>
    </row>
    <row r="1352" customFormat="false" ht="15.75" hidden="false" customHeight="false" outlineLevel="0" collapsed="false">
      <c r="A1352" s="7"/>
      <c r="B1352" s="16"/>
      <c r="C1352" s="19"/>
      <c r="D1352" s="18"/>
      <c r="E1352" s="18"/>
      <c r="F1352" s="18"/>
      <c r="G1352" s="7"/>
      <c r="H1352" s="7"/>
      <c r="I1352" s="7"/>
      <c r="J1352" s="12"/>
      <c r="K1352" s="8"/>
      <c r="Q1352" s="8"/>
      <c r="Z1352" s="9"/>
    </row>
    <row r="1353" customFormat="false" ht="15.75" hidden="false" customHeight="false" outlineLevel="0" collapsed="false">
      <c r="A1353" s="7"/>
      <c r="B1353" s="16"/>
      <c r="C1353" s="19"/>
      <c r="D1353" s="18"/>
      <c r="E1353" s="18"/>
      <c r="F1353" s="18"/>
      <c r="G1353" s="7"/>
      <c r="H1353" s="7"/>
      <c r="I1353" s="7"/>
      <c r="J1353" s="12"/>
      <c r="K1353" s="8"/>
      <c r="Q1353" s="8"/>
      <c r="Z1353" s="9"/>
    </row>
    <row r="1354" customFormat="false" ht="15.75" hidden="false" customHeight="false" outlineLevel="0" collapsed="false">
      <c r="A1354" s="7"/>
      <c r="B1354" s="16"/>
      <c r="C1354" s="19"/>
      <c r="D1354" s="18"/>
      <c r="E1354" s="18"/>
      <c r="F1354" s="18"/>
      <c r="G1354" s="7"/>
      <c r="H1354" s="7"/>
      <c r="I1354" s="7"/>
      <c r="J1354" s="12"/>
      <c r="K1354" s="8"/>
      <c r="Q1354" s="8"/>
      <c r="Z1354" s="9"/>
    </row>
    <row r="1355" customFormat="false" ht="15.75" hidden="false" customHeight="false" outlineLevel="0" collapsed="false">
      <c r="A1355" s="7"/>
      <c r="B1355" s="16"/>
      <c r="C1355" s="19"/>
      <c r="D1355" s="18"/>
      <c r="E1355" s="18"/>
      <c r="F1355" s="18"/>
      <c r="G1355" s="7"/>
      <c r="H1355" s="7"/>
      <c r="I1355" s="7"/>
      <c r="J1355" s="12"/>
      <c r="K1355" s="8"/>
      <c r="Q1355" s="8"/>
      <c r="Z1355" s="9"/>
    </row>
    <row r="1356" customFormat="false" ht="15.75" hidden="false" customHeight="false" outlineLevel="0" collapsed="false">
      <c r="A1356" s="7"/>
      <c r="B1356" s="16"/>
      <c r="C1356" s="19"/>
      <c r="D1356" s="18"/>
      <c r="E1356" s="18"/>
      <c r="F1356" s="18"/>
      <c r="G1356" s="7"/>
      <c r="H1356" s="7"/>
      <c r="I1356" s="7"/>
      <c r="J1356" s="12"/>
      <c r="K1356" s="8"/>
      <c r="Q1356" s="8"/>
      <c r="Z1356" s="9"/>
    </row>
    <row r="1357" customFormat="false" ht="15.75" hidden="false" customHeight="false" outlineLevel="0" collapsed="false">
      <c r="A1357" s="7"/>
      <c r="B1357" s="16"/>
      <c r="C1357" s="19"/>
      <c r="D1357" s="18"/>
      <c r="E1357" s="18"/>
      <c r="F1357" s="18"/>
      <c r="G1357" s="7"/>
      <c r="H1357" s="7"/>
      <c r="I1357" s="7"/>
      <c r="J1357" s="12"/>
      <c r="K1357" s="8"/>
      <c r="Q1357" s="8"/>
      <c r="Z1357" s="9"/>
    </row>
    <row r="1358" customFormat="false" ht="15.75" hidden="false" customHeight="false" outlineLevel="0" collapsed="false">
      <c r="A1358" s="7"/>
      <c r="B1358" s="16"/>
      <c r="C1358" s="19"/>
      <c r="D1358" s="18"/>
      <c r="E1358" s="18"/>
      <c r="F1358" s="18"/>
      <c r="G1358" s="7"/>
      <c r="H1358" s="7"/>
      <c r="I1358" s="7"/>
      <c r="J1358" s="12"/>
      <c r="K1358" s="8"/>
      <c r="Q1358" s="8"/>
      <c r="Z1358" s="9"/>
    </row>
    <row r="1359" customFormat="false" ht="15.75" hidden="false" customHeight="false" outlineLevel="0" collapsed="false">
      <c r="A1359" s="7"/>
      <c r="B1359" s="16"/>
      <c r="C1359" s="19"/>
      <c r="D1359" s="18"/>
      <c r="E1359" s="18"/>
      <c r="F1359" s="18"/>
      <c r="G1359" s="7"/>
      <c r="H1359" s="7"/>
      <c r="I1359" s="7"/>
      <c r="J1359" s="12"/>
      <c r="K1359" s="8"/>
      <c r="Q1359" s="8"/>
      <c r="Z1359" s="9"/>
    </row>
    <row r="1360" customFormat="false" ht="15.75" hidden="false" customHeight="false" outlineLevel="0" collapsed="false">
      <c r="A1360" s="7"/>
      <c r="B1360" s="16"/>
      <c r="C1360" s="19"/>
      <c r="D1360" s="18"/>
      <c r="E1360" s="18"/>
      <c r="F1360" s="18"/>
      <c r="G1360" s="7"/>
      <c r="H1360" s="7"/>
      <c r="I1360" s="7"/>
      <c r="J1360" s="12"/>
      <c r="K1360" s="8"/>
      <c r="Q1360" s="8"/>
      <c r="Z1360" s="9"/>
    </row>
    <row r="1361" customFormat="false" ht="15.75" hidden="false" customHeight="false" outlineLevel="0" collapsed="false">
      <c r="A1361" s="7"/>
      <c r="B1361" s="16"/>
      <c r="C1361" s="19"/>
      <c r="D1361" s="18"/>
      <c r="E1361" s="18"/>
      <c r="F1361" s="18"/>
      <c r="G1361" s="7"/>
      <c r="H1361" s="7"/>
      <c r="I1361" s="7"/>
      <c r="J1361" s="12"/>
      <c r="K1361" s="8"/>
      <c r="Q1361" s="8"/>
      <c r="Z1361" s="9"/>
    </row>
    <row r="1362" customFormat="false" ht="15.75" hidden="false" customHeight="false" outlineLevel="0" collapsed="false">
      <c r="A1362" s="7"/>
      <c r="B1362" s="16"/>
      <c r="C1362" s="19"/>
      <c r="D1362" s="18"/>
      <c r="E1362" s="18"/>
      <c r="F1362" s="18"/>
      <c r="G1362" s="7"/>
      <c r="H1362" s="7"/>
      <c r="I1362" s="7"/>
      <c r="J1362" s="12"/>
      <c r="K1362" s="8"/>
      <c r="Q1362" s="8"/>
      <c r="Z1362" s="9"/>
    </row>
    <row r="1363" customFormat="false" ht="15.75" hidden="false" customHeight="false" outlineLevel="0" collapsed="false">
      <c r="A1363" s="7"/>
      <c r="B1363" s="16"/>
      <c r="C1363" s="19"/>
      <c r="D1363" s="18"/>
      <c r="E1363" s="18"/>
      <c r="F1363" s="18"/>
      <c r="G1363" s="7"/>
      <c r="H1363" s="7"/>
      <c r="I1363" s="7"/>
      <c r="J1363" s="12"/>
      <c r="K1363" s="8"/>
      <c r="Q1363" s="8"/>
      <c r="Z1363" s="9"/>
    </row>
    <row r="1364" customFormat="false" ht="15.75" hidden="false" customHeight="false" outlineLevel="0" collapsed="false">
      <c r="A1364" s="7"/>
      <c r="B1364" s="16"/>
      <c r="C1364" s="19"/>
      <c r="D1364" s="18"/>
      <c r="E1364" s="18"/>
      <c r="F1364" s="18"/>
      <c r="G1364" s="7"/>
      <c r="H1364" s="7"/>
      <c r="I1364" s="7"/>
      <c r="J1364" s="12"/>
      <c r="K1364" s="8"/>
      <c r="Q1364" s="8"/>
      <c r="Z1364" s="9"/>
    </row>
    <row r="1365" customFormat="false" ht="15.75" hidden="false" customHeight="false" outlineLevel="0" collapsed="false">
      <c r="A1365" s="7"/>
      <c r="B1365" s="16"/>
      <c r="C1365" s="19"/>
      <c r="D1365" s="18"/>
      <c r="E1365" s="18"/>
      <c r="F1365" s="18"/>
      <c r="G1365" s="7"/>
      <c r="H1365" s="7"/>
      <c r="I1365" s="7"/>
      <c r="J1365" s="12"/>
      <c r="K1365" s="8"/>
      <c r="Q1365" s="8"/>
      <c r="Z1365" s="9"/>
    </row>
    <row r="1366" customFormat="false" ht="15.75" hidden="false" customHeight="false" outlineLevel="0" collapsed="false">
      <c r="A1366" s="7"/>
      <c r="B1366" s="16"/>
      <c r="C1366" s="19"/>
      <c r="D1366" s="18"/>
      <c r="E1366" s="18"/>
      <c r="F1366" s="18"/>
      <c r="G1366" s="7"/>
      <c r="H1366" s="7"/>
      <c r="I1366" s="7"/>
      <c r="J1366" s="12"/>
      <c r="K1366" s="8"/>
      <c r="Q1366" s="8"/>
      <c r="Z1366" s="9"/>
    </row>
    <row r="1367" customFormat="false" ht="15.75" hidden="false" customHeight="false" outlineLevel="0" collapsed="false">
      <c r="A1367" s="7"/>
      <c r="B1367" s="16"/>
      <c r="C1367" s="19"/>
      <c r="D1367" s="18"/>
      <c r="E1367" s="18"/>
      <c r="F1367" s="18"/>
      <c r="G1367" s="7"/>
      <c r="H1367" s="7"/>
      <c r="I1367" s="7"/>
      <c r="J1367" s="12"/>
      <c r="K1367" s="8"/>
      <c r="Q1367" s="8"/>
      <c r="Z1367" s="9"/>
    </row>
    <row r="1368" customFormat="false" ht="15.75" hidden="false" customHeight="false" outlineLevel="0" collapsed="false">
      <c r="A1368" s="7"/>
      <c r="B1368" s="16"/>
      <c r="C1368" s="19"/>
      <c r="D1368" s="18"/>
      <c r="E1368" s="18"/>
      <c r="F1368" s="18"/>
      <c r="G1368" s="7"/>
      <c r="H1368" s="7"/>
      <c r="I1368" s="7"/>
      <c r="J1368" s="12"/>
      <c r="K1368" s="8"/>
      <c r="Q1368" s="8"/>
      <c r="Z1368" s="9"/>
    </row>
    <row r="1369" customFormat="false" ht="15.75" hidden="false" customHeight="false" outlineLevel="0" collapsed="false">
      <c r="A1369" s="7"/>
      <c r="B1369" s="16"/>
      <c r="C1369" s="19"/>
      <c r="D1369" s="18"/>
      <c r="E1369" s="18"/>
      <c r="F1369" s="18"/>
      <c r="G1369" s="7"/>
      <c r="H1369" s="7"/>
      <c r="I1369" s="7"/>
      <c r="J1369" s="12"/>
      <c r="K1369" s="8"/>
      <c r="Q1369" s="8"/>
      <c r="Z1369" s="9"/>
    </row>
    <row r="1370" customFormat="false" ht="15.75" hidden="false" customHeight="false" outlineLevel="0" collapsed="false">
      <c r="A1370" s="7"/>
      <c r="B1370" s="16"/>
      <c r="C1370" s="19"/>
      <c r="D1370" s="18"/>
      <c r="E1370" s="18"/>
      <c r="F1370" s="18"/>
      <c r="G1370" s="7"/>
      <c r="H1370" s="7"/>
      <c r="I1370" s="7"/>
      <c r="J1370" s="12"/>
      <c r="K1370" s="8"/>
      <c r="Q1370" s="8"/>
      <c r="Z1370" s="9"/>
    </row>
    <row r="1371" customFormat="false" ht="15.75" hidden="false" customHeight="false" outlineLevel="0" collapsed="false">
      <c r="A1371" s="7"/>
      <c r="B1371" s="16"/>
      <c r="C1371" s="19"/>
      <c r="D1371" s="18"/>
      <c r="E1371" s="18"/>
      <c r="F1371" s="18"/>
      <c r="G1371" s="7"/>
      <c r="H1371" s="7"/>
      <c r="I1371" s="7"/>
      <c r="J1371" s="12"/>
      <c r="K1371" s="8"/>
      <c r="Q1371" s="8"/>
      <c r="Z1371" s="9"/>
    </row>
    <row r="1372" customFormat="false" ht="15.75" hidden="false" customHeight="false" outlineLevel="0" collapsed="false">
      <c r="A1372" s="7"/>
      <c r="B1372" s="16"/>
      <c r="C1372" s="19"/>
      <c r="D1372" s="18"/>
      <c r="E1372" s="18"/>
      <c r="F1372" s="18"/>
      <c r="G1372" s="7"/>
      <c r="H1372" s="7"/>
      <c r="I1372" s="7"/>
      <c r="J1372" s="12"/>
      <c r="K1372" s="8"/>
      <c r="Q1372" s="8"/>
      <c r="Z1372" s="9"/>
    </row>
    <row r="1373" customFormat="false" ht="15.75" hidden="false" customHeight="false" outlineLevel="0" collapsed="false">
      <c r="A1373" s="7"/>
      <c r="B1373" s="16"/>
      <c r="C1373" s="19"/>
      <c r="D1373" s="18"/>
      <c r="E1373" s="18"/>
      <c r="F1373" s="18"/>
      <c r="G1373" s="7"/>
      <c r="H1373" s="7"/>
      <c r="I1373" s="7"/>
      <c r="J1373" s="12"/>
      <c r="K1373" s="8"/>
      <c r="Q1373" s="8"/>
      <c r="Z1373" s="9"/>
    </row>
    <row r="1374" customFormat="false" ht="15.75" hidden="false" customHeight="false" outlineLevel="0" collapsed="false">
      <c r="A1374" s="7"/>
      <c r="B1374" s="16"/>
      <c r="C1374" s="19"/>
      <c r="D1374" s="18"/>
      <c r="E1374" s="18"/>
      <c r="F1374" s="18"/>
      <c r="G1374" s="7"/>
      <c r="H1374" s="7"/>
      <c r="I1374" s="7"/>
      <c r="J1374" s="12"/>
      <c r="K1374" s="8"/>
      <c r="Q1374" s="8"/>
      <c r="Z1374" s="9"/>
    </row>
    <row r="1375" customFormat="false" ht="15.75" hidden="false" customHeight="false" outlineLevel="0" collapsed="false">
      <c r="A1375" s="7"/>
      <c r="B1375" s="16"/>
      <c r="C1375" s="19"/>
      <c r="D1375" s="18"/>
      <c r="E1375" s="18"/>
      <c r="F1375" s="18"/>
      <c r="G1375" s="7"/>
      <c r="H1375" s="7"/>
      <c r="I1375" s="7"/>
      <c r="J1375" s="12"/>
      <c r="K1375" s="8"/>
      <c r="Q1375" s="8"/>
      <c r="Z1375" s="9"/>
    </row>
    <row r="1376" customFormat="false" ht="15.75" hidden="false" customHeight="false" outlineLevel="0" collapsed="false">
      <c r="A1376" s="7"/>
      <c r="B1376" s="16"/>
      <c r="C1376" s="19"/>
      <c r="D1376" s="18"/>
      <c r="E1376" s="18"/>
      <c r="F1376" s="18"/>
      <c r="G1376" s="7"/>
      <c r="H1376" s="7"/>
      <c r="I1376" s="7"/>
      <c r="J1376" s="12"/>
      <c r="K1376" s="8"/>
      <c r="Q1376" s="8"/>
      <c r="Z1376" s="9"/>
    </row>
    <row r="1377" customFormat="false" ht="15.75" hidden="false" customHeight="false" outlineLevel="0" collapsed="false">
      <c r="A1377" s="7"/>
      <c r="B1377" s="16"/>
      <c r="C1377" s="19"/>
      <c r="D1377" s="18"/>
      <c r="E1377" s="18"/>
      <c r="F1377" s="18"/>
      <c r="G1377" s="7"/>
      <c r="H1377" s="7"/>
      <c r="I1377" s="7"/>
      <c r="J1377" s="12"/>
      <c r="K1377" s="8"/>
      <c r="Q1377" s="8"/>
      <c r="Z1377" s="9"/>
    </row>
    <row r="1378" customFormat="false" ht="15.75" hidden="false" customHeight="false" outlineLevel="0" collapsed="false">
      <c r="A1378" s="7"/>
      <c r="B1378" s="16"/>
      <c r="C1378" s="19"/>
      <c r="D1378" s="18"/>
      <c r="E1378" s="18"/>
      <c r="F1378" s="18"/>
      <c r="G1378" s="7"/>
      <c r="H1378" s="7"/>
      <c r="I1378" s="7"/>
      <c r="J1378" s="12"/>
      <c r="K1378" s="8"/>
      <c r="Q1378" s="8"/>
      <c r="Z1378" s="9"/>
    </row>
    <row r="1379" customFormat="false" ht="15.75" hidden="false" customHeight="false" outlineLevel="0" collapsed="false">
      <c r="A1379" s="7"/>
      <c r="B1379" s="16"/>
      <c r="C1379" s="19"/>
      <c r="D1379" s="18"/>
      <c r="E1379" s="18"/>
      <c r="F1379" s="18"/>
      <c r="G1379" s="7"/>
      <c r="H1379" s="7"/>
      <c r="I1379" s="7"/>
      <c r="J1379" s="12"/>
      <c r="K1379" s="8"/>
      <c r="Q1379" s="8"/>
      <c r="Z1379" s="9"/>
    </row>
    <row r="1380" customFormat="false" ht="15.75" hidden="false" customHeight="false" outlineLevel="0" collapsed="false">
      <c r="A1380" s="7"/>
      <c r="B1380" s="16"/>
      <c r="C1380" s="19"/>
      <c r="D1380" s="18"/>
      <c r="E1380" s="18"/>
      <c r="F1380" s="18"/>
      <c r="G1380" s="7"/>
      <c r="H1380" s="7"/>
      <c r="I1380" s="7"/>
      <c r="J1380" s="12"/>
      <c r="K1380" s="8"/>
      <c r="Q1380" s="8"/>
      <c r="Z1380" s="9"/>
    </row>
    <row r="1381" customFormat="false" ht="15.75" hidden="false" customHeight="false" outlineLevel="0" collapsed="false">
      <c r="A1381" s="7"/>
      <c r="B1381" s="16"/>
      <c r="C1381" s="19"/>
      <c r="D1381" s="18"/>
      <c r="E1381" s="18"/>
      <c r="F1381" s="18"/>
      <c r="G1381" s="7"/>
      <c r="H1381" s="7"/>
      <c r="I1381" s="7"/>
      <c r="J1381" s="12"/>
      <c r="K1381" s="8"/>
      <c r="Q1381" s="8"/>
      <c r="Z1381" s="9"/>
    </row>
    <row r="1382" customFormat="false" ht="15.75" hidden="false" customHeight="false" outlineLevel="0" collapsed="false">
      <c r="A1382" s="7"/>
      <c r="B1382" s="16"/>
      <c r="C1382" s="19"/>
      <c r="D1382" s="18"/>
      <c r="E1382" s="18"/>
      <c r="F1382" s="18"/>
      <c r="G1382" s="7"/>
      <c r="H1382" s="7"/>
      <c r="I1382" s="7"/>
      <c r="J1382" s="12"/>
      <c r="K1382" s="8"/>
      <c r="Q1382" s="8"/>
      <c r="Z1382" s="9"/>
    </row>
    <row r="1383" customFormat="false" ht="15.75" hidden="false" customHeight="false" outlineLevel="0" collapsed="false">
      <c r="A1383" s="7"/>
      <c r="B1383" s="16"/>
      <c r="C1383" s="19"/>
      <c r="D1383" s="18"/>
      <c r="E1383" s="18"/>
      <c r="F1383" s="18"/>
      <c r="G1383" s="7"/>
      <c r="H1383" s="7"/>
      <c r="I1383" s="7"/>
      <c r="J1383" s="12"/>
      <c r="K1383" s="8"/>
      <c r="Q1383" s="8"/>
      <c r="Z1383" s="9"/>
    </row>
    <row r="1384" customFormat="false" ht="15.75" hidden="false" customHeight="false" outlineLevel="0" collapsed="false">
      <c r="A1384" s="7"/>
      <c r="B1384" s="16"/>
      <c r="C1384" s="19"/>
      <c r="D1384" s="18"/>
      <c r="E1384" s="18"/>
      <c r="F1384" s="18"/>
      <c r="G1384" s="7"/>
      <c r="H1384" s="7"/>
      <c r="I1384" s="7"/>
      <c r="J1384" s="12"/>
      <c r="K1384" s="8"/>
      <c r="Q1384" s="8"/>
      <c r="Z1384" s="9"/>
    </row>
    <row r="1385" customFormat="false" ht="15.75" hidden="false" customHeight="false" outlineLevel="0" collapsed="false">
      <c r="A1385" s="7"/>
      <c r="B1385" s="16"/>
      <c r="C1385" s="19"/>
      <c r="D1385" s="18"/>
      <c r="E1385" s="18"/>
      <c r="F1385" s="18"/>
      <c r="G1385" s="7"/>
      <c r="H1385" s="7"/>
      <c r="I1385" s="7"/>
      <c r="J1385" s="12"/>
      <c r="K1385" s="8"/>
      <c r="Q1385" s="8"/>
      <c r="Z1385" s="9"/>
    </row>
    <row r="1386" customFormat="false" ht="15.75" hidden="false" customHeight="false" outlineLevel="0" collapsed="false">
      <c r="A1386" s="7"/>
      <c r="B1386" s="16"/>
      <c r="C1386" s="19"/>
      <c r="D1386" s="18"/>
      <c r="E1386" s="18"/>
      <c r="F1386" s="18"/>
      <c r="G1386" s="7"/>
      <c r="H1386" s="7"/>
      <c r="I1386" s="7"/>
      <c r="J1386" s="12"/>
      <c r="K1386" s="8"/>
      <c r="Q1386" s="8"/>
      <c r="Z1386" s="9"/>
    </row>
    <row r="1387" customFormat="false" ht="15.75" hidden="false" customHeight="false" outlineLevel="0" collapsed="false">
      <c r="A1387" s="7"/>
      <c r="B1387" s="16"/>
      <c r="C1387" s="19"/>
      <c r="D1387" s="18"/>
      <c r="E1387" s="18"/>
      <c r="F1387" s="18"/>
      <c r="G1387" s="7"/>
      <c r="H1387" s="7"/>
      <c r="I1387" s="7"/>
      <c r="J1387" s="12"/>
      <c r="K1387" s="8"/>
      <c r="Q1387" s="8"/>
      <c r="Z1387" s="9"/>
    </row>
    <row r="1388" customFormat="false" ht="15.75" hidden="false" customHeight="false" outlineLevel="0" collapsed="false">
      <c r="A1388" s="7"/>
      <c r="B1388" s="16"/>
      <c r="C1388" s="19"/>
      <c r="D1388" s="18"/>
      <c r="E1388" s="18"/>
      <c r="F1388" s="18"/>
      <c r="G1388" s="7"/>
      <c r="H1388" s="7"/>
      <c r="I1388" s="7"/>
      <c r="J1388" s="12"/>
      <c r="K1388" s="8"/>
      <c r="Q1388" s="8"/>
      <c r="Z1388" s="9"/>
    </row>
    <row r="1389" customFormat="false" ht="15.75" hidden="false" customHeight="false" outlineLevel="0" collapsed="false">
      <c r="A1389" s="7"/>
      <c r="B1389" s="16"/>
      <c r="C1389" s="19"/>
      <c r="D1389" s="18"/>
      <c r="E1389" s="18"/>
      <c r="F1389" s="18"/>
      <c r="G1389" s="7"/>
      <c r="H1389" s="7"/>
      <c r="I1389" s="7"/>
      <c r="J1389" s="12"/>
      <c r="K1389" s="8"/>
      <c r="Q1389" s="8"/>
      <c r="Z1389" s="9"/>
    </row>
    <row r="1390" customFormat="false" ht="15.75" hidden="false" customHeight="false" outlineLevel="0" collapsed="false">
      <c r="A1390" s="7"/>
      <c r="B1390" s="16"/>
      <c r="C1390" s="19"/>
      <c r="D1390" s="18"/>
      <c r="E1390" s="18"/>
      <c r="F1390" s="18"/>
      <c r="G1390" s="7"/>
      <c r="H1390" s="7"/>
      <c r="I1390" s="7"/>
      <c r="J1390" s="12"/>
      <c r="K1390" s="8"/>
      <c r="Q1390" s="8"/>
      <c r="Z1390" s="9"/>
    </row>
    <row r="1391" customFormat="false" ht="15.75" hidden="false" customHeight="false" outlineLevel="0" collapsed="false">
      <c r="A1391" s="7"/>
      <c r="B1391" s="16"/>
      <c r="C1391" s="19"/>
      <c r="D1391" s="18"/>
      <c r="E1391" s="18"/>
      <c r="F1391" s="18"/>
      <c r="G1391" s="7"/>
      <c r="H1391" s="7"/>
      <c r="I1391" s="7"/>
      <c r="J1391" s="12"/>
      <c r="K1391" s="8"/>
      <c r="Q1391" s="8"/>
      <c r="Z1391" s="9"/>
    </row>
    <row r="1392" customFormat="false" ht="15.75" hidden="false" customHeight="false" outlineLevel="0" collapsed="false">
      <c r="A1392" s="7"/>
      <c r="B1392" s="16"/>
      <c r="C1392" s="19"/>
      <c r="D1392" s="18"/>
      <c r="E1392" s="18"/>
      <c r="F1392" s="18"/>
      <c r="G1392" s="7"/>
      <c r="H1392" s="7"/>
      <c r="I1392" s="7"/>
      <c r="J1392" s="12"/>
      <c r="K1392" s="8"/>
      <c r="Q1392" s="8"/>
      <c r="Z1392" s="9"/>
    </row>
    <row r="1393" customFormat="false" ht="15.75" hidden="false" customHeight="false" outlineLevel="0" collapsed="false">
      <c r="A1393" s="7"/>
      <c r="B1393" s="16"/>
      <c r="C1393" s="19"/>
      <c r="D1393" s="18"/>
      <c r="E1393" s="18"/>
      <c r="F1393" s="18"/>
      <c r="G1393" s="7"/>
      <c r="H1393" s="7"/>
      <c r="I1393" s="7"/>
      <c r="J1393" s="12"/>
      <c r="K1393" s="8"/>
      <c r="Q1393" s="8"/>
      <c r="Z1393" s="9"/>
    </row>
    <row r="1394" customFormat="false" ht="15.75" hidden="false" customHeight="false" outlineLevel="0" collapsed="false">
      <c r="A1394" s="7"/>
      <c r="B1394" s="16"/>
      <c r="C1394" s="19"/>
      <c r="D1394" s="18"/>
      <c r="E1394" s="18"/>
      <c r="F1394" s="18"/>
      <c r="G1394" s="7"/>
      <c r="H1394" s="7"/>
      <c r="I1394" s="7"/>
      <c r="J1394" s="12"/>
      <c r="K1394" s="8"/>
      <c r="Q1394" s="8"/>
      <c r="Z1394" s="9"/>
    </row>
    <row r="1395" customFormat="false" ht="15.75" hidden="false" customHeight="false" outlineLevel="0" collapsed="false">
      <c r="A1395" s="7"/>
      <c r="B1395" s="16"/>
      <c r="C1395" s="19"/>
      <c r="D1395" s="18"/>
      <c r="E1395" s="18"/>
      <c r="F1395" s="18"/>
      <c r="G1395" s="7"/>
      <c r="H1395" s="7"/>
      <c r="I1395" s="7"/>
      <c r="J1395" s="12"/>
      <c r="K1395" s="8"/>
      <c r="Q1395" s="8"/>
      <c r="Z1395" s="9"/>
    </row>
    <row r="1396" customFormat="false" ht="15.75" hidden="false" customHeight="false" outlineLevel="0" collapsed="false">
      <c r="A1396" s="7"/>
      <c r="B1396" s="16"/>
      <c r="C1396" s="19"/>
      <c r="D1396" s="18"/>
      <c r="E1396" s="18"/>
      <c r="F1396" s="18"/>
      <c r="G1396" s="7"/>
      <c r="H1396" s="7"/>
      <c r="I1396" s="7"/>
      <c r="J1396" s="12"/>
      <c r="K1396" s="8"/>
      <c r="Q1396" s="8"/>
      <c r="Z1396" s="9"/>
    </row>
    <row r="1397" customFormat="false" ht="15.75" hidden="false" customHeight="false" outlineLevel="0" collapsed="false">
      <c r="A1397" s="7"/>
      <c r="B1397" s="16"/>
      <c r="C1397" s="19"/>
      <c r="D1397" s="18"/>
      <c r="E1397" s="18"/>
      <c r="F1397" s="18"/>
      <c r="G1397" s="7"/>
      <c r="H1397" s="7"/>
      <c r="I1397" s="7"/>
      <c r="J1397" s="12"/>
      <c r="K1397" s="8"/>
      <c r="Q1397" s="8"/>
      <c r="Z1397" s="9"/>
    </row>
    <row r="1398" customFormat="false" ht="15.75" hidden="false" customHeight="false" outlineLevel="0" collapsed="false">
      <c r="A1398" s="7"/>
      <c r="B1398" s="16"/>
      <c r="C1398" s="19"/>
      <c r="D1398" s="18"/>
      <c r="E1398" s="18"/>
      <c r="F1398" s="18"/>
      <c r="G1398" s="7"/>
      <c r="H1398" s="7"/>
      <c r="I1398" s="7"/>
      <c r="J1398" s="12"/>
      <c r="K1398" s="8"/>
      <c r="Q1398" s="8"/>
      <c r="Z1398" s="9"/>
    </row>
    <row r="1399" customFormat="false" ht="15.75" hidden="false" customHeight="false" outlineLevel="0" collapsed="false">
      <c r="A1399" s="7"/>
      <c r="B1399" s="16"/>
      <c r="C1399" s="19"/>
      <c r="D1399" s="18"/>
      <c r="E1399" s="18"/>
      <c r="F1399" s="18"/>
      <c r="G1399" s="7"/>
      <c r="H1399" s="7"/>
      <c r="I1399" s="7"/>
      <c r="J1399" s="12"/>
      <c r="K1399" s="8"/>
      <c r="Q1399" s="8"/>
      <c r="Z1399" s="9"/>
    </row>
    <row r="1400" customFormat="false" ht="15.75" hidden="false" customHeight="false" outlineLevel="0" collapsed="false">
      <c r="A1400" s="7"/>
      <c r="B1400" s="16"/>
      <c r="C1400" s="19"/>
      <c r="D1400" s="18"/>
      <c r="E1400" s="18"/>
      <c r="F1400" s="18"/>
      <c r="G1400" s="7"/>
      <c r="H1400" s="7"/>
      <c r="I1400" s="7"/>
      <c r="J1400" s="12"/>
      <c r="K1400" s="8"/>
      <c r="Q1400" s="8"/>
      <c r="Z1400" s="9"/>
    </row>
    <row r="1401" customFormat="false" ht="15.75" hidden="false" customHeight="false" outlineLevel="0" collapsed="false">
      <c r="A1401" s="7"/>
      <c r="B1401" s="16"/>
      <c r="C1401" s="19"/>
      <c r="D1401" s="18"/>
      <c r="E1401" s="18"/>
      <c r="F1401" s="18"/>
      <c r="G1401" s="7"/>
      <c r="H1401" s="7"/>
      <c r="I1401" s="7"/>
      <c r="J1401" s="12"/>
      <c r="K1401" s="8"/>
      <c r="Q1401" s="8"/>
      <c r="Z1401" s="9"/>
    </row>
    <row r="1048576" customFormat="false" ht="12.8" hidden="false" customHeight="true" outlineLevel="0" collapsed="false"/>
  </sheetData>
  <dataValidations count="8">
    <dataValidation allowBlank="true" errorStyle="stop" operator="between" showDropDown="true" showErrorMessage="false" showInputMessage="false" sqref="C2:C644" type="none">
      <formula1>0</formula1>
      <formula2>0</formula2>
    </dataValidation>
    <dataValidation allowBlank="true" errorStyle="stop" operator="between" showDropDown="true" showErrorMessage="false" showInputMessage="false" sqref="F2:F501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false" showInputMessage="false" sqref="B2:B404 B407:B414 B425 B441 B510 B518:B644" type="custom">
      <formula1>OR(NOT(ISERROR(DATEVALUE(B2))), AND(ISNUMBER(B2), LEFT(CELL("format", B2))="D"))</formula1>
      <formula2>0</formula2>
    </dataValidation>
    <dataValidation allowBlank="true" errorStyle="stop" operator="between" showDropDown="true" showErrorMessage="false" showInputMessage="false" sqref="A2:A644 G2:K644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false" showInputMessage="false" sqref="B453:B470" type="custom">
      <formula1>OR(NOT(ISERROR(DATEVALUE(B2))), AND(ISNUMBER(B2), LEFT(CELL("format", B2))="D"))</formula1>
      <formula2>0</formula2>
    </dataValidation>
    <dataValidation allowBlank="true" errorStyle="stop" operator="between" showDropDown="true" showErrorMessage="false" showInputMessage="false" sqref="D2:E563 D564:F644" type="custom">
      <formula1>OR(TIMEVALUE(TEXT(D2, "hh:mm:ss"))=D2, AND(ISNUMBER(D2), LEFT(CELL("format", D2))="D"))</formula1>
      <formula2>0</formula2>
    </dataValidation>
    <dataValidation allowBlank="true" errorStyle="stop" operator="between" showDropDown="true" showErrorMessage="false" showInputMessage="false" sqref="B405:B406 B415:B424 B426:B440 B442:B452" type="custom">
      <formula1>OR(NOT(ISERROR(DATEVALUE(B2))), AND(ISNUMBER(B2), LEFT(CELL("format", B2))="D"))</formula1>
      <formula2>0</formula2>
    </dataValidation>
    <dataValidation allowBlank="true" errorStyle="stop" operator="between" showDropDown="true" showErrorMessage="false" showInputMessage="false" sqref="B471:B486" type="custom">
      <formula1>OR(NOT(ISERROR(DATEVALUE(B2))), AND(ISNUMBER(B2), LEFT(CELL("format", B2))="D"))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01"/>
    <col collapsed="false" customWidth="true" hidden="false" outlineLevel="0" max="2" min="2" style="1" width="20.77"/>
    <col collapsed="false" customWidth="true" hidden="false" outlineLevel="0" max="3" min="3" style="1" width="22.86"/>
    <col collapsed="false" customWidth="true" hidden="false" outlineLevel="0" max="4" min="4" style="1" width="23.83"/>
    <col collapsed="false" customWidth="true" hidden="false" outlineLevel="0" max="5" min="5" style="1" width="22.3"/>
    <col collapsed="false" customWidth="true" hidden="false" outlineLevel="0" max="6" min="6" style="1" width="14.79"/>
    <col collapsed="false" customWidth="false" hidden="false" outlineLevel="0" max="16384" min="7" style="1" width="12.63"/>
  </cols>
  <sheetData>
    <row r="1" customFormat="false" ht="15.75" hidden="false" customHeight="false" outlineLevel="0" collapsed="false">
      <c r="A1" s="7" t="s">
        <v>4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15</v>
      </c>
    </row>
    <row r="2" customFormat="false" ht="15.75" hidden="false" customHeight="false" outlineLevel="0" collapsed="false">
      <c r="A2" s="3" t="n">
        <v>1</v>
      </c>
      <c r="B2" s="3" t="s">
        <v>16</v>
      </c>
      <c r="C2" s="3" t="s">
        <v>17</v>
      </c>
      <c r="D2" s="3" t="s">
        <v>16</v>
      </c>
      <c r="E2" s="3" t="s">
        <v>18</v>
      </c>
      <c r="F2" s="6" t="n">
        <v>7.97</v>
      </c>
    </row>
    <row r="3" customFormat="false" ht="15.75" hidden="false" customHeight="false" outlineLevel="0" collapsed="false">
      <c r="A3" s="3" t="n">
        <v>2</v>
      </c>
      <c r="B3" s="3" t="s">
        <v>16</v>
      </c>
      <c r="C3" s="20" t="s">
        <v>19</v>
      </c>
      <c r="D3" s="3" t="s">
        <v>16</v>
      </c>
      <c r="E3" s="3" t="s">
        <v>20</v>
      </c>
      <c r="F3" s="21" t="n">
        <v>12.64</v>
      </c>
    </row>
    <row r="4" customFormat="false" ht="15.75" hidden="false" customHeight="false" outlineLevel="0" collapsed="false">
      <c r="A4" s="3" t="n">
        <v>3</v>
      </c>
      <c r="B4" s="3" t="s">
        <v>21</v>
      </c>
      <c r="C4" s="20" t="s">
        <v>22</v>
      </c>
      <c r="D4" s="3" t="s">
        <v>21</v>
      </c>
      <c r="E4" s="20" t="s">
        <v>23</v>
      </c>
      <c r="F4" s="6" t="n">
        <v>2.9</v>
      </c>
    </row>
    <row r="5" customFormat="false" ht="15.75" hidden="false" customHeight="false" outlineLevel="0" collapsed="false">
      <c r="A5" s="3" t="n">
        <v>4</v>
      </c>
      <c r="B5" s="3" t="s">
        <v>21</v>
      </c>
      <c r="C5" s="20" t="s">
        <v>22</v>
      </c>
      <c r="D5" s="3" t="s">
        <v>16</v>
      </c>
      <c r="E5" s="3" t="s">
        <v>24</v>
      </c>
      <c r="F5" s="21" t="n">
        <v>2.32</v>
      </c>
    </row>
    <row r="6" customFormat="false" ht="15.75" hidden="false" customHeight="false" outlineLevel="0" collapsed="false">
      <c r="A6" s="3" t="n">
        <v>5</v>
      </c>
      <c r="B6" s="3" t="s">
        <v>16</v>
      </c>
      <c r="C6" s="20" t="s">
        <v>25</v>
      </c>
      <c r="D6" s="3" t="s">
        <v>16</v>
      </c>
      <c r="E6" s="3" t="s">
        <v>16</v>
      </c>
      <c r="F6" s="21" t="n">
        <v>2.98</v>
      </c>
    </row>
    <row r="7" customFormat="false" ht="15.75" hidden="false" customHeight="false" outlineLevel="0" collapsed="false">
      <c r="A7" s="3" t="n">
        <v>6</v>
      </c>
      <c r="B7" s="3" t="s">
        <v>16</v>
      </c>
      <c r="C7" s="20" t="s">
        <v>26</v>
      </c>
      <c r="D7" s="3" t="s">
        <v>16</v>
      </c>
      <c r="E7" s="20" t="s">
        <v>27</v>
      </c>
      <c r="F7" s="6" t="n">
        <v>3.48</v>
      </c>
    </row>
    <row r="8" customFormat="false" ht="15.75" hidden="false" customHeight="false" outlineLevel="0" collapsed="false">
      <c r="A8" s="3" t="n">
        <v>7</v>
      </c>
      <c r="B8" s="3" t="s">
        <v>16</v>
      </c>
      <c r="C8" s="20" t="s">
        <v>28</v>
      </c>
      <c r="D8" s="3" t="s">
        <v>16</v>
      </c>
      <c r="E8" s="20" t="s">
        <v>29</v>
      </c>
      <c r="F8" s="6" t="n">
        <v>3.76</v>
      </c>
    </row>
    <row r="9" customFormat="false" ht="15.75" hidden="false" customHeight="false" outlineLevel="0" collapsed="false">
      <c r="A9" s="3" t="n">
        <v>8</v>
      </c>
      <c r="B9" s="3" t="s">
        <v>16</v>
      </c>
      <c r="C9" s="20" t="s">
        <v>28</v>
      </c>
      <c r="D9" s="3" t="s">
        <v>16</v>
      </c>
      <c r="E9" s="20" t="s">
        <v>27</v>
      </c>
      <c r="F9" s="6" t="n">
        <v>1.11</v>
      </c>
    </row>
    <row r="10" customFormat="false" ht="15.75" hidden="false" customHeight="false" outlineLevel="0" collapsed="false">
      <c r="A10" s="3" t="n">
        <v>9</v>
      </c>
      <c r="B10" s="3" t="s">
        <v>16</v>
      </c>
      <c r="C10" s="20" t="s">
        <v>30</v>
      </c>
      <c r="D10" s="3" t="s">
        <v>16</v>
      </c>
      <c r="E10" s="20" t="s">
        <v>31</v>
      </c>
      <c r="F10" s="6" t="n">
        <v>1.41</v>
      </c>
    </row>
    <row r="11" customFormat="false" ht="15.75" hidden="false" customHeight="false" outlineLevel="0" collapsed="false">
      <c r="A11" s="3" t="n">
        <v>10</v>
      </c>
      <c r="B11" s="3" t="s">
        <v>16</v>
      </c>
      <c r="C11" s="20" t="s">
        <v>31</v>
      </c>
      <c r="D11" s="3" t="s">
        <v>16</v>
      </c>
      <c r="E11" s="20" t="s">
        <v>32</v>
      </c>
      <c r="F11" s="6" t="n">
        <v>2.68</v>
      </c>
    </row>
    <row r="12" customFormat="false" ht="15.75" hidden="false" customHeight="false" outlineLevel="0" collapsed="false">
      <c r="A12" s="3" t="n">
        <v>11</v>
      </c>
      <c r="B12" s="3" t="s">
        <v>16</v>
      </c>
      <c r="C12" s="3" t="s">
        <v>16</v>
      </c>
      <c r="D12" s="3" t="s">
        <v>16</v>
      </c>
      <c r="E12" s="3" t="s">
        <v>33</v>
      </c>
      <c r="F12" s="6" t="n">
        <v>7.27</v>
      </c>
    </row>
    <row r="13" customFormat="false" ht="15.75" hidden="false" customHeight="false" outlineLevel="0" collapsed="false">
      <c r="A13" s="3" t="n">
        <v>12</v>
      </c>
      <c r="B13" s="5" t="s">
        <v>16</v>
      </c>
      <c r="C13" s="5" t="s">
        <v>33</v>
      </c>
      <c r="D13" s="5" t="s">
        <v>16</v>
      </c>
      <c r="E13" s="5" t="s">
        <v>30</v>
      </c>
      <c r="F13" s="6" t="n">
        <v>9.63</v>
      </c>
    </row>
    <row r="14" customFormat="false" ht="15.75" hidden="false" customHeight="false" outlineLevel="0" collapsed="false">
      <c r="A14" s="3" t="n">
        <v>13</v>
      </c>
      <c r="B14" s="5" t="s">
        <v>16</v>
      </c>
      <c r="C14" s="5" t="s">
        <v>30</v>
      </c>
      <c r="D14" s="5" t="s">
        <v>16</v>
      </c>
      <c r="E14" s="5" t="s">
        <v>34</v>
      </c>
      <c r="F14" s="6" t="n">
        <v>1.44</v>
      </c>
    </row>
    <row r="15" customFormat="false" ht="15.75" hidden="false" customHeight="false" outlineLevel="0" collapsed="false">
      <c r="A15" s="3" t="n">
        <v>14</v>
      </c>
      <c r="B15" s="5" t="s">
        <v>16</v>
      </c>
      <c r="C15" s="5" t="s">
        <v>30</v>
      </c>
      <c r="D15" s="5" t="s">
        <v>16</v>
      </c>
      <c r="E15" s="5" t="s">
        <v>35</v>
      </c>
      <c r="F15" s="6" t="n">
        <v>1.38</v>
      </c>
    </row>
    <row r="16" customFormat="false" ht="15.75" hidden="false" customHeight="false" outlineLevel="0" collapsed="false">
      <c r="A16" s="3" t="n">
        <v>15</v>
      </c>
      <c r="B16" s="5" t="s">
        <v>16</v>
      </c>
      <c r="C16" s="5" t="s">
        <v>30</v>
      </c>
      <c r="D16" s="5" t="s">
        <v>16</v>
      </c>
      <c r="E16" s="5" t="s">
        <v>28</v>
      </c>
      <c r="F16" s="6" t="n">
        <v>5.35</v>
      </c>
    </row>
    <row r="17" customFormat="false" ht="15.75" hidden="false" customHeight="false" outlineLevel="0" collapsed="false">
      <c r="A17" s="3" t="n">
        <v>16</v>
      </c>
      <c r="B17" s="5" t="s">
        <v>16</v>
      </c>
      <c r="C17" s="5" t="s">
        <v>28</v>
      </c>
      <c r="D17" s="5" t="s">
        <v>16</v>
      </c>
      <c r="E17" s="5" t="s">
        <v>28</v>
      </c>
      <c r="F17" s="6" t="s">
        <v>36</v>
      </c>
    </row>
    <row r="18" customFormat="false" ht="15.75" hidden="false" customHeight="false" outlineLevel="0" collapsed="false">
      <c r="A18" s="3" t="n">
        <v>17</v>
      </c>
      <c r="B18" s="5" t="s">
        <v>16</v>
      </c>
      <c r="C18" s="5" t="s">
        <v>30</v>
      </c>
      <c r="D18" s="5" t="s">
        <v>16</v>
      </c>
      <c r="E18" s="5" t="s">
        <v>37</v>
      </c>
      <c r="F18" s="6" t="n">
        <v>1.71</v>
      </c>
    </row>
    <row r="19" customFormat="false" ht="15.75" hidden="false" customHeight="false" outlineLevel="0" collapsed="false">
      <c r="A19" s="3" t="n">
        <v>18</v>
      </c>
      <c r="B19" s="5" t="s">
        <v>16</v>
      </c>
      <c r="C19" s="5" t="s">
        <v>37</v>
      </c>
      <c r="D19" s="5" t="s">
        <v>16</v>
      </c>
      <c r="E19" s="5" t="s">
        <v>38</v>
      </c>
      <c r="F19" s="6" t="n">
        <v>9.29</v>
      </c>
    </row>
    <row r="20" customFormat="false" ht="15.75" hidden="false" customHeight="false" outlineLevel="0" collapsed="false">
      <c r="A20" s="3" t="n">
        <v>19</v>
      </c>
      <c r="B20" s="5" t="s">
        <v>16</v>
      </c>
      <c r="C20" s="5" t="s">
        <v>31</v>
      </c>
      <c r="D20" s="5" t="s">
        <v>16</v>
      </c>
      <c r="E20" s="5" t="s">
        <v>28</v>
      </c>
      <c r="F20" s="6" t="n">
        <v>2.57</v>
      </c>
    </row>
    <row r="21" customFormat="false" ht="15.75" hidden="false" customHeight="false" outlineLevel="0" collapsed="false">
      <c r="A21" s="3" t="n">
        <v>20</v>
      </c>
      <c r="B21" s="5" t="s">
        <v>16</v>
      </c>
      <c r="C21" s="5" t="s">
        <v>19</v>
      </c>
      <c r="D21" s="5" t="s">
        <v>16</v>
      </c>
      <c r="E21" s="5" t="s">
        <v>19</v>
      </c>
      <c r="F21" s="6" t="n">
        <v>2.05</v>
      </c>
    </row>
    <row r="22" customFormat="false" ht="15.75" hidden="false" customHeight="false" outlineLevel="0" collapsed="false">
      <c r="A22" s="3" t="n">
        <v>21</v>
      </c>
      <c r="B22" s="5" t="s">
        <v>16</v>
      </c>
      <c r="C22" s="5" t="s">
        <v>19</v>
      </c>
      <c r="D22" s="5" t="s">
        <v>16</v>
      </c>
      <c r="E22" s="5" t="s">
        <v>29</v>
      </c>
      <c r="F22" s="6" t="n">
        <v>4.35</v>
      </c>
    </row>
    <row r="23" customFormat="false" ht="15.75" hidden="false" customHeight="false" outlineLevel="0" collapsed="false">
      <c r="A23" s="3" t="n">
        <v>22</v>
      </c>
      <c r="B23" s="5" t="s">
        <v>16</v>
      </c>
      <c r="C23" s="5" t="s">
        <v>29</v>
      </c>
      <c r="D23" s="5" t="s">
        <v>16</v>
      </c>
      <c r="E23" s="5" t="s">
        <v>39</v>
      </c>
      <c r="F23" s="6" t="n">
        <v>6.86</v>
      </c>
    </row>
    <row r="24" customFormat="false" ht="15.75" hidden="false" customHeight="false" outlineLevel="0" collapsed="false">
      <c r="A24" s="3" t="n">
        <v>23</v>
      </c>
      <c r="B24" s="5" t="s">
        <v>16</v>
      </c>
      <c r="C24" s="5" t="s">
        <v>40</v>
      </c>
      <c r="D24" s="5" t="s">
        <v>16</v>
      </c>
      <c r="E24" s="5" t="s">
        <v>16</v>
      </c>
      <c r="F24" s="6" t="n">
        <v>5.19</v>
      </c>
    </row>
    <row r="25" customFormat="false" ht="15.75" hidden="false" customHeight="false" outlineLevel="0" collapsed="false">
      <c r="A25" s="3" t="n">
        <v>24</v>
      </c>
      <c r="B25" s="5" t="s">
        <v>16</v>
      </c>
      <c r="C25" s="5" t="s">
        <v>41</v>
      </c>
      <c r="D25" s="5" t="s">
        <v>16</v>
      </c>
      <c r="E25" s="5" t="s">
        <v>30</v>
      </c>
      <c r="F25" s="6" t="n">
        <v>9.6</v>
      </c>
    </row>
    <row r="26" customFormat="false" ht="15.75" hidden="false" customHeight="false" outlineLevel="0" collapsed="false">
      <c r="A26" s="3" t="n">
        <v>25</v>
      </c>
      <c r="B26" s="5" t="s">
        <v>16</v>
      </c>
      <c r="C26" s="5" t="s">
        <v>17</v>
      </c>
      <c r="D26" s="5" t="s">
        <v>16</v>
      </c>
      <c r="E26" s="5" t="s">
        <v>19</v>
      </c>
      <c r="F26" s="6" t="n">
        <v>3.39</v>
      </c>
    </row>
    <row r="27" customFormat="false" ht="15.75" hidden="false" customHeight="false" outlineLevel="0" collapsed="false">
      <c r="A27" s="3" t="n">
        <v>26</v>
      </c>
      <c r="B27" s="5" t="s">
        <v>16</v>
      </c>
      <c r="C27" s="5" t="s">
        <v>19</v>
      </c>
      <c r="D27" s="5" t="s">
        <v>16</v>
      </c>
      <c r="E27" s="5" t="s">
        <v>19</v>
      </c>
      <c r="F27" s="6" t="n">
        <v>3.86</v>
      </c>
    </row>
    <row r="28" customFormat="false" ht="15.75" hidden="false" customHeight="false" outlineLevel="0" collapsed="false">
      <c r="A28" s="3" t="n">
        <v>27</v>
      </c>
      <c r="B28" s="5" t="s">
        <v>16</v>
      </c>
      <c r="C28" s="5" t="s">
        <v>19</v>
      </c>
      <c r="D28" s="5" t="s">
        <v>16</v>
      </c>
      <c r="E28" s="5" t="s">
        <v>31</v>
      </c>
      <c r="F28" s="6" t="n">
        <v>2.29</v>
      </c>
    </row>
    <row r="29" customFormat="false" ht="15.75" hidden="false" customHeight="false" outlineLevel="0" collapsed="false">
      <c r="A29" s="3" t="n">
        <v>28</v>
      </c>
      <c r="B29" s="5" t="s">
        <v>16</v>
      </c>
      <c r="C29" s="5" t="s">
        <v>31</v>
      </c>
      <c r="D29" s="5" t="s">
        <v>16</v>
      </c>
      <c r="E29" s="5" t="s">
        <v>31</v>
      </c>
      <c r="F29" s="6" t="n">
        <v>1.36</v>
      </c>
    </row>
    <row r="30" customFormat="false" ht="15.75" hidden="false" customHeight="false" outlineLevel="0" collapsed="false">
      <c r="A30" s="3" t="n">
        <v>29</v>
      </c>
      <c r="B30" s="5" t="s">
        <v>16</v>
      </c>
      <c r="C30" s="5" t="s">
        <v>42</v>
      </c>
      <c r="D30" s="5" t="s">
        <v>16</v>
      </c>
      <c r="E30" s="5" t="s">
        <v>43</v>
      </c>
      <c r="F30" s="6" t="n">
        <v>4.1</v>
      </c>
    </row>
    <row r="31" customFormat="false" ht="15.75" hidden="false" customHeight="false" outlineLevel="0" collapsed="false">
      <c r="A31" s="3" t="n">
        <v>30</v>
      </c>
      <c r="B31" s="5" t="s">
        <v>16</v>
      </c>
      <c r="C31" s="5" t="s">
        <v>37</v>
      </c>
      <c r="D31" s="5" t="s">
        <v>16</v>
      </c>
      <c r="E31" s="5" t="s">
        <v>28</v>
      </c>
      <c r="F31" s="6" t="n">
        <v>6.29</v>
      </c>
    </row>
    <row r="32" customFormat="false" ht="15.75" hidden="false" customHeight="false" outlineLevel="0" collapsed="false">
      <c r="A32" s="3" t="n">
        <v>31</v>
      </c>
      <c r="B32" s="5" t="s">
        <v>16</v>
      </c>
      <c r="C32" s="5" t="s">
        <v>28</v>
      </c>
      <c r="D32" s="3" t="s">
        <v>21</v>
      </c>
      <c r="E32" s="5" t="s">
        <v>27</v>
      </c>
      <c r="F32" s="6" t="n">
        <v>14.38</v>
      </c>
    </row>
    <row r="33" customFormat="false" ht="15.75" hidden="false" customHeight="false" outlineLevel="0" collapsed="false">
      <c r="A33" s="3" t="n">
        <v>32</v>
      </c>
      <c r="B33" s="3" t="s">
        <v>21</v>
      </c>
      <c r="C33" s="5" t="s">
        <v>27</v>
      </c>
      <c r="D33" s="3" t="s">
        <v>21</v>
      </c>
      <c r="E33" s="5" t="s">
        <v>22</v>
      </c>
      <c r="F33" s="6" t="n">
        <v>4.37</v>
      </c>
    </row>
    <row r="34" customFormat="false" ht="15.75" hidden="false" customHeight="false" outlineLevel="0" collapsed="false">
      <c r="A34" s="3" t="n">
        <v>33</v>
      </c>
      <c r="B34" s="3" t="s">
        <v>21</v>
      </c>
      <c r="C34" s="5" t="s">
        <v>44</v>
      </c>
      <c r="D34" s="3" t="s">
        <v>21</v>
      </c>
      <c r="E34" s="5" t="s">
        <v>27</v>
      </c>
      <c r="F34" s="6" t="n">
        <v>8.17</v>
      </c>
    </row>
    <row r="35" customFormat="false" ht="15.75" hidden="false" customHeight="false" outlineLevel="0" collapsed="false">
      <c r="A35" s="3" t="n">
        <v>34</v>
      </c>
      <c r="B35" s="3" t="s">
        <v>21</v>
      </c>
      <c r="C35" s="5" t="s">
        <v>45</v>
      </c>
      <c r="D35" s="5" t="s">
        <v>16</v>
      </c>
      <c r="E35" s="5" t="s">
        <v>46</v>
      </c>
      <c r="F35" s="6" t="n">
        <v>10.79</v>
      </c>
    </row>
    <row r="36" customFormat="false" ht="15.75" hidden="false" customHeight="false" outlineLevel="0" collapsed="false">
      <c r="A36" s="3" t="n">
        <v>35</v>
      </c>
      <c r="B36" s="5" t="s">
        <v>16</v>
      </c>
      <c r="C36" s="5" t="s">
        <v>47</v>
      </c>
      <c r="D36" s="5" t="s">
        <v>16</v>
      </c>
      <c r="E36" s="5" t="s">
        <v>48</v>
      </c>
      <c r="F36" s="6" t="n">
        <v>1.02</v>
      </c>
    </row>
    <row r="37" customFormat="false" ht="15.75" hidden="false" customHeight="false" outlineLevel="0" collapsed="false">
      <c r="A37" s="3" t="n">
        <v>36</v>
      </c>
      <c r="B37" s="5" t="s">
        <v>16</v>
      </c>
      <c r="C37" s="5" t="s">
        <v>48</v>
      </c>
      <c r="D37" s="5" t="s">
        <v>16</v>
      </c>
      <c r="E37" s="5" t="s">
        <v>49</v>
      </c>
      <c r="F37" s="6" t="n">
        <v>9.19</v>
      </c>
    </row>
    <row r="38" customFormat="false" ht="15.75" hidden="false" customHeight="false" outlineLevel="0" collapsed="false">
      <c r="A38" s="3" t="n">
        <v>37</v>
      </c>
      <c r="B38" s="5" t="s">
        <v>16</v>
      </c>
      <c r="C38" s="5" t="s">
        <v>50</v>
      </c>
      <c r="D38" s="5" t="s">
        <v>16</v>
      </c>
      <c r="E38" s="5" t="s">
        <v>33</v>
      </c>
      <c r="F38" s="6" t="n">
        <v>4.28</v>
      </c>
    </row>
    <row r="39" customFormat="false" ht="15.75" hidden="false" customHeight="false" outlineLevel="0" collapsed="false">
      <c r="A39" s="3" t="n">
        <v>38</v>
      </c>
      <c r="B39" s="5" t="s">
        <v>16</v>
      </c>
      <c r="C39" s="5" t="s">
        <v>33</v>
      </c>
      <c r="D39" s="5" t="s">
        <v>16</v>
      </c>
      <c r="E39" s="5" t="s">
        <v>51</v>
      </c>
      <c r="F39" s="6" t="n">
        <v>8.69</v>
      </c>
    </row>
    <row r="40" customFormat="false" ht="15.75" hidden="false" customHeight="false" outlineLevel="0" collapsed="false">
      <c r="A40" s="3" t="n">
        <v>39</v>
      </c>
      <c r="B40" s="5" t="s">
        <v>16</v>
      </c>
      <c r="C40" s="5" t="s">
        <v>51</v>
      </c>
      <c r="D40" s="5" t="s">
        <v>16</v>
      </c>
      <c r="E40" s="5" t="s">
        <v>24</v>
      </c>
      <c r="F40" s="6" t="n">
        <v>3.27</v>
      </c>
    </row>
    <row r="41" customFormat="false" ht="15.75" hidden="false" customHeight="false" outlineLevel="0" collapsed="false">
      <c r="A41" s="3" t="n">
        <v>40</v>
      </c>
      <c r="B41" s="5" t="s">
        <v>16</v>
      </c>
      <c r="C41" s="5" t="s">
        <v>47</v>
      </c>
      <c r="D41" s="5" t="s">
        <v>16</v>
      </c>
      <c r="E41" s="5" t="s">
        <v>24</v>
      </c>
      <c r="F41" s="6" t="n">
        <v>1.52</v>
      </c>
    </row>
    <row r="42" customFormat="false" ht="15.75" hidden="false" customHeight="false" outlineLevel="0" collapsed="false">
      <c r="A42" s="3" t="n">
        <v>41</v>
      </c>
      <c r="B42" s="5" t="s">
        <v>16</v>
      </c>
      <c r="C42" s="5" t="s">
        <v>52</v>
      </c>
      <c r="D42" s="5" t="s">
        <v>16</v>
      </c>
      <c r="E42" s="5" t="s">
        <v>30</v>
      </c>
      <c r="F42" s="6" t="n">
        <v>8.33</v>
      </c>
    </row>
    <row r="43" customFormat="false" ht="15.75" hidden="false" customHeight="false" outlineLevel="0" collapsed="false">
      <c r="A43" s="3" t="n">
        <v>42</v>
      </c>
      <c r="B43" s="5" t="s">
        <v>16</v>
      </c>
      <c r="C43" s="5" t="s">
        <v>30</v>
      </c>
      <c r="D43" s="5" t="s">
        <v>16</v>
      </c>
      <c r="E43" s="5" t="s">
        <v>30</v>
      </c>
      <c r="F43" s="6" t="n">
        <v>1.41</v>
      </c>
    </row>
    <row r="44" customFormat="false" ht="15.75" hidden="false" customHeight="false" outlineLevel="0" collapsed="false">
      <c r="A44" s="3" t="n">
        <v>43</v>
      </c>
      <c r="B44" s="5" t="s">
        <v>36</v>
      </c>
      <c r="C44" s="5" t="s">
        <v>36</v>
      </c>
      <c r="D44" s="5" t="s">
        <v>36</v>
      </c>
      <c r="E44" s="5" t="s">
        <v>36</v>
      </c>
      <c r="F44" s="6" t="s">
        <v>36</v>
      </c>
    </row>
    <row r="45" customFormat="false" ht="15.75" hidden="false" customHeight="false" outlineLevel="0" collapsed="false">
      <c r="A45" s="3" t="n">
        <v>44</v>
      </c>
      <c r="B45" s="5" t="s">
        <v>16</v>
      </c>
      <c r="C45" s="5" t="s">
        <v>30</v>
      </c>
      <c r="D45" s="5" t="s">
        <v>16</v>
      </c>
      <c r="E45" s="5" t="s">
        <v>53</v>
      </c>
      <c r="F45" s="6" t="n">
        <v>7.78</v>
      </c>
    </row>
    <row r="46" customFormat="false" ht="15.75" hidden="false" customHeight="false" outlineLevel="0" collapsed="false">
      <c r="A46" s="3" t="n">
        <v>45</v>
      </c>
      <c r="B46" s="5" t="s">
        <v>16</v>
      </c>
      <c r="C46" s="5" t="s">
        <v>53</v>
      </c>
      <c r="D46" s="3" t="s">
        <v>21</v>
      </c>
      <c r="E46" s="5" t="s">
        <v>54</v>
      </c>
      <c r="F46" s="6" t="n">
        <v>26.45</v>
      </c>
    </row>
    <row r="47" customFormat="false" ht="15.75" hidden="false" customHeight="false" outlineLevel="0" collapsed="false">
      <c r="A47" s="3" t="n">
        <v>46</v>
      </c>
      <c r="B47" s="3" t="s">
        <v>21</v>
      </c>
      <c r="C47" s="5" t="s">
        <v>55</v>
      </c>
      <c r="D47" s="5" t="s">
        <v>16</v>
      </c>
      <c r="E47" s="5" t="s">
        <v>41</v>
      </c>
      <c r="F47" s="6" t="n">
        <v>13.44</v>
      </c>
    </row>
    <row r="48" customFormat="false" ht="15.75" hidden="false" customHeight="false" outlineLevel="0" collapsed="false">
      <c r="A48" s="3" t="n">
        <v>47</v>
      </c>
      <c r="B48" s="5" t="s">
        <v>16</v>
      </c>
      <c r="C48" s="5" t="s">
        <v>41</v>
      </c>
      <c r="D48" s="5" t="s">
        <v>16</v>
      </c>
      <c r="E48" s="5" t="s">
        <v>41</v>
      </c>
      <c r="F48" s="6" t="n">
        <v>0.71</v>
      </c>
    </row>
    <row r="49" customFormat="false" ht="15.75" hidden="false" customHeight="false" outlineLevel="0" collapsed="false">
      <c r="A49" s="3" t="n">
        <v>48</v>
      </c>
      <c r="B49" s="5" t="s">
        <v>16</v>
      </c>
      <c r="C49" s="5" t="s">
        <v>41</v>
      </c>
      <c r="D49" s="5" t="s">
        <v>16</v>
      </c>
      <c r="E49" s="5" t="s">
        <v>56</v>
      </c>
      <c r="F49" s="6" t="n">
        <v>5.53</v>
      </c>
    </row>
    <row r="50" customFormat="false" ht="15.75" hidden="false" customHeight="false" outlineLevel="0" collapsed="false">
      <c r="A50" s="3" t="n">
        <v>49</v>
      </c>
      <c r="B50" s="5" t="s">
        <v>16</v>
      </c>
      <c r="C50" s="5" t="s">
        <v>56</v>
      </c>
      <c r="D50" s="5" t="s">
        <v>16</v>
      </c>
      <c r="E50" s="5" t="s">
        <v>31</v>
      </c>
      <c r="F50" s="6" t="n">
        <v>5.1</v>
      </c>
    </row>
    <row r="51" customFormat="false" ht="15.75" hidden="false" customHeight="false" outlineLevel="0" collapsed="false">
      <c r="A51" s="3" t="n">
        <v>50</v>
      </c>
      <c r="B51" s="5" t="s">
        <v>16</v>
      </c>
      <c r="C51" s="5" t="s">
        <v>57</v>
      </c>
      <c r="D51" s="5" t="s">
        <v>16</v>
      </c>
      <c r="E51" s="5" t="s">
        <v>31</v>
      </c>
      <c r="F51" s="6" t="n">
        <v>1.76</v>
      </c>
    </row>
    <row r="52" customFormat="false" ht="15.75" hidden="false" customHeight="false" outlineLevel="0" collapsed="false">
      <c r="A52" s="3" t="n">
        <v>51</v>
      </c>
      <c r="B52" s="5" t="s">
        <v>16</v>
      </c>
      <c r="C52" s="5" t="s">
        <v>31</v>
      </c>
      <c r="D52" s="5" t="s">
        <v>16</v>
      </c>
      <c r="E52" s="5" t="s">
        <v>38</v>
      </c>
      <c r="F52" s="6" t="n">
        <v>5.77</v>
      </c>
    </row>
    <row r="53" customFormat="false" ht="15.75" hidden="false" customHeight="false" outlineLevel="0" collapsed="false">
      <c r="A53" s="3" t="n">
        <v>52</v>
      </c>
      <c r="B53" s="5" t="s">
        <v>16</v>
      </c>
      <c r="C53" s="5" t="s">
        <v>56</v>
      </c>
      <c r="D53" s="5" t="s">
        <v>16</v>
      </c>
      <c r="E53" s="5" t="s">
        <v>31</v>
      </c>
      <c r="F53" s="6" t="n">
        <v>5.99</v>
      </c>
    </row>
    <row r="54" customFormat="false" ht="15.75" hidden="false" customHeight="false" outlineLevel="0" collapsed="false">
      <c r="A54" s="3" t="n">
        <v>53</v>
      </c>
      <c r="B54" s="5" t="s">
        <v>16</v>
      </c>
      <c r="C54" s="5" t="s">
        <v>19</v>
      </c>
      <c r="D54" s="5" t="s">
        <v>16</v>
      </c>
      <c r="E54" s="5" t="s">
        <v>30</v>
      </c>
      <c r="F54" s="6" t="n">
        <v>1.51</v>
      </c>
    </row>
    <row r="55" customFormat="false" ht="15.75" hidden="false" customHeight="false" outlineLevel="0" collapsed="false">
      <c r="A55" s="3" t="n">
        <v>54</v>
      </c>
      <c r="B55" s="5" t="s">
        <v>16</v>
      </c>
      <c r="C55" s="5" t="s">
        <v>30</v>
      </c>
      <c r="D55" s="5" t="s">
        <v>16</v>
      </c>
      <c r="E55" s="5" t="s">
        <v>30</v>
      </c>
      <c r="F55" s="6" t="n">
        <v>1.64</v>
      </c>
    </row>
    <row r="56" customFormat="false" ht="15.75" hidden="false" customHeight="false" outlineLevel="0" collapsed="false">
      <c r="A56" s="3" t="n">
        <v>55</v>
      </c>
      <c r="B56" s="5" t="s">
        <v>16</v>
      </c>
      <c r="C56" s="5" t="s">
        <v>29</v>
      </c>
      <c r="D56" s="3" t="s">
        <v>21</v>
      </c>
      <c r="E56" s="5" t="s">
        <v>27</v>
      </c>
      <c r="F56" s="6" t="n">
        <v>19.22</v>
      </c>
    </row>
    <row r="57" customFormat="false" ht="15.75" hidden="false" customHeight="false" outlineLevel="0" collapsed="false">
      <c r="A57" s="3" t="n">
        <v>56</v>
      </c>
      <c r="B57" s="3" t="s">
        <v>21</v>
      </c>
      <c r="C57" s="5" t="s">
        <v>58</v>
      </c>
      <c r="D57" s="5" t="s">
        <v>16</v>
      </c>
      <c r="E57" s="5" t="s">
        <v>49</v>
      </c>
      <c r="F57" s="6" t="n">
        <v>15.29</v>
      </c>
    </row>
    <row r="58" customFormat="false" ht="15.75" hidden="false" customHeight="false" outlineLevel="0" collapsed="false">
      <c r="A58" s="3" t="n">
        <v>57</v>
      </c>
      <c r="B58" s="5" t="s">
        <v>16</v>
      </c>
      <c r="C58" s="5" t="s">
        <v>59</v>
      </c>
      <c r="D58" s="5" t="s">
        <v>16</v>
      </c>
      <c r="E58" s="5" t="s">
        <v>27</v>
      </c>
      <c r="F58" s="6" t="n">
        <v>2.35</v>
      </c>
    </row>
    <row r="59" customFormat="false" ht="15.75" hidden="false" customHeight="false" outlineLevel="0" collapsed="false">
      <c r="A59" s="3" t="n">
        <v>58</v>
      </c>
      <c r="B59" s="5" t="s">
        <v>16</v>
      </c>
      <c r="C59" s="5" t="s">
        <v>42</v>
      </c>
      <c r="D59" s="5" t="s">
        <v>16</v>
      </c>
      <c r="E59" s="5" t="s">
        <v>18</v>
      </c>
      <c r="F59" s="6" t="n">
        <v>6.97</v>
      </c>
    </row>
    <row r="60" customFormat="false" ht="15.75" hidden="false" customHeight="false" outlineLevel="0" collapsed="false">
      <c r="A60" s="3" t="n">
        <v>59</v>
      </c>
      <c r="B60" s="5" t="s">
        <v>16</v>
      </c>
      <c r="C60" s="5" t="s">
        <v>34</v>
      </c>
      <c r="D60" s="3" t="s">
        <v>21</v>
      </c>
      <c r="E60" s="5" t="s">
        <v>20</v>
      </c>
      <c r="F60" s="6" t="n">
        <v>10.35</v>
      </c>
    </row>
    <row r="61" customFormat="false" ht="15.75" hidden="false" customHeight="false" outlineLevel="0" collapsed="false">
      <c r="A61" s="3" t="n">
        <v>60</v>
      </c>
      <c r="B61" s="5" t="s">
        <v>60</v>
      </c>
      <c r="C61" s="5" t="s">
        <v>27</v>
      </c>
      <c r="D61" s="3" t="s">
        <v>21</v>
      </c>
      <c r="E61" s="5" t="s">
        <v>61</v>
      </c>
      <c r="F61" s="6" t="n">
        <v>21.46</v>
      </c>
    </row>
    <row r="62" customFormat="false" ht="15.75" hidden="false" customHeight="false" outlineLevel="0" collapsed="false">
      <c r="A62" s="3" t="n">
        <v>61</v>
      </c>
      <c r="B62" s="3" t="s">
        <v>21</v>
      </c>
      <c r="C62" s="5" t="s">
        <v>62</v>
      </c>
      <c r="D62" s="3" t="s">
        <v>21</v>
      </c>
      <c r="E62" s="5" t="s">
        <v>63</v>
      </c>
      <c r="F62" s="6" t="n">
        <v>2.49</v>
      </c>
    </row>
    <row r="63" customFormat="false" ht="15.75" hidden="false" customHeight="false" outlineLevel="0" collapsed="false">
      <c r="A63" s="3" t="n">
        <v>62</v>
      </c>
      <c r="B63" s="3" t="s">
        <v>21</v>
      </c>
      <c r="C63" s="5" t="s">
        <v>64</v>
      </c>
      <c r="D63" s="3" t="s">
        <v>21</v>
      </c>
      <c r="E63" s="5" t="s">
        <v>34</v>
      </c>
      <c r="F63" s="6" t="n">
        <v>10.51</v>
      </c>
    </row>
    <row r="64" customFormat="false" ht="15.75" hidden="false" customHeight="false" outlineLevel="0" collapsed="false">
      <c r="A64" s="3" t="n">
        <v>63</v>
      </c>
      <c r="B64" s="5" t="s">
        <v>16</v>
      </c>
      <c r="C64" s="5" t="s">
        <v>34</v>
      </c>
      <c r="D64" s="5" t="s">
        <v>16</v>
      </c>
      <c r="E64" s="5" t="s">
        <v>19</v>
      </c>
      <c r="F64" s="6" t="n">
        <v>4.21</v>
      </c>
    </row>
    <row r="65" customFormat="false" ht="15.75" hidden="false" customHeight="false" outlineLevel="0" collapsed="false">
      <c r="A65" s="3" t="n">
        <v>64</v>
      </c>
      <c r="B65" s="5" t="s">
        <v>16</v>
      </c>
      <c r="C65" s="5" t="s">
        <v>42</v>
      </c>
      <c r="D65" s="5" t="s">
        <v>16</v>
      </c>
      <c r="E65" s="5" t="s">
        <v>19</v>
      </c>
      <c r="F65" s="6" t="n">
        <v>5.77</v>
      </c>
    </row>
    <row r="66" customFormat="false" ht="15.75" hidden="false" customHeight="false" outlineLevel="0" collapsed="false">
      <c r="A66" s="3" t="n">
        <v>65</v>
      </c>
      <c r="B66" s="5" t="s">
        <v>16</v>
      </c>
      <c r="C66" s="5" t="s">
        <v>59</v>
      </c>
      <c r="D66" s="3" t="s">
        <v>21</v>
      </c>
      <c r="E66" s="5" t="s">
        <v>65</v>
      </c>
      <c r="F66" s="6" t="n">
        <v>17.17</v>
      </c>
    </row>
    <row r="67" customFormat="false" ht="15.75" hidden="false" customHeight="false" outlineLevel="0" collapsed="false">
      <c r="A67" s="3" t="n">
        <v>66</v>
      </c>
      <c r="B67" s="5" t="s">
        <v>21</v>
      </c>
      <c r="C67" s="5" t="s">
        <v>65</v>
      </c>
      <c r="D67" s="5" t="s">
        <v>21</v>
      </c>
      <c r="E67" s="5" t="s">
        <v>27</v>
      </c>
      <c r="F67" s="6" t="n">
        <v>11.11</v>
      </c>
    </row>
    <row r="68" customFormat="false" ht="15.75" hidden="false" customHeight="false" outlineLevel="0" collapsed="false">
      <c r="A68" s="3" t="n">
        <v>67</v>
      </c>
      <c r="B68" s="5" t="s">
        <v>21</v>
      </c>
      <c r="C68" s="5" t="s">
        <v>27</v>
      </c>
      <c r="D68" s="5" t="s">
        <v>21</v>
      </c>
      <c r="E68" s="5" t="s">
        <v>55</v>
      </c>
      <c r="F68" s="6" t="n">
        <v>3.35</v>
      </c>
    </row>
    <row r="69" customFormat="false" ht="15.75" hidden="false" customHeight="false" outlineLevel="0" collapsed="false">
      <c r="A69" s="3" t="n">
        <v>68</v>
      </c>
      <c r="B69" s="5" t="s">
        <v>21</v>
      </c>
      <c r="C69" s="5" t="s">
        <v>55</v>
      </c>
      <c r="D69" s="5" t="s">
        <v>21</v>
      </c>
      <c r="E69" s="5" t="s">
        <v>66</v>
      </c>
      <c r="F69" s="6" t="n">
        <v>2.15</v>
      </c>
    </row>
    <row r="70" customFormat="false" ht="15.75" hidden="false" customHeight="false" outlineLevel="0" collapsed="false">
      <c r="A70" s="3" t="n">
        <v>69</v>
      </c>
      <c r="B70" s="5" t="s">
        <v>21</v>
      </c>
      <c r="C70" s="5" t="s">
        <v>27</v>
      </c>
      <c r="D70" s="5" t="s">
        <v>16</v>
      </c>
      <c r="E70" s="5" t="s">
        <v>24</v>
      </c>
      <c r="F70" s="6" t="n">
        <v>13.13</v>
      </c>
    </row>
    <row r="71" customFormat="false" ht="15.75" hidden="false" customHeight="false" outlineLevel="0" collapsed="false">
      <c r="A71" s="3" t="n">
        <v>70</v>
      </c>
      <c r="B71" s="5" t="s">
        <v>16</v>
      </c>
      <c r="C71" s="5" t="s">
        <v>38</v>
      </c>
      <c r="D71" s="5" t="s">
        <v>16</v>
      </c>
      <c r="E71" s="5" t="s">
        <v>27</v>
      </c>
      <c r="F71" s="6" t="n">
        <v>1.59</v>
      </c>
    </row>
    <row r="72" customFormat="false" ht="15.75" hidden="false" customHeight="false" outlineLevel="0" collapsed="false">
      <c r="A72" s="3" t="n">
        <v>71</v>
      </c>
      <c r="B72" s="5" t="s">
        <v>16</v>
      </c>
      <c r="C72" s="5" t="s">
        <v>30</v>
      </c>
      <c r="D72" s="5" t="s">
        <v>21</v>
      </c>
      <c r="E72" s="5" t="s">
        <v>67</v>
      </c>
      <c r="F72" s="6" t="n">
        <v>9.91</v>
      </c>
    </row>
    <row r="73" customFormat="false" ht="15.75" hidden="false" customHeight="false" outlineLevel="0" collapsed="false">
      <c r="A73" s="3" t="n">
        <v>72</v>
      </c>
      <c r="B73" s="5" t="s">
        <v>16</v>
      </c>
      <c r="C73" s="5" t="s">
        <v>68</v>
      </c>
      <c r="D73" s="5" t="s">
        <v>16</v>
      </c>
      <c r="E73" s="5" t="s">
        <v>34</v>
      </c>
      <c r="F73" s="6" t="n">
        <v>4.39</v>
      </c>
    </row>
    <row r="74" customFormat="false" ht="15.75" hidden="false" customHeight="false" outlineLevel="0" collapsed="false">
      <c r="A74" s="3" t="n">
        <v>73</v>
      </c>
      <c r="B74" s="5" t="s">
        <v>36</v>
      </c>
      <c r="C74" s="5" t="s">
        <v>36</v>
      </c>
      <c r="D74" s="5" t="s">
        <v>36</v>
      </c>
      <c r="E74" s="5" t="s">
        <v>36</v>
      </c>
      <c r="F74" s="6" t="s">
        <v>36</v>
      </c>
    </row>
    <row r="75" customFormat="false" ht="15.75" hidden="false" customHeight="false" outlineLevel="0" collapsed="false">
      <c r="A75" s="3" t="n">
        <v>74</v>
      </c>
      <c r="B75" s="5" t="s">
        <v>16</v>
      </c>
      <c r="C75" s="5" t="s">
        <v>68</v>
      </c>
      <c r="D75" s="5" t="s">
        <v>21</v>
      </c>
      <c r="E75" s="5" t="s">
        <v>69</v>
      </c>
      <c r="F75" s="6" t="n">
        <v>6.11</v>
      </c>
    </row>
    <row r="76" customFormat="false" ht="15.75" hidden="false" customHeight="false" outlineLevel="0" collapsed="false">
      <c r="A76" s="3" t="n">
        <v>75</v>
      </c>
      <c r="B76" s="5" t="s">
        <v>21</v>
      </c>
      <c r="C76" s="5" t="s">
        <v>70</v>
      </c>
      <c r="D76" s="5" t="s">
        <v>21</v>
      </c>
      <c r="E76" s="5" t="s">
        <v>20</v>
      </c>
      <c r="F76" s="6" t="n">
        <v>10.93</v>
      </c>
    </row>
    <row r="77" customFormat="false" ht="15.75" hidden="false" customHeight="false" outlineLevel="0" collapsed="false">
      <c r="A77" s="3" t="n">
        <v>76</v>
      </c>
      <c r="B77" s="5" t="s">
        <v>21</v>
      </c>
      <c r="C77" s="5" t="s">
        <v>64</v>
      </c>
      <c r="D77" s="5" t="s">
        <v>21</v>
      </c>
      <c r="E77" s="5" t="s">
        <v>65</v>
      </c>
      <c r="F77" s="6" t="n">
        <v>4.45</v>
      </c>
    </row>
    <row r="78" customFormat="false" ht="15.75" hidden="false" customHeight="false" outlineLevel="0" collapsed="false">
      <c r="A78" s="3" t="n">
        <v>77</v>
      </c>
      <c r="B78" s="5" t="s">
        <v>21</v>
      </c>
      <c r="C78" s="5" t="s">
        <v>71</v>
      </c>
      <c r="D78" s="5" t="s">
        <v>16</v>
      </c>
      <c r="E78" s="5" t="s">
        <v>30</v>
      </c>
      <c r="F78" s="6" t="n">
        <v>13.17</v>
      </c>
    </row>
    <row r="79" customFormat="false" ht="15.75" hidden="false" customHeight="false" outlineLevel="0" collapsed="false">
      <c r="A79" s="3" t="n">
        <v>78</v>
      </c>
      <c r="B79" s="5" t="s">
        <v>16</v>
      </c>
      <c r="C79" s="5" t="s">
        <v>19</v>
      </c>
      <c r="D79" s="5" t="s">
        <v>16</v>
      </c>
      <c r="E79" s="5" t="s">
        <v>19</v>
      </c>
      <c r="F79" s="6" t="n">
        <v>1.69</v>
      </c>
    </row>
    <row r="80" customFormat="false" ht="15.75" hidden="false" customHeight="false" outlineLevel="0" collapsed="false">
      <c r="A80" s="3" t="n">
        <v>79</v>
      </c>
      <c r="B80" s="5" t="s">
        <v>16</v>
      </c>
      <c r="C80" s="5" t="s">
        <v>28</v>
      </c>
      <c r="D80" s="5" t="s">
        <v>72</v>
      </c>
      <c r="E80" s="5" t="s">
        <v>73</v>
      </c>
      <c r="F80" s="6" t="n">
        <v>15.8</v>
      </c>
    </row>
    <row r="81" customFormat="false" ht="15.75" hidden="false" customHeight="false" outlineLevel="0" collapsed="false">
      <c r="A81" s="3" t="n">
        <v>80</v>
      </c>
      <c r="B81" s="5" t="s">
        <v>72</v>
      </c>
      <c r="C81" s="5" t="s">
        <v>74</v>
      </c>
      <c r="D81" s="5" t="s">
        <v>21</v>
      </c>
      <c r="E81" s="5" t="s">
        <v>20</v>
      </c>
      <c r="F81" s="6" t="n">
        <v>28.87</v>
      </c>
    </row>
    <row r="82" customFormat="false" ht="15.75" hidden="false" customHeight="false" outlineLevel="0" collapsed="false">
      <c r="A82" s="3" t="n">
        <v>81</v>
      </c>
      <c r="B82" s="5" t="s">
        <v>21</v>
      </c>
      <c r="C82" s="5" t="s">
        <v>64</v>
      </c>
      <c r="D82" s="5" t="s">
        <v>21</v>
      </c>
      <c r="E82" s="5" t="s">
        <v>20</v>
      </c>
      <c r="F82" s="6" t="n">
        <v>3.23</v>
      </c>
    </row>
    <row r="83" customFormat="false" ht="15.75" hidden="false" customHeight="false" outlineLevel="0" collapsed="false">
      <c r="A83" s="3" t="n">
        <v>82</v>
      </c>
      <c r="B83" s="5" t="s">
        <v>16</v>
      </c>
      <c r="C83" s="5" t="s">
        <v>75</v>
      </c>
      <c r="D83" s="5" t="s">
        <v>16</v>
      </c>
      <c r="E83" s="5" t="s">
        <v>19</v>
      </c>
      <c r="F83" s="6" t="n">
        <v>5.34</v>
      </c>
    </row>
    <row r="84" customFormat="false" ht="15.75" hidden="false" customHeight="false" outlineLevel="0" collapsed="false">
      <c r="A84" s="3" t="n">
        <v>83</v>
      </c>
      <c r="B84" s="5" t="s">
        <v>16</v>
      </c>
      <c r="C84" s="5" t="s">
        <v>37</v>
      </c>
      <c r="D84" s="5" t="s">
        <v>16</v>
      </c>
      <c r="E84" s="5" t="s">
        <v>27</v>
      </c>
      <c r="F84" s="6" t="n">
        <v>8.82</v>
      </c>
    </row>
    <row r="85" customFormat="false" ht="15.75" hidden="false" customHeight="false" outlineLevel="0" collapsed="false">
      <c r="A85" s="3" t="n">
        <v>84</v>
      </c>
      <c r="B85" s="5" t="s">
        <v>16</v>
      </c>
      <c r="C85" s="5" t="s">
        <v>52</v>
      </c>
      <c r="D85" s="5" t="s">
        <v>16</v>
      </c>
      <c r="E85" s="5" t="s">
        <v>52</v>
      </c>
      <c r="F85" s="6" t="n">
        <v>0</v>
      </c>
    </row>
    <row r="86" customFormat="false" ht="15.75" hidden="false" customHeight="false" outlineLevel="0" collapsed="false">
      <c r="A86" s="3" t="n">
        <v>85</v>
      </c>
      <c r="B86" s="5" t="s">
        <v>16</v>
      </c>
      <c r="C86" s="5" t="s">
        <v>28</v>
      </c>
      <c r="D86" s="5" t="s">
        <v>16</v>
      </c>
      <c r="E86" s="5" t="s">
        <v>31</v>
      </c>
      <c r="F86" s="6" t="n">
        <v>3.81</v>
      </c>
    </row>
    <row r="87" customFormat="false" ht="15.75" hidden="false" customHeight="false" outlineLevel="0" collapsed="false">
      <c r="A87" s="3" t="n">
        <v>86</v>
      </c>
      <c r="B87" s="5" t="s">
        <v>16</v>
      </c>
      <c r="C87" s="5" t="s">
        <v>29</v>
      </c>
      <c r="D87" s="5" t="s">
        <v>21</v>
      </c>
      <c r="E87" s="5" t="s">
        <v>27</v>
      </c>
      <c r="F87" s="6" t="n">
        <v>19.1</v>
      </c>
    </row>
    <row r="88" customFormat="false" ht="15.75" hidden="false" customHeight="false" outlineLevel="0" collapsed="false">
      <c r="A88" s="3" t="n">
        <v>87</v>
      </c>
      <c r="B88" s="5" t="s">
        <v>21</v>
      </c>
      <c r="C88" s="5" t="s">
        <v>76</v>
      </c>
      <c r="D88" s="5" t="s">
        <v>16</v>
      </c>
      <c r="E88" s="5" t="s">
        <v>39</v>
      </c>
      <c r="F88" s="6" t="n">
        <v>15.4</v>
      </c>
    </row>
    <row r="89" customFormat="false" ht="15.75" hidden="false" customHeight="false" outlineLevel="0" collapsed="false">
      <c r="A89" s="3" t="n">
        <v>88</v>
      </c>
      <c r="B89" s="5" t="s">
        <v>16</v>
      </c>
      <c r="C89" s="5" t="s">
        <v>39</v>
      </c>
      <c r="D89" s="5" t="s">
        <v>16</v>
      </c>
      <c r="E89" s="5" t="s">
        <v>27</v>
      </c>
      <c r="F89" s="6" t="n">
        <v>2.35</v>
      </c>
    </row>
    <row r="90" customFormat="false" ht="15.75" hidden="false" customHeight="false" outlineLevel="0" collapsed="false">
      <c r="A90" s="3" t="n">
        <v>89</v>
      </c>
      <c r="B90" s="5" t="s">
        <v>16</v>
      </c>
      <c r="C90" s="5" t="s">
        <v>42</v>
      </c>
      <c r="D90" s="5" t="s">
        <v>16</v>
      </c>
      <c r="E90" s="5" t="s">
        <v>27</v>
      </c>
      <c r="F90" s="6" t="n">
        <v>2.25</v>
      </c>
    </row>
    <row r="91" customFormat="false" ht="15.75" hidden="false" customHeight="false" outlineLevel="0" collapsed="false">
      <c r="A91" s="3" t="n">
        <v>90</v>
      </c>
      <c r="B91" s="5" t="s">
        <v>16</v>
      </c>
      <c r="C91" s="5" t="s">
        <v>27</v>
      </c>
      <c r="D91" s="5" t="s">
        <v>16</v>
      </c>
      <c r="E91" s="5" t="s">
        <v>28</v>
      </c>
      <c r="F91" s="6" t="n">
        <v>1.61</v>
      </c>
    </row>
    <row r="92" customFormat="false" ht="15.75" hidden="false" customHeight="false" outlineLevel="0" collapsed="false">
      <c r="A92" s="3" t="n">
        <v>91</v>
      </c>
      <c r="B92" s="5" t="s">
        <v>16</v>
      </c>
      <c r="C92" s="5" t="s">
        <v>30</v>
      </c>
      <c r="D92" s="5" t="s">
        <v>16</v>
      </c>
      <c r="E92" s="5" t="s">
        <v>30</v>
      </c>
      <c r="F92" s="6" t="n">
        <v>1</v>
      </c>
    </row>
    <row r="93" customFormat="false" ht="15.75" hidden="false" customHeight="false" outlineLevel="0" collapsed="false">
      <c r="A93" s="3" t="n">
        <v>92</v>
      </c>
      <c r="B93" s="5" t="s">
        <v>16</v>
      </c>
      <c r="C93" s="5" t="s">
        <v>30</v>
      </c>
      <c r="D93" s="5" t="s">
        <v>16</v>
      </c>
      <c r="E93" s="5" t="s">
        <v>37</v>
      </c>
      <c r="F93" s="6" t="n">
        <v>1.97</v>
      </c>
    </row>
    <row r="94" customFormat="false" ht="15.75" hidden="false" customHeight="false" outlineLevel="0" collapsed="false">
      <c r="A94" s="3" t="n">
        <v>93</v>
      </c>
      <c r="B94" s="5" t="s">
        <v>16</v>
      </c>
      <c r="C94" s="5" t="s">
        <v>37</v>
      </c>
      <c r="D94" s="5" t="s">
        <v>16</v>
      </c>
      <c r="E94" s="5" t="s">
        <v>17</v>
      </c>
      <c r="F94" s="6" t="n">
        <v>2.27</v>
      </c>
    </row>
    <row r="95" customFormat="false" ht="15.75" hidden="false" customHeight="false" outlineLevel="0" collapsed="false">
      <c r="A95" s="3" t="n">
        <v>94</v>
      </c>
      <c r="B95" s="5" t="s">
        <v>16</v>
      </c>
      <c r="C95" s="5" t="s">
        <v>77</v>
      </c>
      <c r="D95" s="5" t="s">
        <v>16</v>
      </c>
      <c r="E95" s="5" t="s">
        <v>78</v>
      </c>
      <c r="F95" s="6" t="n">
        <v>1.11</v>
      </c>
    </row>
    <row r="96" customFormat="false" ht="15.75" hidden="false" customHeight="false" outlineLevel="0" collapsed="false">
      <c r="A96" s="3" t="n">
        <v>95</v>
      </c>
      <c r="B96" s="5" t="s">
        <v>16</v>
      </c>
      <c r="C96" s="5" t="s">
        <v>17</v>
      </c>
      <c r="D96" s="5" t="s">
        <v>16</v>
      </c>
      <c r="E96" s="5" t="s">
        <v>33</v>
      </c>
      <c r="F96" s="6" t="n">
        <v>11.29</v>
      </c>
    </row>
    <row r="97" customFormat="false" ht="15.75" hidden="false" customHeight="false" outlineLevel="0" collapsed="false">
      <c r="A97" s="3" t="n">
        <v>96</v>
      </c>
      <c r="B97" s="5" t="s">
        <v>16</v>
      </c>
      <c r="C97" s="5" t="s">
        <v>41</v>
      </c>
      <c r="D97" s="5" t="s">
        <v>16</v>
      </c>
      <c r="E97" s="5" t="s">
        <v>79</v>
      </c>
      <c r="F97" s="6" t="n">
        <v>17.03</v>
      </c>
    </row>
    <row r="98" customFormat="false" ht="15.75" hidden="false" customHeight="false" outlineLevel="0" collapsed="false">
      <c r="A98" s="3" t="n">
        <v>97</v>
      </c>
      <c r="B98" s="5" t="s">
        <v>16</v>
      </c>
      <c r="C98" s="5" t="s">
        <v>79</v>
      </c>
      <c r="D98" s="5" t="s">
        <v>16</v>
      </c>
      <c r="E98" s="5" t="s">
        <v>80</v>
      </c>
      <c r="F98" s="6" t="n">
        <v>11.04</v>
      </c>
    </row>
    <row r="99" customFormat="false" ht="15.75" hidden="false" customHeight="false" outlineLevel="0" collapsed="false">
      <c r="A99" s="3" t="n">
        <v>98</v>
      </c>
      <c r="B99" s="5" t="s">
        <v>16</v>
      </c>
      <c r="C99" s="5" t="s">
        <v>80</v>
      </c>
      <c r="D99" s="5" t="s">
        <v>16</v>
      </c>
      <c r="E99" s="5" t="s">
        <v>42</v>
      </c>
      <c r="F99" s="6" t="n">
        <v>2.28</v>
      </c>
    </row>
    <row r="100" customFormat="false" ht="15.75" hidden="false" customHeight="false" outlineLevel="0" collapsed="false">
      <c r="A100" s="3" t="n">
        <v>99</v>
      </c>
      <c r="B100" s="5" t="s">
        <v>16</v>
      </c>
      <c r="C100" s="5" t="s">
        <v>30</v>
      </c>
      <c r="D100" s="5" t="s">
        <v>21</v>
      </c>
      <c r="E100" s="5" t="s">
        <v>62</v>
      </c>
      <c r="F100" s="6" t="n">
        <v>17.99</v>
      </c>
    </row>
    <row r="101" customFormat="false" ht="15.75" hidden="false" customHeight="false" outlineLevel="0" collapsed="false">
      <c r="A101" s="3" t="n">
        <v>100</v>
      </c>
      <c r="B101" s="5" t="s">
        <v>21</v>
      </c>
      <c r="C101" s="5" t="s">
        <v>63</v>
      </c>
      <c r="D101" s="5" t="s">
        <v>16</v>
      </c>
      <c r="E101" s="5" t="s">
        <v>51</v>
      </c>
      <c r="F101" s="6" t="n">
        <v>6.63</v>
      </c>
    </row>
    <row r="102" customFormat="false" ht="15.75" hidden="false" customHeight="false" outlineLevel="0" collapsed="false">
      <c r="A102" s="3" t="n">
        <v>101</v>
      </c>
      <c r="B102" s="5" t="s">
        <v>16</v>
      </c>
      <c r="C102" s="5" t="s">
        <v>47</v>
      </c>
      <c r="D102" s="5" t="s">
        <v>16</v>
      </c>
      <c r="E102" s="5" t="s">
        <v>51</v>
      </c>
      <c r="F102" s="6" t="n">
        <v>1.58</v>
      </c>
    </row>
    <row r="103" customFormat="false" ht="15.75" hidden="false" customHeight="false" outlineLevel="0" collapsed="false">
      <c r="A103" s="3" t="n">
        <v>102</v>
      </c>
      <c r="B103" s="5" t="s">
        <v>16</v>
      </c>
      <c r="C103" s="5" t="s">
        <v>81</v>
      </c>
      <c r="D103" s="5" t="s">
        <v>16</v>
      </c>
      <c r="E103" s="5" t="s">
        <v>81</v>
      </c>
      <c r="F103" s="6" t="n">
        <v>1.54</v>
      </c>
    </row>
    <row r="104" customFormat="false" ht="15.75" hidden="false" customHeight="false" outlineLevel="0" collapsed="false">
      <c r="A104" s="3" t="n">
        <v>103</v>
      </c>
      <c r="B104" s="5" t="s">
        <v>16</v>
      </c>
      <c r="C104" s="5" t="s">
        <v>24</v>
      </c>
      <c r="D104" s="5" t="s">
        <v>16</v>
      </c>
      <c r="E104" s="5" t="s">
        <v>46</v>
      </c>
      <c r="F104" s="6" t="n">
        <v>2.45</v>
      </c>
    </row>
    <row r="105" customFormat="false" ht="15.75" hidden="false" customHeight="false" outlineLevel="0" collapsed="false">
      <c r="A105" s="3" t="n">
        <v>104</v>
      </c>
      <c r="B105" s="5" t="s">
        <v>16</v>
      </c>
      <c r="C105" s="5" t="s">
        <v>47</v>
      </c>
      <c r="D105" s="5" t="s">
        <v>16</v>
      </c>
      <c r="E105" s="5" t="s">
        <v>26</v>
      </c>
      <c r="F105" s="6" t="n">
        <v>7.3</v>
      </c>
    </row>
    <row r="106" customFormat="false" ht="15.75" hidden="false" customHeight="false" outlineLevel="0" collapsed="false">
      <c r="A106" s="3" t="n">
        <v>105</v>
      </c>
      <c r="B106" s="5" t="s">
        <v>16</v>
      </c>
      <c r="C106" s="5" t="s">
        <v>27</v>
      </c>
      <c r="D106" s="5" t="s">
        <v>16</v>
      </c>
      <c r="E106" s="5" t="s">
        <v>30</v>
      </c>
      <c r="F106" s="6" t="n">
        <v>4.94</v>
      </c>
    </row>
    <row r="107" customFormat="false" ht="15.75" hidden="false" customHeight="false" outlineLevel="0" collapsed="false">
      <c r="A107" s="3" t="n">
        <v>106</v>
      </c>
      <c r="B107" s="5" t="s">
        <v>16</v>
      </c>
      <c r="C107" s="5" t="s">
        <v>42</v>
      </c>
      <c r="D107" s="5" t="s">
        <v>16</v>
      </c>
      <c r="E107" s="5" t="s">
        <v>42</v>
      </c>
      <c r="F107" s="6" t="n">
        <v>1.2</v>
      </c>
    </row>
    <row r="108" customFormat="false" ht="15.75" hidden="false" customHeight="false" outlineLevel="0" collapsed="false">
      <c r="A108" s="3" t="n">
        <v>107</v>
      </c>
      <c r="B108" s="5" t="s">
        <v>16</v>
      </c>
      <c r="C108" s="5" t="s">
        <v>49</v>
      </c>
      <c r="D108" s="5" t="s">
        <v>16</v>
      </c>
      <c r="E108" s="5" t="s">
        <v>30</v>
      </c>
      <c r="F108" s="6" t="n">
        <v>6.95</v>
      </c>
    </row>
    <row r="109" customFormat="false" ht="15.75" hidden="false" customHeight="false" outlineLevel="0" collapsed="false">
      <c r="A109" s="3" t="n">
        <v>108</v>
      </c>
      <c r="B109" s="5" t="s">
        <v>16</v>
      </c>
      <c r="C109" s="5" t="s">
        <v>82</v>
      </c>
      <c r="D109" s="5" t="s">
        <v>16</v>
      </c>
      <c r="E109" s="5" t="s">
        <v>56</v>
      </c>
      <c r="F109" s="6" t="n">
        <v>12.8</v>
      </c>
    </row>
    <row r="110" customFormat="false" ht="15.75" hidden="false" customHeight="false" outlineLevel="0" collapsed="false">
      <c r="A110" s="3" t="n">
        <v>109</v>
      </c>
      <c r="B110" s="5" t="s">
        <v>16</v>
      </c>
      <c r="C110" s="5" t="s">
        <v>56</v>
      </c>
      <c r="D110" s="5" t="s">
        <v>16</v>
      </c>
      <c r="E110" s="5" t="s">
        <v>81</v>
      </c>
      <c r="F110" s="6" t="n">
        <v>7.67</v>
      </c>
    </row>
    <row r="111" customFormat="false" ht="15.75" hidden="false" customHeight="false" outlineLevel="0" collapsed="false">
      <c r="A111" s="3" t="n">
        <v>110</v>
      </c>
      <c r="B111" s="5" t="s">
        <v>16</v>
      </c>
      <c r="C111" s="5" t="s">
        <v>51</v>
      </c>
      <c r="D111" s="5" t="s">
        <v>16</v>
      </c>
      <c r="E111" s="5" t="s">
        <v>26</v>
      </c>
      <c r="F111" s="6" t="n">
        <v>12.79</v>
      </c>
    </row>
    <row r="112" customFormat="false" ht="15.75" hidden="false" customHeight="false" outlineLevel="0" collapsed="false">
      <c r="A112" s="3" t="n">
        <v>111</v>
      </c>
      <c r="B112" s="5" t="s">
        <v>16</v>
      </c>
      <c r="C112" s="5" t="s">
        <v>26</v>
      </c>
      <c r="D112" s="5" t="s">
        <v>21</v>
      </c>
      <c r="E112" s="5" t="s">
        <v>83</v>
      </c>
      <c r="F112" s="6" t="n">
        <v>20.54</v>
      </c>
    </row>
    <row r="113" customFormat="false" ht="15.75" hidden="false" customHeight="false" outlineLevel="0" collapsed="false">
      <c r="A113" s="3" t="n">
        <v>112</v>
      </c>
      <c r="B113" s="5" t="s">
        <v>21</v>
      </c>
      <c r="C113" s="5" t="s">
        <v>55</v>
      </c>
      <c r="D113" s="5" t="s">
        <v>16</v>
      </c>
      <c r="E113" s="5" t="s">
        <v>19</v>
      </c>
      <c r="F113" s="6" t="n">
        <v>14.87</v>
      </c>
    </row>
    <row r="114" customFormat="false" ht="15.75" hidden="false" customHeight="false" outlineLevel="0" collapsed="false">
      <c r="A114" s="3" t="n">
        <v>113</v>
      </c>
      <c r="B114" s="5" t="s">
        <v>16</v>
      </c>
      <c r="C114" s="5" t="s">
        <v>19</v>
      </c>
      <c r="D114" s="5" t="s">
        <v>16</v>
      </c>
      <c r="E114" s="5" t="s">
        <v>27</v>
      </c>
      <c r="F114" s="6" t="n">
        <v>7.4</v>
      </c>
    </row>
    <row r="115" customFormat="false" ht="15.75" hidden="false" customHeight="false" outlineLevel="0" collapsed="false">
      <c r="A115" s="3" t="n">
        <v>114</v>
      </c>
      <c r="B115" s="5" t="s">
        <v>16</v>
      </c>
      <c r="C115" s="5" t="s">
        <v>33</v>
      </c>
      <c r="D115" s="5" t="s">
        <v>16</v>
      </c>
      <c r="E115" s="5" t="s">
        <v>39</v>
      </c>
      <c r="F115" s="6" t="n">
        <v>4.56</v>
      </c>
    </row>
    <row r="116" customFormat="false" ht="15.75" hidden="false" customHeight="false" outlineLevel="0" collapsed="false">
      <c r="A116" s="3" t="n">
        <v>115</v>
      </c>
      <c r="B116" s="5" t="s">
        <v>16</v>
      </c>
      <c r="C116" s="5" t="s">
        <v>30</v>
      </c>
      <c r="D116" s="5" t="s">
        <v>16</v>
      </c>
      <c r="E116" s="5" t="s">
        <v>30</v>
      </c>
      <c r="F116" s="6" t="n">
        <v>1.63</v>
      </c>
    </row>
    <row r="117" customFormat="false" ht="15.75" hidden="false" customHeight="false" outlineLevel="0" collapsed="false">
      <c r="A117" s="3" t="n">
        <v>116</v>
      </c>
      <c r="B117" s="5" t="s">
        <v>16</v>
      </c>
      <c r="C117" s="5" t="s">
        <v>19</v>
      </c>
      <c r="D117" s="5" t="s">
        <v>16</v>
      </c>
      <c r="E117" s="5" t="s">
        <v>47</v>
      </c>
      <c r="F117" s="6" t="n">
        <v>10.62</v>
      </c>
    </row>
    <row r="118" customFormat="false" ht="15.75" hidden="false" customHeight="false" outlineLevel="0" collapsed="false">
      <c r="A118" s="3" t="n">
        <v>117</v>
      </c>
      <c r="B118" s="5" t="s">
        <v>16</v>
      </c>
      <c r="C118" s="5" t="s">
        <v>24</v>
      </c>
      <c r="D118" s="5" t="s">
        <v>21</v>
      </c>
      <c r="E118" s="5" t="s">
        <v>20</v>
      </c>
      <c r="F118" s="6" t="n">
        <v>7</v>
      </c>
    </row>
    <row r="119" customFormat="false" ht="15.75" hidden="false" customHeight="false" outlineLevel="0" collapsed="false">
      <c r="A119" s="3" t="n">
        <v>118</v>
      </c>
      <c r="B119" s="5" t="s">
        <v>21</v>
      </c>
      <c r="C119" s="5" t="s">
        <v>64</v>
      </c>
      <c r="D119" s="5" t="s">
        <v>21</v>
      </c>
      <c r="E119" s="5" t="s">
        <v>55</v>
      </c>
      <c r="F119" s="6" t="n">
        <v>4.66</v>
      </c>
    </row>
    <row r="120" customFormat="false" ht="15.75" hidden="false" customHeight="false" outlineLevel="0" collapsed="false">
      <c r="A120" s="3" t="n">
        <v>119</v>
      </c>
      <c r="B120" s="5" t="s">
        <v>21</v>
      </c>
      <c r="C120" s="5" t="s">
        <v>76</v>
      </c>
      <c r="D120" s="5" t="s">
        <v>16</v>
      </c>
      <c r="E120" s="5" t="s">
        <v>30</v>
      </c>
      <c r="F120" s="6" t="n">
        <v>19.5</v>
      </c>
    </row>
    <row r="121" customFormat="false" ht="15.75" hidden="false" customHeight="false" outlineLevel="0" collapsed="false">
      <c r="A121" s="3" t="n">
        <v>120</v>
      </c>
      <c r="B121" s="5" t="s">
        <v>16</v>
      </c>
      <c r="C121" s="5" t="s">
        <v>34</v>
      </c>
      <c r="D121" s="5" t="s">
        <v>16</v>
      </c>
      <c r="E121" s="5" t="s">
        <v>34</v>
      </c>
      <c r="F121" s="6" t="n">
        <v>4.4</v>
      </c>
    </row>
    <row r="122" customFormat="false" ht="15.75" hidden="false" customHeight="false" outlineLevel="0" collapsed="false">
      <c r="A122" s="3" t="n">
        <v>121</v>
      </c>
      <c r="B122" s="5" t="s">
        <v>16</v>
      </c>
      <c r="C122" s="5" t="s">
        <v>34</v>
      </c>
      <c r="D122" s="5" t="s">
        <v>16</v>
      </c>
      <c r="E122" s="5" t="s">
        <v>33</v>
      </c>
      <c r="F122" s="6" t="n">
        <v>12.61</v>
      </c>
    </row>
    <row r="123" customFormat="false" ht="15.75" hidden="false" customHeight="false" outlineLevel="0" collapsed="false">
      <c r="A123" s="3" t="n">
        <v>122</v>
      </c>
      <c r="B123" s="5" t="s">
        <v>16</v>
      </c>
      <c r="C123" s="5" t="s">
        <v>84</v>
      </c>
      <c r="D123" s="5" t="s">
        <v>16</v>
      </c>
      <c r="E123" s="5" t="s">
        <v>39</v>
      </c>
      <c r="F123" s="6" t="n">
        <v>4.56</v>
      </c>
    </row>
    <row r="124" customFormat="false" ht="15.75" hidden="false" customHeight="false" outlineLevel="0" collapsed="false">
      <c r="A124" s="3" t="n">
        <v>123</v>
      </c>
      <c r="B124" s="5" t="s">
        <v>16</v>
      </c>
      <c r="C124" s="5" t="s">
        <v>52</v>
      </c>
      <c r="D124" s="5" t="s">
        <v>16</v>
      </c>
      <c r="E124" s="5" t="s">
        <v>18</v>
      </c>
      <c r="F124" s="6" t="n">
        <v>9.37</v>
      </c>
    </row>
    <row r="125" customFormat="false" ht="15.75" hidden="false" customHeight="false" outlineLevel="0" collapsed="false">
      <c r="A125" s="3" t="n">
        <v>124</v>
      </c>
      <c r="B125" s="5" t="s">
        <v>16</v>
      </c>
      <c r="C125" s="5" t="s">
        <v>85</v>
      </c>
      <c r="D125" s="5" t="s">
        <v>16</v>
      </c>
      <c r="E125" s="5" t="s">
        <v>30</v>
      </c>
      <c r="F125" s="6" t="n">
        <v>8.41</v>
      </c>
    </row>
    <row r="126" customFormat="false" ht="15.75" hidden="false" customHeight="false" outlineLevel="0" collapsed="false">
      <c r="A126" s="3" t="n">
        <v>125</v>
      </c>
      <c r="B126" s="5" t="s">
        <v>16</v>
      </c>
      <c r="C126" s="5" t="s">
        <v>30</v>
      </c>
      <c r="D126" s="5" t="s">
        <v>16</v>
      </c>
      <c r="E126" s="5" t="s">
        <v>30</v>
      </c>
      <c r="F126" s="6" t="n">
        <v>2.03</v>
      </c>
    </row>
    <row r="127" customFormat="false" ht="15.75" hidden="false" customHeight="false" outlineLevel="0" collapsed="false">
      <c r="A127" s="3" t="n">
        <v>126</v>
      </c>
      <c r="B127" s="5" t="s">
        <v>16</v>
      </c>
      <c r="C127" s="5" t="s">
        <v>30</v>
      </c>
      <c r="D127" s="5" t="s">
        <v>16</v>
      </c>
      <c r="E127" s="5" t="s">
        <v>19</v>
      </c>
      <c r="F127" s="6" t="n">
        <v>3.47</v>
      </c>
    </row>
    <row r="128" customFormat="false" ht="15.75" hidden="false" customHeight="false" outlineLevel="0" collapsed="false">
      <c r="A128" s="3" t="n">
        <v>127</v>
      </c>
      <c r="B128" s="5" t="s">
        <v>36</v>
      </c>
      <c r="C128" s="5" t="s">
        <v>36</v>
      </c>
      <c r="D128" s="5" t="s">
        <v>36</v>
      </c>
      <c r="E128" s="5" t="s">
        <v>36</v>
      </c>
      <c r="F128" s="6" t="s">
        <v>36</v>
      </c>
    </row>
    <row r="129" customFormat="false" ht="15.75" hidden="false" customHeight="false" outlineLevel="0" collapsed="false">
      <c r="A129" s="3" t="n">
        <v>128</v>
      </c>
      <c r="B129" s="5" t="s">
        <v>16</v>
      </c>
      <c r="C129" s="5" t="s">
        <v>37</v>
      </c>
      <c r="D129" s="5" t="s">
        <v>16</v>
      </c>
      <c r="E129" s="5" t="s">
        <v>30</v>
      </c>
      <c r="F129" s="6" t="n">
        <v>1.9</v>
      </c>
    </row>
    <row r="130" customFormat="false" ht="15.75" hidden="false" customHeight="false" outlineLevel="0" collapsed="false">
      <c r="A130" s="3" t="n">
        <v>129</v>
      </c>
      <c r="B130" s="5" t="s">
        <v>16</v>
      </c>
      <c r="C130" s="5" t="s">
        <v>57</v>
      </c>
      <c r="D130" s="5" t="s">
        <v>72</v>
      </c>
      <c r="E130" s="5" t="s">
        <v>73</v>
      </c>
      <c r="F130" s="6" t="n">
        <v>10.97</v>
      </c>
    </row>
    <row r="131" customFormat="false" ht="15.75" hidden="false" customHeight="false" outlineLevel="0" collapsed="false">
      <c r="A131" s="3" t="n">
        <v>130</v>
      </c>
      <c r="B131" s="5" t="s">
        <v>72</v>
      </c>
      <c r="C131" s="5" t="s">
        <v>73</v>
      </c>
      <c r="D131" s="5" t="s">
        <v>16</v>
      </c>
      <c r="E131" s="5" t="s">
        <v>79</v>
      </c>
      <c r="F131" s="6" t="n">
        <v>9</v>
      </c>
    </row>
    <row r="132" customFormat="false" ht="15.75" hidden="false" customHeight="false" outlineLevel="0" collapsed="false">
      <c r="A132" s="3" t="n">
        <v>131</v>
      </c>
      <c r="B132" s="5" t="s">
        <v>16</v>
      </c>
      <c r="C132" s="5" t="s">
        <v>17</v>
      </c>
      <c r="D132" s="5" t="s">
        <v>16</v>
      </c>
      <c r="E132" s="5" t="s">
        <v>30</v>
      </c>
      <c r="F132" s="6" t="n">
        <v>1.54</v>
      </c>
    </row>
    <row r="133" customFormat="false" ht="15.75" hidden="false" customHeight="false" outlineLevel="0" collapsed="false">
      <c r="A133" s="3" t="n">
        <v>132</v>
      </c>
      <c r="B133" s="5" t="s">
        <v>16</v>
      </c>
      <c r="C133" s="5" t="s">
        <v>19</v>
      </c>
      <c r="D133" s="5" t="s">
        <v>16</v>
      </c>
      <c r="E133" s="5" t="s">
        <v>30</v>
      </c>
      <c r="F133" s="6" t="n">
        <v>2.09</v>
      </c>
    </row>
    <row r="134" customFormat="false" ht="15.75" hidden="false" customHeight="false" outlineLevel="0" collapsed="false">
      <c r="A134" s="3" t="n">
        <v>133</v>
      </c>
      <c r="B134" s="5" t="s">
        <v>16</v>
      </c>
      <c r="C134" s="5" t="s">
        <v>30</v>
      </c>
      <c r="D134" s="5" t="s">
        <v>16</v>
      </c>
      <c r="E134" s="5" t="s">
        <v>19</v>
      </c>
      <c r="F134" s="6" t="n">
        <v>4.55</v>
      </c>
    </row>
    <row r="135" customFormat="false" ht="15.75" hidden="false" customHeight="false" outlineLevel="0" collapsed="false">
      <c r="A135" s="3" t="n">
        <v>134</v>
      </c>
      <c r="B135" s="5" t="s">
        <v>16</v>
      </c>
      <c r="C135" s="5" t="s">
        <v>17</v>
      </c>
      <c r="D135" s="5" t="s">
        <v>16</v>
      </c>
      <c r="E135" s="5" t="s">
        <v>30</v>
      </c>
      <c r="F135" s="6" t="n">
        <v>2.27</v>
      </c>
    </row>
    <row r="136" customFormat="false" ht="15.75" hidden="false" customHeight="false" outlineLevel="0" collapsed="false">
      <c r="A136" s="3" t="n">
        <v>135</v>
      </c>
      <c r="B136" s="5" t="s">
        <v>16</v>
      </c>
      <c r="C136" s="5" t="s">
        <v>19</v>
      </c>
      <c r="D136" s="5" t="s">
        <v>16</v>
      </c>
      <c r="E136" s="5" t="s">
        <v>27</v>
      </c>
      <c r="F136" s="6" t="n">
        <v>5.25</v>
      </c>
    </row>
    <row r="137" customFormat="false" ht="15.75" hidden="false" customHeight="false" outlineLevel="0" collapsed="false">
      <c r="A137" s="3" t="n">
        <v>136</v>
      </c>
      <c r="B137" s="5" t="s">
        <v>16</v>
      </c>
      <c r="C137" s="5" t="s">
        <v>39</v>
      </c>
      <c r="D137" s="5" t="s">
        <v>16</v>
      </c>
      <c r="E137" s="5" t="s">
        <v>30</v>
      </c>
      <c r="F137" s="6" t="n">
        <v>6.52</v>
      </c>
    </row>
    <row r="138" customFormat="false" ht="15.75" hidden="false" customHeight="false" outlineLevel="0" collapsed="false">
      <c r="A138" s="3" t="n">
        <v>137</v>
      </c>
      <c r="B138" s="5" t="s">
        <v>16</v>
      </c>
      <c r="C138" s="5" t="s">
        <v>17</v>
      </c>
      <c r="D138" s="5" t="s">
        <v>16</v>
      </c>
      <c r="E138" s="5" t="s">
        <v>52</v>
      </c>
      <c r="F138" s="6" t="n">
        <v>8.75</v>
      </c>
    </row>
    <row r="139" customFormat="false" ht="15.75" hidden="false" customHeight="false" outlineLevel="0" collapsed="false">
      <c r="A139" s="3" t="n">
        <v>138</v>
      </c>
      <c r="B139" s="5" t="s">
        <v>16</v>
      </c>
      <c r="C139" s="5" t="s">
        <v>86</v>
      </c>
      <c r="D139" s="5" t="s">
        <v>21</v>
      </c>
      <c r="E139" s="5" t="s">
        <v>27</v>
      </c>
      <c r="F139" s="6" t="n">
        <v>10.19</v>
      </c>
    </row>
    <row r="140" customFormat="false" ht="15.75" hidden="false" customHeight="false" outlineLevel="0" collapsed="false">
      <c r="A140" s="3" t="n">
        <v>139</v>
      </c>
      <c r="B140" s="5" t="s">
        <v>21</v>
      </c>
      <c r="C140" s="5" t="s">
        <v>62</v>
      </c>
      <c r="D140" s="5" t="s">
        <v>21</v>
      </c>
      <c r="E140" s="5" t="s">
        <v>83</v>
      </c>
      <c r="F140" s="6" t="n">
        <v>2.58</v>
      </c>
    </row>
    <row r="141" customFormat="false" ht="15.75" hidden="false" customHeight="false" outlineLevel="0" collapsed="false">
      <c r="A141" s="3" t="n">
        <v>140</v>
      </c>
      <c r="B141" s="5" t="s">
        <v>21</v>
      </c>
      <c r="C141" s="5" t="s">
        <v>87</v>
      </c>
      <c r="D141" s="5" t="s">
        <v>16</v>
      </c>
      <c r="E141" s="5" t="s">
        <v>33</v>
      </c>
      <c r="F141" s="6" t="n">
        <v>16.25</v>
      </c>
    </row>
    <row r="142" customFormat="false" ht="15.75" hidden="false" customHeight="false" outlineLevel="0" collapsed="false">
      <c r="A142" s="3" t="n">
        <v>141</v>
      </c>
      <c r="B142" s="5" t="s">
        <v>16</v>
      </c>
      <c r="C142" s="5" t="s">
        <v>33</v>
      </c>
      <c r="D142" s="5" t="s">
        <v>16</v>
      </c>
      <c r="E142" s="5" t="s">
        <v>81</v>
      </c>
      <c r="F142" s="6" t="n">
        <v>7.21</v>
      </c>
    </row>
    <row r="143" customFormat="false" ht="15.75" hidden="false" customHeight="false" outlineLevel="0" collapsed="false">
      <c r="A143" s="3" t="n">
        <v>142</v>
      </c>
      <c r="B143" s="5" t="s">
        <v>72</v>
      </c>
      <c r="C143" s="5" t="s">
        <v>88</v>
      </c>
      <c r="D143" s="5" t="s">
        <v>72</v>
      </c>
      <c r="E143" s="5" t="s">
        <v>27</v>
      </c>
      <c r="F143" s="6" t="n">
        <v>4.68</v>
      </c>
    </row>
    <row r="144" customFormat="false" ht="15.75" hidden="false" customHeight="false" outlineLevel="0" collapsed="false">
      <c r="A144" s="3" t="n">
        <v>143</v>
      </c>
      <c r="B144" s="5" t="s">
        <v>72</v>
      </c>
      <c r="C144" s="5" t="s">
        <v>27</v>
      </c>
      <c r="D144" s="5" t="s">
        <v>72</v>
      </c>
      <c r="E144" s="5" t="s">
        <v>89</v>
      </c>
      <c r="F144" s="6" t="n">
        <v>5.44</v>
      </c>
    </row>
    <row r="145" customFormat="false" ht="15.75" hidden="false" customHeight="false" outlineLevel="0" collapsed="false">
      <c r="A145" s="3" t="n">
        <v>144</v>
      </c>
      <c r="B145" s="5" t="s">
        <v>72</v>
      </c>
      <c r="C145" s="5" t="s">
        <v>89</v>
      </c>
      <c r="D145" s="5" t="s">
        <v>16</v>
      </c>
      <c r="E145" s="5" t="s">
        <v>19</v>
      </c>
      <c r="F145" s="6" t="n">
        <v>18.86</v>
      </c>
    </row>
    <row r="146" customFormat="false" ht="15.75" hidden="false" customHeight="false" outlineLevel="0" collapsed="false">
      <c r="A146" s="3" t="n">
        <v>145</v>
      </c>
      <c r="B146" s="5" t="s">
        <v>16</v>
      </c>
      <c r="C146" s="5" t="s">
        <v>19</v>
      </c>
      <c r="D146" s="5" t="s">
        <v>16</v>
      </c>
      <c r="E146" s="5" t="s">
        <v>30</v>
      </c>
      <c r="F146" s="6" t="n">
        <v>3.88</v>
      </c>
    </row>
    <row r="147" customFormat="false" ht="15.75" hidden="false" customHeight="false" outlineLevel="0" collapsed="false">
      <c r="A147" s="3" t="n">
        <v>146</v>
      </c>
      <c r="B147" s="5" t="s">
        <v>16</v>
      </c>
      <c r="C147" s="5" t="s">
        <v>30</v>
      </c>
      <c r="D147" s="5" t="s">
        <v>16</v>
      </c>
      <c r="E147" s="5" t="s">
        <v>31</v>
      </c>
      <c r="F147" s="6" t="n">
        <v>2.78</v>
      </c>
    </row>
    <row r="148" customFormat="false" ht="15.75" hidden="false" customHeight="false" outlineLevel="0" collapsed="false">
      <c r="A148" s="3" t="n">
        <v>147</v>
      </c>
      <c r="B148" s="5" t="s">
        <v>16</v>
      </c>
      <c r="C148" s="5" t="s">
        <v>37</v>
      </c>
      <c r="D148" s="5" t="s">
        <v>16</v>
      </c>
      <c r="E148" s="5" t="s">
        <v>34</v>
      </c>
      <c r="F148" s="6" t="n">
        <v>5.25</v>
      </c>
    </row>
    <row r="149" customFormat="false" ht="15.75" hidden="false" customHeight="false" outlineLevel="0" collapsed="false">
      <c r="A149" s="3" t="n">
        <v>148</v>
      </c>
      <c r="B149" s="5" t="s">
        <v>16</v>
      </c>
      <c r="C149" s="5" t="s">
        <v>27</v>
      </c>
      <c r="D149" s="5" t="s">
        <v>16</v>
      </c>
      <c r="E149" s="5" t="s">
        <v>81</v>
      </c>
      <c r="F149" s="6" t="n">
        <v>7.68</v>
      </c>
    </row>
    <row r="150" customFormat="false" ht="15.75" hidden="false" customHeight="false" outlineLevel="0" collapsed="false">
      <c r="A150" s="3" t="n">
        <v>149</v>
      </c>
      <c r="B150" s="5" t="s">
        <v>16</v>
      </c>
      <c r="C150" s="5" t="s">
        <v>81</v>
      </c>
      <c r="D150" s="5" t="s">
        <v>21</v>
      </c>
      <c r="E150" s="5" t="s">
        <v>55</v>
      </c>
      <c r="F150" s="6" t="n">
        <v>12.35</v>
      </c>
    </row>
    <row r="151" customFormat="false" ht="15.75" hidden="false" customHeight="false" outlineLevel="0" collapsed="false">
      <c r="A151" s="3" t="n">
        <v>150</v>
      </c>
      <c r="B151" s="5" t="s">
        <v>21</v>
      </c>
      <c r="C151" s="5" t="s">
        <v>55</v>
      </c>
      <c r="D151" s="5" t="s">
        <v>21</v>
      </c>
      <c r="E151" s="5" t="s">
        <v>55</v>
      </c>
      <c r="F151" s="6" t="n">
        <v>0</v>
      </c>
    </row>
    <row r="152" customFormat="false" ht="15.75" hidden="false" customHeight="false" outlineLevel="0" collapsed="false">
      <c r="A152" s="3" t="n">
        <v>151</v>
      </c>
      <c r="B152" s="5" t="s">
        <v>21</v>
      </c>
      <c r="C152" s="5" t="s">
        <v>64</v>
      </c>
      <c r="D152" s="5" t="s">
        <v>21</v>
      </c>
      <c r="E152" s="5" t="s">
        <v>20</v>
      </c>
      <c r="F152" s="6" t="n">
        <v>1.71</v>
      </c>
    </row>
    <row r="153" customFormat="false" ht="15.75" hidden="false" customHeight="false" outlineLevel="0" collapsed="false">
      <c r="A153" s="3" t="n">
        <v>152</v>
      </c>
      <c r="B153" s="5" t="s">
        <v>21</v>
      </c>
      <c r="C153" s="5" t="s">
        <v>44</v>
      </c>
      <c r="D153" s="5" t="s">
        <v>21</v>
      </c>
      <c r="E153" s="5" t="s">
        <v>27</v>
      </c>
      <c r="F153" s="6" t="n">
        <v>5.73</v>
      </c>
    </row>
    <row r="154" customFormat="false" ht="15.75" hidden="false" customHeight="false" outlineLevel="0" collapsed="false">
      <c r="A154" s="3" t="n">
        <v>153</v>
      </c>
      <c r="B154" s="5" t="s">
        <v>21</v>
      </c>
      <c r="C154" s="5" t="s">
        <v>66</v>
      </c>
      <c r="D154" s="5" t="s">
        <v>16</v>
      </c>
      <c r="E154" s="5" t="s">
        <v>39</v>
      </c>
      <c r="F154" s="6" t="n">
        <v>12.88</v>
      </c>
    </row>
    <row r="155" customFormat="false" ht="15.75" hidden="false" customHeight="false" outlineLevel="0" collapsed="false">
      <c r="A155" s="3" t="n">
        <v>154</v>
      </c>
      <c r="B155" s="5" t="s">
        <v>16</v>
      </c>
      <c r="C155" s="5" t="s">
        <v>31</v>
      </c>
      <c r="D155" s="5" t="s">
        <v>21</v>
      </c>
      <c r="E155" s="5" t="s">
        <v>27</v>
      </c>
      <c r="F155" s="6" t="n">
        <v>17.73</v>
      </c>
    </row>
    <row r="156" customFormat="false" ht="15.75" hidden="false" customHeight="false" outlineLevel="0" collapsed="false">
      <c r="A156" s="3" t="n">
        <v>155</v>
      </c>
      <c r="B156" s="5" t="s">
        <v>21</v>
      </c>
      <c r="C156" s="5" t="s">
        <v>58</v>
      </c>
      <c r="D156" s="5" t="s">
        <v>90</v>
      </c>
      <c r="E156" s="5" t="s">
        <v>91</v>
      </c>
      <c r="F156" s="6" t="n">
        <v>23.55</v>
      </c>
    </row>
    <row r="157" customFormat="false" ht="15.75" hidden="false" customHeight="false" outlineLevel="0" collapsed="false">
      <c r="A157" s="3" t="n">
        <v>156</v>
      </c>
      <c r="B157" s="5" t="s">
        <v>90</v>
      </c>
      <c r="C157" s="5" t="s">
        <v>92</v>
      </c>
      <c r="D157" s="5" t="s">
        <v>16</v>
      </c>
      <c r="E157" s="5" t="s">
        <v>78</v>
      </c>
      <c r="F157" s="6" t="n">
        <v>20.75</v>
      </c>
    </row>
    <row r="158" customFormat="false" ht="15.75" hidden="false" customHeight="false" outlineLevel="0" collapsed="false">
      <c r="A158" s="3" t="n">
        <v>157</v>
      </c>
      <c r="B158" s="5" t="s">
        <v>16</v>
      </c>
      <c r="C158" s="5" t="s">
        <v>78</v>
      </c>
      <c r="D158" s="5" t="s">
        <v>16</v>
      </c>
      <c r="E158" s="5" t="s">
        <v>27</v>
      </c>
      <c r="F158" s="6" t="n">
        <v>7.63</v>
      </c>
    </row>
    <row r="159" customFormat="false" ht="15.75" hidden="false" customHeight="false" outlineLevel="0" collapsed="false">
      <c r="A159" s="3" t="n">
        <v>158</v>
      </c>
      <c r="B159" s="5" t="s">
        <v>16</v>
      </c>
      <c r="C159" s="5" t="s">
        <v>75</v>
      </c>
      <c r="D159" s="5" t="s">
        <v>16</v>
      </c>
      <c r="E159" s="5" t="s">
        <v>42</v>
      </c>
      <c r="F159" s="6" t="n">
        <v>1.18</v>
      </c>
    </row>
    <row r="160" customFormat="false" ht="15.75" hidden="false" customHeight="false" outlineLevel="0" collapsed="false">
      <c r="A160" s="3" t="n">
        <v>159</v>
      </c>
      <c r="B160" s="5" t="s">
        <v>16</v>
      </c>
      <c r="C160" s="5" t="s">
        <v>19</v>
      </c>
      <c r="D160" s="5" t="s">
        <v>16</v>
      </c>
      <c r="E160" s="5" t="s">
        <v>30</v>
      </c>
      <c r="F160" s="6" t="n">
        <v>3.67</v>
      </c>
    </row>
    <row r="161" customFormat="false" ht="15.75" hidden="false" customHeight="false" outlineLevel="0" collapsed="false">
      <c r="A161" s="3" t="n">
        <v>160</v>
      </c>
      <c r="B161" s="5" t="s">
        <v>16</v>
      </c>
      <c r="C161" s="5" t="s">
        <v>19</v>
      </c>
      <c r="D161" s="5" t="s">
        <v>16</v>
      </c>
      <c r="E161" s="5" t="s">
        <v>19</v>
      </c>
      <c r="F161" s="6" t="n">
        <v>1.56</v>
      </c>
    </row>
    <row r="162" customFormat="false" ht="15.75" hidden="false" customHeight="false" outlineLevel="0" collapsed="false">
      <c r="A162" s="3" t="n">
        <v>161</v>
      </c>
      <c r="B162" s="5" t="s">
        <v>16</v>
      </c>
      <c r="C162" s="5" t="s">
        <v>19</v>
      </c>
      <c r="D162" s="5" t="s">
        <v>16</v>
      </c>
      <c r="E162" s="5" t="s">
        <v>19</v>
      </c>
      <c r="F162" s="6" t="n">
        <v>0.83</v>
      </c>
    </row>
    <row r="163" customFormat="false" ht="15.75" hidden="false" customHeight="false" outlineLevel="0" collapsed="false">
      <c r="A163" s="3" t="n">
        <v>162</v>
      </c>
      <c r="B163" s="5" t="s">
        <v>16</v>
      </c>
      <c r="C163" s="5" t="s">
        <v>19</v>
      </c>
      <c r="D163" s="5" t="s">
        <v>21</v>
      </c>
      <c r="E163" s="5" t="s">
        <v>27</v>
      </c>
      <c r="F163" s="6" t="n">
        <v>16.63</v>
      </c>
    </row>
    <row r="164" customFormat="false" ht="15.75" hidden="false" customHeight="false" outlineLevel="0" collapsed="false">
      <c r="A164" s="3" t="n">
        <v>163</v>
      </c>
      <c r="B164" s="5" t="s">
        <v>21</v>
      </c>
      <c r="C164" s="5" t="s">
        <v>27</v>
      </c>
      <c r="D164" s="5" t="s">
        <v>16</v>
      </c>
      <c r="E164" s="5" t="s">
        <v>93</v>
      </c>
      <c r="F164" s="6" t="n">
        <v>9.39</v>
      </c>
    </row>
    <row r="165" customFormat="false" ht="15.75" hidden="false" customHeight="false" outlineLevel="0" collapsed="false">
      <c r="A165" s="3" t="n">
        <v>164</v>
      </c>
      <c r="B165" s="5" t="s">
        <v>16</v>
      </c>
      <c r="C165" s="5" t="s">
        <v>93</v>
      </c>
      <c r="D165" s="5" t="s">
        <v>16</v>
      </c>
      <c r="E165" s="5" t="s">
        <v>31</v>
      </c>
      <c r="F165" s="6" t="n">
        <v>7.94</v>
      </c>
    </row>
    <row r="166" customFormat="false" ht="15.75" hidden="false" customHeight="false" outlineLevel="0" collapsed="false">
      <c r="A166" s="3" t="n">
        <v>165</v>
      </c>
      <c r="B166" s="5" t="s">
        <v>16</v>
      </c>
      <c r="C166" s="5" t="s">
        <v>31</v>
      </c>
      <c r="D166" s="5" t="s">
        <v>16</v>
      </c>
      <c r="E166" s="5" t="s">
        <v>94</v>
      </c>
      <c r="F166" s="6" t="n">
        <v>4.54</v>
      </c>
    </row>
    <row r="167" customFormat="false" ht="15.75" hidden="false" customHeight="false" outlineLevel="0" collapsed="false">
      <c r="A167" s="3" t="n">
        <v>166</v>
      </c>
      <c r="B167" s="5" t="s">
        <v>16</v>
      </c>
      <c r="C167" s="5" t="s">
        <v>37</v>
      </c>
      <c r="D167" s="5" t="s">
        <v>16</v>
      </c>
      <c r="E167" s="5" t="s">
        <v>30</v>
      </c>
      <c r="F167" s="6" t="n">
        <v>1.37</v>
      </c>
    </row>
    <row r="168" customFormat="false" ht="15.75" hidden="false" customHeight="false" outlineLevel="0" collapsed="false">
      <c r="A168" s="3" t="n">
        <v>167</v>
      </c>
      <c r="B168" s="5" t="s">
        <v>16</v>
      </c>
      <c r="C168" s="5" t="s">
        <v>95</v>
      </c>
      <c r="D168" s="5" t="s">
        <v>16</v>
      </c>
      <c r="E168" s="5" t="s">
        <v>30</v>
      </c>
      <c r="F168" s="6" t="n">
        <v>1.51</v>
      </c>
    </row>
    <row r="169" customFormat="false" ht="15.75" hidden="false" customHeight="false" outlineLevel="0" collapsed="false">
      <c r="A169" s="3" t="n">
        <v>168</v>
      </c>
      <c r="B169" s="5" t="s">
        <v>16</v>
      </c>
      <c r="C169" s="5" t="s">
        <v>57</v>
      </c>
      <c r="D169" s="5" t="s">
        <v>72</v>
      </c>
      <c r="E169" s="5" t="s">
        <v>73</v>
      </c>
      <c r="F169" s="6" t="n">
        <v>11.27</v>
      </c>
    </row>
    <row r="170" customFormat="false" ht="15.75" hidden="false" customHeight="false" outlineLevel="0" collapsed="false">
      <c r="A170" s="3" t="n">
        <v>169</v>
      </c>
      <c r="B170" s="5" t="s">
        <v>16</v>
      </c>
      <c r="C170" s="5" t="s">
        <v>96</v>
      </c>
      <c r="D170" s="5" t="s">
        <v>16</v>
      </c>
      <c r="E170" s="5" t="s">
        <v>30</v>
      </c>
      <c r="F170" s="6" t="n">
        <v>4.44</v>
      </c>
    </row>
    <row r="171" customFormat="false" ht="15.75" hidden="false" customHeight="false" outlineLevel="0" collapsed="false">
      <c r="A171" s="3" t="n">
        <v>170</v>
      </c>
      <c r="B171" s="5" t="s">
        <v>16</v>
      </c>
      <c r="C171" s="5" t="s">
        <v>31</v>
      </c>
      <c r="D171" s="5" t="s">
        <v>21</v>
      </c>
      <c r="E171" s="5" t="s">
        <v>97</v>
      </c>
      <c r="F171" s="6" t="n">
        <v>18.37</v>
      </c>
    </row>
    <row r="172" customFormat="false" ht="15.75" hidden="false" customHeight="false" outlineLevel="0" collapsed="false">
      <c r="A172" s="3" t="n">
        <v>171</v>
      </c>
      <c r="B172" s="5" t="s">
        <v>21</v>
      </c>
      <c r="C172" s="5" t="s">
        <v>98</v>
      </c>
      <c r="D172" s="5" t="s">
        <v>21</v>
      </c>
      <c r="E172" s="5" t="s">
        <v>54</v>
      </c>
      <c r="F172" s="6" t="n">
        <v>2.49</v>
      </c>
    </row>
    <row r="173" customFormat="false" ht="15.75" hidden="false" customHeight="false" outlineLevel="0" collapsed="false">
      <c r="A173" s="3" t="n">
        <v>172</v>
      </c>
      <c r="B173" s="5" t="s">
        <v>21</v>
      </c>
      <c r="C173" s="5" t="s">
        <v>54</v>
      </c>
      <c r="D173" s="5" t="s">
        <v>21</v>
      </c>
      <c r="E173" s="5" t="s">
        <v>22</v>
      </c>
      <c r="F173" s="6" t="n">
        <v>8.53</v>
      </c>
    </row>
    <row r="174" customFormat="false" ht="15.75" hidden="false" customHeight="false" outlineLevel="0" collapsed="false">
      <c r="A174" s="3" t="n">
        <v>173</v>
      </c>
      <c r="B174" s="5" t="s">
        <v>16</v>
      </c>
      <c r="C174" s="5" t="s">
        <v>24</v>
      </c>
      <c r="D174" s="5" t="s">
        <v>21</v>
      </c>
      <c r="E174" s="5" t="s">
        <v>23</v>
      </c>
      <c r="F174" s="6" t="n">
        <v>3.23</v>
      </c>
    </row>
    <row r="175" customFormat="false" ht="15.75" hidden="false" customHeight="false" outlineLevel="0" collapsed="false">
      <c r="A175" s="3" t="n">
        <v>174</v>
      </c>
      <c r="B175" s="5" t="s">
        <v>36</v>
      </c>
      <c r="C175" s="5" t="s">
        <v>36</v>
      </c>
      <c r="D175" s="5" t="s">
        <v>36</v>
      </c>
      <c r="E175" s="5" t="s">
        <v>36</v>
      </c>
      <c r="F175" s="6" t="s">
        <v>36</v>
      </c>
    </row>
    <row r="176" customFormat="false" ht="15.75" hidden="false" customHeight="false" outlineLevel="0" collapsed="false">
      <c r="A176" s="3" t="n">
        <v>175</v>
      </c>
      <c r="B176" s="5" t="s">
        <v>21</v>
      </c>
      <c r="C176" s="5" t="s">
        <v>44</v>
      </c>
      <c r="D176" s="5" t="s">
        <v>21</v>
      </c>
      <c r="E176" s="5" t="s">
        <v>20</v>
      </c>
      <c r="F176" s="6" t="n">
        <v>1.47</v>
      </c>
    </row>
    <row r="177" customFormat="false" ht="15.75" hidden="false" customHeight="false" outlineLevel="0" collapsed="false">
      <c r="A177" s="3" t="n">
        <v>176</v>
      </c>
      <c r="B177" s="5" t="s">
        <v>21</v>
      </c>
      <c r="C177" s="5" t="s">
        <v>64</v>
      </c>
      <c r="D177" s="5" t="s">
        <v>16</v>
      </c>
      <c r="E177" s="5" t="s">
        <v>22</v>
      </c>
      <c r="F177" s="6" t="n">
        <v>3.78</v>
      </c>
    </row>
    <row r="178" customFormat="false" ht="15.75" hidden="false" customHeight="false" outlineLevel="0" collapsed="false">
      <c r="A178" s="3" t="n">
        <v>177</v>
      </c>
      <c r="B178" s="5" t="s">
        <v>16</v>
      </c>
      <c r="C178" s="5" t="s">
        <v>22</v>
      </c>
      <c r="D178" s="5" t="s">
        <v>21</v>
      </c>
      <c r="E178" s="5" t="s">
        <v>20</v>
      </c>
      <c r="F178" s="6" t="n">
        <v>5.11</v>
      </c>
    </row>
    <row r="179" customFormat="false" ht="15.75" hidden="false" customHeight="false" outlineLevel="0" collapsed="false">
      <c r="A179" s="3" t="n">
        <v>178</v>
      </c>
      <c r="B179" s="5" t="s">
        <v>21</v>
      </c>
      <c r="C179" s="5" t="s">
        <v>64</v>
      </c>
      <c r="D179" s="5" t="s">
        <v>21</v>
      </c>
      <c r="E179" s="5" t="s">
        <v>20</v>
      </c>
      <c r="F179" s="6" t="n">
        <v>1.24</v>
      </c>
    </row>
    <row r="180" customFormat="false" ht="15.75" hidden="false" customHeight="false" outlineLevel="0" collapsed="false">
      <c r="A180" s="3" t="n">
        <v>179</v>
      </c>
      <c r="B180" s="5" t="s">
        <v>21</v>
      </c>
      <c r="C180" s="5" t="s">
        <v>64</v>
      </c>
      <c r="D180" s="5" t="s">
        <v>21</v>
      </c>
      <c r="E180" s="5" t="s">
        <v>87</v>
      </c>
      <c r="F180" s="6" t="n">
        <v>4.14</v>
      </c>
    </row>
    <row r="181" customFormat="false" ht="15.75" hidden="false" customHeight="false" outlineLevel="0" collapsed="false">
      <c r="A181" s="3" t="n">
        <v>180</v>
      </c>
      <c r="B181" s="5" t="s">
        <v>21</v>
      </c>
      <c r="C181" s="5" t="s">
        <v>87</v>
      </c>
      <c r="D181" s="5" t="s">
        <v>21</v>
      </c>
      <c r="E181" s="5" t="s">
        <v>20</v>
      </c>
      <c r="F181" s="6" t="n">
        <v>2.79</v>
      </c>
    </row>
    <row r="182" customFormat="false" ht="15.75" hidden="false" customHeight="false" outlineLevel="0" collapsed="false">
      <c r="A182" s="3" t="n">
        <v>181</v>
      </c>
      <c r="B182" s="5" t="s">
        <v>21</v>
      </c>
      <c r="C182" s="5" t="s">
        <v>64</v>
      </c>
      <c r="D182" s="5" t="s">
        <v>16</v>
      </c>
      <c r="E182" s="5" t="s">
        <v>30</v>
      </c>
      <c r="F182" s="6" t="n">
        <v>14.37</v>
      </c>
    </row>
    <row r="183" customFormat="false" ht="15.75" hidden="false" customHeight="false" outlineLevel="0" collapsed="false">
      <c r="A183" s="3" t="n">
        <v>182</v>
      </c>
      <c r="B183" s="5" t="s">
        <v>16</v>
      </c>
      <c r="C183" s="5" t="s">
        <v>30</v>
      </c>
      <c r="D183" s="5" t="s">
        <v>16</v>
      </c>
      <c r="E183" s="5" t="s">
        <v>31</v>
      </c>
      <c r="F183" s="6" t="n">
        <v>1.41</v>
      </c>
    </row>
    <row r="184" customFormat="false" ht="15.75" hidden="false" customHeight="false" outlineLevel="0" collapsed="false">
      <c r="A184" s="3" t="n">
        <v>183</v>
      </c>
      <c r="B184" s="5" t="s">
        <v>16</v>
      </c>
      <c r="C184" s="5" t="s">
        <v>19</v>
      </c>
      <c r="D184" s="5" t="s">
        <v>16</v>
      </c>
      <c r="E184" s="5" t="s">
        <v>86</v>
      </c>
      <c r="F184" s="6" t="n">
        <v>4.84</v>
      </c>
    </row>
    <row r="185" customFormat="false" ht="15.75" hidden="false" customHeight="false" outlineLevel="0" collapsed="false">
      <c r="A185" s="3" t="n">
        <v>184</v>
      </c>
      <c r="B185" s="5" t="s">
        <v>16</v>
      </c>
      <c r="C185" s="5" t="s">
        <v>42</v>
      </c>
      <c r="D185" s="5" t="s">
        <v>16</v>
      </c>
      <c r="E185" s="5" t="s">
        <v>30</v>
      </c>
      <c r="F185" s="6" t="n">
        <v>4.57</v>
      </c>
    </row>
    <row r="186" customFormat="false" ht="15.75" hidden="false" customHeight="false" outlineLevel="0" collapsed="false">
      <c r="A186" s="3" t="n">
        <v>185</v>
      </c>
      <c r="B186" s="5" t="s">
        <v>16</v>
      </c>
      <c r="C186" s="5" t="s">
        <v>31</v>
      </c>
      <c r="D186" s="5" t="s">
        <v>16</v>
      </c>
      <c r="E186" s="5" t="s">
        <v>99</v>
      </c>
      <c r="F186" s="6" t="n">
        <v>4.42</v>
      </c>
    </row>
    <row r="187" customFormat="false" ht="15.75" hidden="false" customHeight="false" outlineLevel="0" collapsed="false">
      <c r="A187" s="3" t="n">
        <v>186</v>
      </c>
      <c r="B187" s="5" t="s">
        <v>16</v>
      </c>
      <c r="C187" s="5" t="s">
        <v>99</v>
      </c>
      <c r="D187" s="5" t="s">
        <v>16</v>
      </c>
      <c r="E187" s="5" t="s">
        <v>99</v>
      </c>
      <c r="F187" s="6" t="n">
        <v>0.55</v>
      </c>
    </row>
    <row r="188" customFormat="false" ht="15.75" hidden="false" customHeight="false" outlineLevel="0" collapsed="false">
      <c r="A188" s="3" t="n">
        <v>187</v>
      </c>
      <c r="B188" s="5" t="s">
        <v>36</v>
      </c>
      <c r="C188" s="5" t="s">
        <v>36</v>
      </c>
      <c r="D188" s="5" t="s">
        <v>36</v>
      </c>
      <c r="E188" s="5" t="s">
        <v>36</v>
      </c>
      <c r="F188" s="6" t="s">
        <v>36</v>
      </c>
    </row>
    <row r="189" customFormat="false" ht="15.75" hidden="false" customHeight="false" outlineLevel="0" collapsed="false">
      <c r="A189" s="3" t="n">
        <v>188</v>
      </c>
      <c r="B189" s="5" t="s">
        <v>16</v>
      </c>
      <c r="C189" s="5" t="s">
        <v>52</v>
      </c>
      <c r="D189" s="5" t="s">
        <v>16</v>
      </c>
      <c r="E189" s="5" t="s">
        <v>31</v>
      </c>
      <c r="F189" s="6" t="n">
        <v>7.34</v>
      </c>
    </row>
    <row r="190" customFormat="false" ht="15.75" hidden="false" customHeight="false" outlineLevel="0" collapsed="false">
      <c r="A190" s="3" t="n">
        <v>189</v>
      </c>
      <c r="B190" s="5" t="s">
        <v>16</v>
      </c>
      <c r="C190" s="5" t="s">
        <v>31</v>
      </c>
      <c r="D190" s="5" t="s">
        <v>16</v>
      </c>
      <c r="E190" s="5" t="s">
        <v>93</v>
      </c>
      <c r="F190" s="6" t="n">
        <v>6.55</v>
      </c>
    </row>
    <row r="191" customFormat="false" ht="15.75" hidden="false" customHeight="false" outlineLevel="0" collapsed="false">
      <c r="A191" s="3" t="n">
        <v>190</v>
      </c>
      <c r="B191" s="5" t="s">
        <v>16</v>
      </c>
      <c r="C191" s="5" t="s">
        <v>52</v>
      </c>
      <c r="D191" s="5" t="s">
        <v>72</v>
      </c>
      <c r="E191" s="5" t="s">
        <v>100</v>
      </c>
      <c r="F191" s="6" t="n">
        <v>27.65</v>
      </c>
    </row>
    <row r="192" customFormat="false" ht="15.75" hidden="false" customHeight="false" outlineLevel="0" collapsed="false">
      <c r="A192" s="3" t="n">
        <v>191</v>
      </c>
      <c r="B192" s="5" t="s">
        <v>72</v>
      </c>
      <c r="C192" s="5" t="s">
        <v>101</v>
      </c>
      <c r="D192" s="5" t="s">
        <v>72</v>
      </c>
      <c r="E192" s="5" t="s">
        <v>102</v>
      </c>
      <c r="F192" s="6" t="n">
        <v>2.25</v>
      </c>
    </row>
    <row r="193" customFormat="false" ht="15.75" hidden="false" customHeight="false" outlineLevel="0" collapsed="false">
      <c r="A193" s="3" t="n">
        <v>192</v>
      </c>
      <c r="B193" s="5" t="s">
        <v>72</v>
      </c>
      <c r="C193" s="5" t="s">
        <v>72</v>
      </c>
      <c r="D193" s="5" t="s">
        <v>72</v>
      </c>
      <c r="E193" s="5" t="s">
        <v>72</v>
      </c>
      <c r="F193" s="6" t="n">
        <v>6.48</v>
      </c>
    </row>
    <row r="194" customFormat="false" ht="15.75" hidden="false" customHeight="false" outlineLevel="0" collapsed="false">
      <c r="A194" s="3" t="n">
        <v>193</v>
      </c>
      <c r="B194" s="5" t="s">
        <v>72</v>
      </c>
      <c r="C194" s="5" t="s">
        <v>101</v>
      </c>
      <c r="D194" s="5" t="s">
        <v>16</v>
      </c>
      <c r="E194" s="5" t="s">
        <v>103</v>
      </c>
      <c r="F194" s="6" t="n">
        <v>9.24</v>
      </c>
    </row>
    <row r="195" customFormat="false" ht="15.75" hidden="false" customHeight="false" outlineLevel="0" collapsed="false">
      <c r="A195" s="3" t="n">
        <v>194</v>
      </c>
      <c r="B195" s="5" t="s">
        <v>72</v>
      </c>
      <c r="C195" s="5" t="s">
        <v>73</v>
      </c>
      <c r="D195" s="5" t="s">
        <v>16</v>
      </c>
      <c r="E195" s="5" t="s">
        <v>37</v>
      </c>
      <c r="F195" s="6" t="n">
        <v>10.78</v>
      </c>
    </row>
    <row r="196" customFormat="false" ht="15.75" hidden="false" customHeight="false" outlineLevel="0" collapsed="false">
      <c r="A196" s="3" t="n">
        <v>195</v>
      </c>
      <c r="B196" s="5" t="s">
        <v>16</v>
      </c>
      <c r="C196" s="5" t="s">
        <v>31</v>
      </c>
      <c r="D196" s="5" t="s">
        <v>16</v>
      </c>
      <c r="E196" s="5" t="s">
        <v>57</v>
      </c>
      <c r="F196" s="6" t="n">
        <v>2.37</v>
      </c>
    </row>
    <row r="197" customFormat="false" ht="15.75" hidden="false" customHeight="false" outlineLevel="0" collapsed="false">
      <c r="A197" s="3" t="n">
        <v>196</v>
      </c>
      <c r="B197" s="5" t="s">
        <v>16</v>
      </c>
      <c r="C197" s="5" t="s">
        <v>57</v>
      </c>
      <c r="D197" s="5" t="s">
        <v>16</v>
      </c>
      <c r="E197" s="5" t="s">
        <v>30</v>
      </c>
      <c r="F197" s="6" t="n">
        <v>0.88</v>
      </c>
    </row>
    <row r="198" customFormat="false" ht="15.75" hidden="false" customHeight="false" outlineLevel="0" collapsed="false">
      <c r="A198" s="3" t="n">
        <v>197</v>
      </c>
      <c r="B198" s="5" t="s">
        <v>16</v>
      </c>
      <c r="C198" s="5" t="s">
        <v>30</v>
      </c>
      <c r="D198" s="5" t="s">
        <v>16</v>
      </c>
      <c r="E198" s="5" t="s">
        <v>17</v>
      </c>
      <c r="F198" s="6" t="n">
        <v>1.1</v>
      </c>
    </row>
    <row r="199" customFormat="false" ht="15.75" hidden="false" customHeight="false" outlineLevel="0" collapsed="false">
      <c r="A199" s="3" t="n">
        <v>198</v>
      </c>
      <c r="B199" s="5" t="s">
        <v>16</v>
      </c>
      <c r="C199" s="5" t="s">
        <v>17</v>
      </c>
      <c r="D199" s="5" t="s">
        <v>16</v>
      </c>
      <c r="E199" s="5" t="s">
        <v>18</v>
      </c>
      <c r="F199" s="6" t="n">
        <v>7.75</v>
      </c>
    </row>
    <row r="200" customFormat="false" ht="15.75" hidden="false" customHeight="false" outlineLevel="0" collapsed="false">
      <c r="A200" s="3" t="n">
        <v>199</v>
      </c>
      <c r="B200" s="5" t="s">
        <v>16</v>
      </c>
      <c r="C200" s="5" t="s">
        <v>18</v>
      </c>
      <c r="D200" s="5" t="s">
        <v>21</v>
      </c>
      <c r="E200" s="5" t="s">
        <v>104</v>
      </c>
      <c r="F200" s="6" t="n">
        <v>16.45</v>
      </c>
    </row>
    <row r="201" customFormat="false" ht="15.75" hidden="false" customHeight="false" outlineLevel="0" collapsed="false">
      <c r="A201" s="3" t="n">
        <v>200</v>
      </c>
      <c r="B201" s="5" t="s">
        <v>21</v>
      </c>
      <c r="C201" s="5" t="s">
        <v>54</v>
      </c>
      <c r="D201" s="5" t="s">
        <v>72</v>
      </c>
      <c r="E201" s="5" t="s">
        <v>105</v>
      </c>
      <c r="F201" s="6" t="n">
        <v>25.34</v>
      </c>
    </row>
    <row r="202" customFormat="false" ht="15.75" hidden="false" customHeight="false" outlineLevel="0" collapsed="false">
      <c r="A202" s="3" t="n">
        <v>201</v>
      </c>
      <c r="B202" s="5" t="s">
        <v>16</v>
      </c>
      <c r="C202" s="5" t="s">
        <v>106</v>
      </c>
      <c r="D202" s="5" t="s">
        <v>72</v>
      </c>
      <c r="E202" s="5" t="s">
        <v>89</v>
      </c>
      <c r="F202" s="6" t="n">
        <v>16.43</v>
      </c>
    </row>
    <row r="203" customFormat="false" ht="15.75" hidden="false" customHeight="false" outlineLevel="0" collapsed="false">
      <c r="A203" s="3" t="n">
        <v>202</v>
      </c>
      <c r="B203" s="5" t="s">
        <v>16</v>
      </c>
      <c r="C203" s="5" t="s">
        <v>105</v>
      </c>
      <c r="D203" s="5" t="s">
        <v>16</v>
      </c>
      <c r="E203" s="5" t="s">
        <v>57</v>
      </c>
      <c r="F203" s="6" t="n">
        <v>6.8</v>
      </c>
    </row>
    <row r="204" customFormat="false" ht="15.75" hidden="false" customHeight="false" outlineLevel="0" collapsed="false">
      <c r="A204" s="3" t="n">
        <v>203</v>
      </c>
      <c r="B204" s="5" t="s">
        <v>72</v>
      </c>
      <c r="C204" s="5" t="s">
        <v>89</v>
      </c>
      <c r="D204" s="5" t="s">
        <v>16</v>
      </c>
      <c r="E204" s="5" t="s">
        <v>33</v>
      </c>
      <c r="F204" s="6" t="n">
        <v>20.15</v>
      </c>
    </row>
    <row r="205" customFormat="false" ht="15.75" hidden="false" customHeight="false" outlineLevel="0" collapsed="false">
      <c r="A205" s="3" t="n">
        <v>204</v>
      </c>
      <c r="B205" s="5" t="s">
        <v>16</v>
      </c>
      <c r="C205" s="5" t="s">
        <v>34</v>
      </c>
      <c r="D205" s="5" t="s">
        <v>16</v>
      </c>
      <c r="E205" s="5" t="s">
        <v>68</v>
      </c>
      <c r="F205" s="6" t="n">
        <v>5.37</v>
      </c>
    </row>
    <row r="206" customFormat="false" ht="15.75" hidden="false" customHeight="false" outlineLevel="0" collapsed="false">
      <c r="A206" s="3" t="n">
        <v>205</v>
      </c>
      <c r="B206" s="5" t="s">
        <v>16</v>
      </c>
      <c r="C206" s="5" t="s">
        <v>31</v>
      </c>
      <c r="D206" s="5" t="s">
        <v>16</v>
      </c>
      <c r="E206" s="5" t="s">
        <v>34</v>
      </c>
      <c r="F206" s="6" t="n">
        <v>3.42</v>
      </c>
    </row>
    <row r="207" customFormat="false" ht="15.75" hidden="false" customHeight="false" outlineLevel="0" collapsed="false">
      <c r="A207" s="3" t="n">
        <v>206</v>
      </c>
      <c r="B207" s="5" t="s">
        <v>16</v>
      </c>
      <c r="C207" s="5" t="s">
        <v>34</v>
      </c>
      <c r="D207" s="5" t="s">
        <v>16</v>
      </c>
      <c r="E207" s="5" t="s">
        <v>17</v>
      </c>
      <c r="F207" s="6" t="n">
        <v>6.13</v>
      </c>
    </row>
    <row r="208" customFormat="false" ht="15.75" hidden="false" customHeight="false" outlineLevel="0" collapsed="false">
      <c r="A208" s="3" t="n">
        <v>207</v>
      </c>
      <c r="B208" s="5" t="s">
        <v>16</v>
      </c>
      <c r="C208" s="5" t="s">
        <v>31</v>
      </c>
      <c r="D208" s="5" t="s">
        <v>16</v>
      </c>
      <c r="E208" s="5" t="s">
        <v>28</v>
      </c>
      <c r="F208" s="6" t="n">
        <v>3.8</v>
      </c>
    </row>
    <row r="209" customFormat="false" ht="15.75" hidden="false" customHeight="false" outlineLevel="0" collapsed="false">
      <c r="A209" s="3" t="n">
        <v>208</v>
      </c>
      <c r="B209" s="5" t="s">
        <v>16</v>
      </c>
      <c r="C209" s="5" t="s">
        <v>28</v>
      </c>
      <c r="D209" s="5" t="s">
        <v>16</v>
      </c>
      <c r="E209" s="5" t="s">
        <v>107</v>
      </c>
      <c r="F209" s="6" t="n">
        <v>3.95</v>
      </c>
    </row>
    <row r="210" customFormat="false" ht="15.75" hidden="false" customHeight="false" outlineLevel="0" collapsed="false">
      <c r="A210" s="3" t="n">
        <v>209</v>
      </c>
      <c r="B210" s="5" t="s">
        <v>16</v>
      </c>
      <c r="C210" s="5" t="s">
        <v>108</v>
      </c>
      <c r="D210" s="5" t="s">
        <v>21</v>
      </c>
      <c r="E210" s="5" t="s">
        <v>87</v>
      </c>
      <c r="F210" s="6" t="n">
        <v>12.27</v>
      </c>
    </row>
    <row r="211" customFormat="false" ht="15.75" hidden="false" customHeight="false" outlineLevel="0" collapsed="false">
      <c r="A211" s="3" t="n">
        <v>210</v>
      </c>
      <c r="B211" s="5" t="s">
        <v>16</v>
      </c>
      <c r="C211" s="5" t="s">
        <v>109</v>
      </c>
      <c r="D211" s="5" t="s">
        <v>16</v>
      </c>
      <c r="E211" s="5" t="s">
        <v>109</v>
      </c>
      <c r="F211" s="6" t="s">
        <v>36</v>
      </c>
    </row>
    <row r="212" customFormat="false" ht="15.75" hidden="false" customHeight="false" outlineLevel="0" collapsed="false">
      <c r="A212" s="3" t="n">
        <v>211</v>
      </c>
      <c r="B212" s="5" t="s">
        <v>16</v>
      </c>
      <c r="C212" s="5" t="s">
        <v>34</v>
      </c>
      <c r="D212" s="5" t="s">
        <v>16</v>
      </c>
      <c r="E212" s="5" t="s">
        <v>31</v>
      </c>
      <c r="F212" s="6" t="n">
        <v>5.95</v>
      </c>
    </row>
    <row r="213" customFormat="false" ht="15.75" hidden="false" customHeight="false" outlineLevel="0" collapsed="false">
      <c r="A213" s="3" t="n">
        <v>212</v>
      </c>
      <c r="B213" s="5" t="s">
        <v>16</v>
      </c>
      <c r="C213" s="5" t="s">
        <v>31</v>
      </c>
      <c r="D213" s="5" t="s">
        <v>16</v>
      </c>
      <c r="E213" s="5" t="s">
        <v>19</v>
      </c>
      <c r="F213" s="6" t="n">
        <v>1.27</v>
      </c>
    </row>
    <row r="214" customFormat="false" ht="15.75" hidden="false" customHeight="false" outlineLevel="0" collapsed="false">
      <c r="A214" s="3" t="n">
        <v>213</v>
      </c>
      <c r="B214" s="5" t="s">
        <v>16</v>
      </c>
      <c r="C214" s="5" t="s">
        <v>19</v>
      </c>
      <c r="D214" s="5" t="s">
        <v>16</v>
      </c>
      <c r="E214" s="5" t="s">
        <v>30</v>
      </c>
      <c r="F214" s="6" t="n">
        <v>2.31</v>
      </c>
    </row>
    <row r="215" customFormat="false" ht="15.75" hidden="false" customHeight="false" outlineLevel="0" collapsed="false">
      <c r="A215" s="3" t="n">
        <v>214</v>
      </c>
      <c r="B215" s="5" t="s">
        <v>16</v>
      </c>
      <c r="C215" s="5" t="s">
        <v>30</v>
      </c>
      <c r="D215" s="5" t="s">
        <v>16</v>
      </c>
      <c r="E215" s="5" t="s">
        <v>85</v>
      </c>
      <c r="F215" s="6" t="n">
        <v>5.17</v>
      </c>
    </row>
    <row r="216" customFormat="false" ht="15.75" hidden="false" customHeight="false" outlineLevel="0" collapsed="false">
      <c r="A216" s="3" t="n">
        <v>215</v>
      </c>
      <c r="B216" s="5" t="s">
        <v>16</v>
      </c>
      <c r="C216" s="5" t="s">
        <v>85</v>
      </c>
      <c r="D216" s="5" t="s">
        <v>16</v>
      </c>
      <c r="E216" s="5" t="s">
        <v>99</v>
      </c>
      <c r="F216" s="6" t="n">
        <v>9.79</v>
      </c>
    </row>
    <row r="217" customFormat="false" ht="15.75" hidden="false" customHeight="false" outlineLevel="0" collapsed="false">
      <c r="A217" s="3" t="n">
        <v>216</v>
      </c>
      <c r="B217" s="5" t="s">
        <v>16</v>
      </c>
      <c r="C217" s="5" t="s">
        <v>28</v>
      </c>
      <c r="D217" s="5" t="s">
        <v>16</v>
      </c>
      <c r="E217" s="5" t="s">
        <v>42</v>
      </c>
      <c r="F217" s="6" t="n">
        <v>1.71</v>
      </c>
    </row>
    <row r="218" customFormat="false" ht="15.75" hidden="false" customHeight="false" outlineLevel="0" collapsed="false">
      <c r="A218" s="3" t="n">
        <v>217</v>
      </c>
      <c r="B218" s="5" t="s">
        <v>16</v>
      </c>
      <c r="C218" s="5" t="s">
        <v>42</v>
      </c>
      <c r="D218" s="5" t="s">
        <v>16</v>
      </c>
      <c r="E218" s="5" t="s">
        <v>31</v>
      </c>
      <c r="F218" s="6" t="n">
        <v>2.27</v>
      </c>
    </row>
    <row r="219" customFormat="false" ht="15.75" hidden="false" customHeight="false" outlineLevel="0" collapsed="false">
      <c r="A219" s="3" t="n">
        <v>218</v>
      </c>
      <c r="B219" s="5" t="s">
        <v>16</v>
      </c>
      <c r="C219" s="5" t="s">
        <v>42</v>
      </c>
      <c r="D219" s="5" t="s">
        <v>16</v>
      </c>
      <c r="E219" s="5" t="s">
        <v>42</v>
      </c>
      <c r="F219" s="6" t="n">
        <v>0.73</v>
      </c>
    </row>
    <row r="220" customFormat="false" ht="15.75" hidden="false" customHeight="false" outlineLevel="0" collapsed="false">
      <c r="A220" s="3" t="n">
        <v>219</v>
      </c>
      <c r="B220" s="5" t="s">
        <v>16</v>
      </c>
      <c r="C220" s="5" t="s">
        <v>52</v>
      </c>
      <c r="D220" s="5" t="s">
        <v>21</v>
      </c>
      <c r="E220" s="5" t="s">
        <v>22</v>
      </c>
      <c r="F220" s="6" t="n">
        <v>5.05</v>
      </c>
    </row>
    <row r="221" customFormat="false" ht="15.75" hidden="false" customHeight="false" outlineLevel="0" collapsed="false">
      <c r="A221" s="3" t="n">
        <v>220</v>
      </c>
      <c r="B221" s="5" t="s">
        <v>21</v>
      </c>
      <c r="C221" s="5" t="s">
        <v>22</v>
      </c>
      <c r="D221" s="5" t="s">
        <v>16</v>
      </c>
      <c r="E221" s="5" t="s">
        <v>28</v>
      </c>
      <c r="F221" s="6" t="n">
        <v>8.21</v>
      </c>
    </row>
    <row r="222" customFormat="false" ht="15.75" hidden="false" customHeight="false" outlineLevel="0" collapsed="false">
      <c r="A222" s="3" t="n">
        <v>221</v>
      </c>
      <c r="B222" s="5" t="s">
        <v>16</v>
      </c>
      <c r="C222" s="5" t="s">
        <v>28</v>
      </c>
      <c r="D222" s="5" t="s">
        <v>16</v>
      </c>
      <c r="E222" s="5" t="s">
        <v>56</v>
      </c>
      <c r="F222" s="6" t="n">
        <v>3.55</v>
      </c>
    </row>
    <row r="223" customFormat="false" ht="15.75" hidden="false" customHeight="false" outlineLevel="0" collapsed="false">
      <c r="A223" s="3" t="n">
        <v>222</v>
      </c>
      <c r="B223" s="5" t="s">
        <v>16</v>
      </c>
      <c r="C223" s="5" t="s">
        <v>38</v>
      </c>
      <c r="D223" s="5" t="s">
        <v>16</v>
      </c>
      <c r="E223" s="5" t="s">
        <v>42</v>
      </c>
      <c r="F223" s="6" t="n">
        <v>5.35</v>
      </c>
    </row>
    <row r="224" customFormat="false" ht="15.75" hidden="false" customHeight="false" outlineLevel="0" collapsed="false">
      <c r="A224" s="3" t="n">
        <v>223</v>
      </c>
      <c r="B224" s="5" t="s">
        <v>16</v>
      </c>
      <c r="C224" s="5" t="s">
        <v>31</v>
      </c>
      <c r="D224" s="5" t="s">
        <v>16</v>
      </c>
      <c r="E224" s="5" t="s">
        <v>93</v>
      </c>
      <c r="F224" s="6" t="n">
        <v>6.79</v>
      </c>
    </row>
    <row r="225" customFormat="false" ht="15.75" hidden="false" customHeight="false" outlineLevel="0" collapsed="false">
      <c r="A225" s="3" t="n">
        <v>224</v>
      </c>
      <c r="B225" s="5" t="s">
        <v>16</v>
      </c>
      <c r="C225" s="5" t="s">
        <v>48</v>
      </c>
      <c r="D225" s="5" t="s">
        <v>21</v>
      </c>
      <c r="E225" s="5" t="s">
        <v>22</v>
      </c>
      <c r="F225" s="6" t="n">
        <v>6.43</v>
      </c>
    </row>
    <row r="226" customFormat="false" ht="15.75" hidden="false" customHeight="false" outlineLevel="0" collapsed="false">
      <c r="A226" s="3" t="n">
        <v>225</v>
      </c>
      <c r="B226" s="5" t="s">
        <v>21</v>
      </c>
      <c r="C226" s="5" t="s">
        <v>22</v>
      </c>
      <c r="D226" s="5" t="s">
        <v>21</v>
      </c>
      <c r="E226" s="5" t="s">
        <v>58</v>
      </c>
      <c r="F226" s="6" t="n">
        <v>3.15</v>
      </c>
    </row>
    <row r="227" customFormat="false" ht="15.75" hidden="false" customHeight="false" outlineLevel="0" collapsed="false">
      <c r="A227" s="3" t="n">
        <v>226</v>
      </c>
      <c r="B227" s="5" t="s">
        <v>21</v>
      </c>
      <c r="C227" s="5" t="s">
        <v>64</v>
      </c>
      <c r="D227" s="5" t="s">
        <v>16</v>
      </c>
      <c r="E227" s="5" t="s">
        <v>33</v>
      </c>
      <c r="F227" s="6" t="n">
        <v>10.43</v>
      </c>
    </row>
    <row r="228" customFormat="false" ht="15.75" hidden="false" customHeight="false" outlineLevel="0" collapsed="false">
      <c r="A228" s="3" t="n">
        <v>227</v>
      </c>
      <c r="B228" s="5" t="s">
        <v>16</v>
      </c>
      <c r="C228" s="5" t="s">
        <v>110</v>
      </c>
      <c r="D228" s="5" t="s">
        <v>16</v>
      </c>
      <c r="E228" s="5" t="s">
        <v>51</v>
      </c>
      <c r="F228" s="6" t="n">
        <v>5</v>
      </c>
    </row>
    <row r="229" customFormat="false" ht="15.75" hidden="false" customHeight="false" outlineLevel="0" collapsed="false">
      <c r="A229" s="3" t="n">
        <v>228</v>
      </c>
      <c r="B229" s="5" t="s">
        <v>16</v>
      </c>
      <c r="C229" s="5" t="s">
        <v>51</v>
      </c>
      <c r="D229" s="5" t="s">
        <v>16</v>
      </c>
      <c r="E229" s="5" t="s">
        <v>111</v>
      </c>
      <c r="F229" s="6" t="n">
        <v>4.13</v>
      </c>
    </row>
    <row r="230" customFormat="false" ht="15.75" hidden="false" customHeight="false" outlineLevel="0" collapsed="false">
      <c r="A230" s="3" t="n">
        <v>229</v>
      </c>
      <c r="B230" s="5" t="s">
        <v>16</v>
      </c>
      <c r="C230" s="5" t="s">
        <v>48</v>
      </c>
      <c r="D230" s="5" t="s">
        <v>16</v>
      </c>
      <c r="E230" s="5" t="s">
        <v>27</v>
      </c>
      <c r="F230" s="6" t="n">
        <v>4.5</v>
      </c>
    </row>
    <row r="231" customFormat="false" ht="15.75" hidden="false" customHeight="false" outlineLevel="0" collapsed="false">
      <c r="A231" s="3" t="n">
        <v>230</v>
      </c>
      <c r="B231" s="5" t="s">
        <v>16</v>
      </c>
      <c r="C231" s="5" t="s">
        <v>27</v>
      </c>
      <c r="D231" s="5" t="s">
        <v>16</v>
      </c>
      <c r="E231" s="5" t="s">
        <v>112</v>
      </c>
      <c r="F231" s="6" t="n">
        <v>1.87</v>
      </c>
    </row>
    <row r="232" customFormat="false" ht="15.75" hidden="false" customHeight="false" outlineLevel="0" collapsed="false">
      <c r="A232" s="3" t="n">
        <v>231</v>
      </c>
      <c r="B232" s="5" t="s">
        <v>16</v>
      </c>
      <c r="C232" s="5" t="s">
        <v>26</v>
      </c>
      <c r="D232" s="5" t="s">
        <v>16</v>
      </c>
      <c r="E232" s="5" t="s">
        <v>27</v>
      </c>
      <c r="F232" s="6" t="n">
        <v>1.39</v>
      </c>
    </row>
    <row r="233" customFormat="false" ht="15.75" hidden="false" customHeight="false" outlineLevel="0" collapsed="false">
      <c r="A233" s="3" t="n">
        <v>232</v>
      </c>
      <c r="B233" s="5" t="s">
        <v>16</v>
      </c>
      <c r="C233" s="5" t="s">
        <v>27</v>
      </c>
      <c r="D233" s="5" t="s">
        <v>16</v>
      </c>
      <c r="E233" s="5" t="s">
        <v>77</v>
      </c>
      <c r="F233" s="6" t="n">
        <v>7.19</v>
      </c>
    </row>
    <row r="234" customFormat="false" ht="15.75" hidden="false" customHeight="false" outlineLevel="0" collapsed="false">
      <c r="A234" s="3" t="n">
        <v>233</v>
      </c>
      <c r="B234" s="5" t="s">
        <v>16</v>
      </c>
      <c r="C234" s="5" t="s">
        <v>77</v>
      </c>
      <c r="D234" s="5" t="s">
        <v>16</v>
      </c>
      <c r="E234" s="5" t="s">
        <v>31</v>
      </c>
      <c r="F234" s="6" t="n">
        <v>5.84</v>
      </c>
    </row>
    <row r="235" customFormat="false" ht="15.75" hidden="false" customHeight="false" outlineLevel="0" collapsed="false">
      <c r="A235" s="3" t="n">
        <v>234</v>
      </c>
      <c r="B235" s="5" t="s">
        <v>16</v>
      </c>
      <c r="C235" s="5" t="s">
        <v>31</v>
      </c>
      <c r="D235" s="5" t="s">
        <v>16</v>
      </c>
      <c r="E235" s="5" t="s">
        <v>30</v>
      </c>
      <c r="F235" s="6" t="n">
        <v>2.94</v>
      </c>
    </row>
    <row r="236" customFormat="false" ht="15.75" hidden="false" customHeight="false" outlineLevel="0" collapsed="false">
      <c r="A236" s="3" t="n">
        <v>235</v>
      </c>
      <c r="B236" s="5" t="s">
        <v>16</v>
      </c>
      <c r="C236" s="5" t="s">
        <v>30</v>
      </c>
      <c r="D236" s="5" t="s">
        <v>16</v>
      </c>
      <c r="E236" s="5" t="s">
        <v>40</v>
      </c>
      <c r="F236" s="6" t="n">
        <v>9.29</v>
      </c>
    </row>
    <row r="237" customFormat="false" ht="15.75" hidden="false" customHeight="false" outlineLevel="0" collapsed="false">
      <c r="A237" s="3" t="n">
        <v>236</v>
      </c>
      <c r="B237" s="5" t="s">
        <v>16</v>
      </c>
      <c r="C237" s="5" t="s">
        <v>52</v>
      </c>
      <c r="D237" s="5" t="s">
        <v>16</v>
      </c>
      <c r="E237" s="5" t="s">
        <v>30</v>
      </c>
      <c r="F237" s="6" t="n">
        <v>5.78</v>
      </c>
    </row>
    <row r="238" customFormat="false" ht="15.75" hidden="false" customHeight="false" outlineLevel="0" collapsed="false">
      <c r="A238" s="3" t="n">
        <v>237</v>
      </c>
      <c r="B238" s="5" t="s">
        <v>36</v>
      </c>
      <c r="C238" s="5" t="s">
        <v>36</v>
      </c>
      <c r="D238" s="5" t="s">
        <v>36</v>
      </c>
      <c r="E238" s="5" t="s">
        <v>36</v>
      </c>
      <c r="F238" s="6" t="s">
        <v>36</v>
      </c>
    </row>
    <row r="239" customFormat="false" ht="15.75" hidden="false" customHeight="false" outlineLevel="0" collapsed="false">
      <c r="A239" s="3" t="n">
        <v>238</v>
      </c>
      <c r="B239" s="5" t="s">
        <v>16</v>
      </c>
      <c r="C239" s="5" t="s">
        <v>93</v>
      </c>
      <c r="D239" s="5" t="s">
        <v>16</v>
      </c>
      <c r="E239" s="5" t="s">
        <v>30</v>
      </c>
      <c r="F239" s="6" t="n">
        <v>6.96</v>
      </c>
    </row>
    <row r="240" customFormat="false" ht="15.75" hidden="false" customHeight="false" outlineLevel="0" collapsed="false">
      <c r="A240" s="3" t="n">
        <v>239</v>
      </c>
      <c r="B240" s="5" t="s">
        <v>16</v>
      </c>
      <c r="C240" s="5" t="s">
        <v>95</v>
      </c>
      <c r="D240" s="5" t="s">
        <v>16</v>
      </c>
      <c r="E240" s="5" t="s">
        <v>30</v>
      </c>
      <c r="F240" s="6" t="n">
        <v>2</v>
      </c>
    </row>
    <row r="241" customFormat="false" ht="15.75" hidden="false" customHeight="false" outlineLevel="0" collapsed="false">
      <c r="A241" s="3" t="n">
        <v>240</v>
      </c>
      <c r="B241" s="5" t="s">
        <v>16</v>
      </c>
      <c r="C241" s="5" t="s">
        <v>19</v>
      </c>
      <c r="D241" s="5" t="s">
        <v>16</v>
      </c>
      <c r="E241" s="5" t="s">
        <v>19</v>
      </c>
      <c r="F241" s="6" t="n">
        <v>13.39</v>
      </c>
    </row>
    <row r="242" customFormat="false" ht="15.75" hidden="false" customHeight="false" outlineLevel="0" collapsed="false">
      <c r="A242" s="3" t="n">
        <v>241</v>
      </c>
      <c r="B242" s="5" t="s">
        <v>16</v>
      </c>
      <c r="C242" s="5" t="s">
        <v>29</v>
      </c>
      <c r="D242" s="5" t="s">
        <v>16</v>
      </c>
      <c r="E242" s="5" t="s">
        <v>19</v>
      </c>
      <c r="F242" s="6" t="n">
        <v>5.32</v>
      </c>
    </row>
    <row r="243" customFormat="false" ht="15.75" hidden="false" customHeight="false" outlineLevel="0" collapsed="false">
      <c r="A243" s="3" t="n">
        <v>242</v>
      </c>
      <c r="B243" s="5" t="s">
        <v>16</v>
      </c>
      <c r="C243" s="5" t="s">
        <v>85</v>
      </c>
      <c r="D243" s="5" t="s">
        <v>16</v>
      </c>
      <c r="E243" s="5" t="s">
        <v>19</v>
      </c>
      <c r="F243" s="6" t="n">
        <v>2.58</v>
      </c>
    </row>
    <row r="244" customFormat="false" ht="15.75" hidden="false" customHeight="false" outlineLevel="0" collapsed="false">
      <c r="A244" s="3" t="n">
        <v>243</v>
      </c>
      <c r="B244" s="5" t="s">
        <v>16</v>
      </c>
      <c r="C244" s="5" t="s">
        <v>19</v>
      </c>
      <c r="D244" s="5" t="s">
        <v>16</v>
      </c>
      <c r="E244" s="5" t="s">
        <v>30</v>
      </c>
      <c r="F244" s="6" t="n">
        <v>3.5</v>
      </c>
    </row>
    <row r="245" customFormat="false" ht="15.75" hidden="false" customHeight="false" outlineLevel="0" collapsed="false">
      <c r="A245" s="3" t="n">
        <v>244</v>
      </c>
      <c r="B245" s="5" t="s">
        <v>16</v>
      </c>
      <c r="C245" s="5" t="s">
        <v>30</v>
      </c>
      <c r="D245" s="5" t="s">
        <v>16</v>
      </c>
      <c r="E245" s="5" t="s">
        <v>31</v>
      </c>
      <c r="F245" s="6" t="n">
        <v>2.48</v>
      </c>
    </row>
    <row r="246" customFormat="false" ht="15.75" hidden="false" customHeight="false" outlineLevel="0" collapsed="false">
      <c r="A246" s="3" t="n">
        <v>245</v>
      </c>
      <c r="B246" s="5" t="s">
        <v>16</v>
      </c>
      <c r="C246" s="5" t="s">
        <v>30</v>
      </c>
      <c r="D246" s="5" t="s">
        <v>16</v>
      </c>
      <c r="E246" s="5" t="s">
        <v>94</v>
      </c>
      <c r="F246" s="6" t="n">
        <v>2.09</v>
      </c>
    </row>
    <row r="247" customFormat="false" ht="15.75" hidden="false" customHeight="false" outlineLevel="0" collapsed="false">
      <c r="A247" s="3" t="n">
        <v>246</v>
      </c>
      <c r="B247" s="5" t="s">
        <v>16</v>
      </c>
      <c r="C247" s="5" t="s">
        <v>37</v>
      </c>
      <c r="D247" s="5" t="s">
        <v>16</v>
      </c>
      <c r="E247" s="5" t="s">
        <v>113</v>
      </c>
      <c r="F247" s="6" t="n">
        <v>4.71</v>
      </c>
    </row>
    <row r="248" customFormat="false" ht="15.75" hidden="false" customHeight="false" outlineLevel="0" collapsed="false">
      <c r="A248" s="3" t="n">
        <v>247</v>
      </c>
      <c r="B248" s="5" t="s">
        <v>16</v>
      </c>
      <c r="C248" s="5" t="s">
        <v>113</v>
      </c>
      <c r="D248" s="5" t="s">
        <v>16</v>
      </c>
      <c r="E248" s="5" t="s">
        <v>17</v>
      </c>
      <c r="F248" s="6" t="n">
        <v>5.15</v>
      </c>
    </row>
    <row r="249" customFormat="false" ht="15.75" hidden="false" customHeight="false" outlineLevel="0" collapsed="false">
      <c r="A249" s="3" t="n">
        <v>248</v>
      </c>
      <c r="B249" s="5" t="s">
        <v>16</v>
      </c>
      <c r="C249" s="5" t="s">
        <v>30</v>
      </c>
      <c r="D249" s="5" t="s">
        <v>16</v>
      </c>
      <c r="E249" s="5" t="s">
        <v>31</v>
      </c>
      <c r="F249" s="6" t="n">
        <v>2.39</v>
      </c>
    </row>
    <row r="250" customFormat="false" ht="15.75" hidden="false" customHeight="false" outlineLevel="0" collapsed="false">
      <c r="A250" s="3" t="n">
        <v>249</v>
      </c>
      <c r="B250" s="5" t="s">
        <v>16</v>
      </c>
      <c r="C250" s="5" t="s">
        <v>114</v>
      </c>
      <c r="D250" s="5" t="s">
        <v>16</v>
      </c>
      <c r="E250" s="5" t="s">
        <v>47</v>
      </c>
      <c r="F250" s="6" t="n">
        <v>2.6</v>
      </c>
    </row>
    <row r="251" customFormat="false" ht="15.75" hidden="false" customHeight="false" outlineLevel="0" collapsed="false">
      <c r="A251" s="3" t="n">
        <v>250</v>
      </c>
      <c r="B251" s="5" t="s">
        <v>16</v>
      </c>
      <c r="C251" s="5" t="s">
        <v>48</v>
      </c>
      <c r="D251" s="5" t="s">
        <v>16</v>
      </c>
      <c r="E251" s="5" t="s">
        <v>41</v>
      </c>
      <c r="F251" s="6" t="n">
        <v>2.64</v>
      </c>
    </row>
    <row r="252" customFormat="false" ht="15.75" hidden="false" customHeight="false" outlineLevel="0" collapsed="false">
      <c r="A252" s="3" t="n">
        <v>251</v>
      </c>
      <c r="B252" s="5" t="s">
        <v>16</v>
      </c>
      <c r="C252" s="5" t="s">
        <v>47</v>
      </c>
      <c r="D252" s="5" t="s">
        <v>16</v>
      </c>
      <c r="E252" s="5" t="s">
        <v>81</v>
      </c>
      <c r="F252" s="6" t="n">
        <v>1.84</v>
      </c>
    </row>
    <row r="253" customFormat="false" ht="15.75" hidden="false" customHeight="false" outlineLevel="0" collapsed="false">
      <c r="A253" s="3" t="n">
        <v>252</v>
      </c>
      <c r="B253" s="5" t="s">
        <v>16</v>
      </c>
      <c r="C253" s="5" t="s">
        <v>93</v>
      </c>
      <c r="D253" s="5" t="s">
        <v>21</v>
      </c>
      <c r="E253" s="5" t="s">
        <v>62</v>
      </c>
      <c r="F253" s="6" t="n">
        <v>14.77</v>
      </c>
    </row>
    <row r="254" customFormat="false" ht="15.75" hidden="false" customHeight="false" outlineLevel="0" collapsed="false">
      <c r="A254" s="3" t="n">
        <v>253</v>
      </c>
      <c r="B254" s="5" t="s">
        <v>21</v>
      </c>
      <c r="C254" s="5" t="s">
        <v>62</v>
      </c>
      <c r="D254" s="5" t="s">
        <v>21</v>
      </c>
      <c r="E254" s="5" t="s">
        <v>20</v>
      </c>
      <c r="F254" s="6" t="n">
        <v>4.42</v>
      </c>
    </row>
    <row r="255" customFormat="false" ht="15.75" hidden="false" customHeight="false" outlineLevel="0" collapsed="false">
      <c r="A255" s="3" t="n">
        <v>254</v>
      </c>
      <c r="B255" s="5" t="s">
        <v>16</v>
      </c>
      <c r="C255" s="5" t="s">
        <v>33</v>
      </c>
      <c r="D255" s="5" t="s">
        <v>16</v>
      </c>
      <c r="E255" s="5" t="s">
        <v>31</v>
      </c>
      <c r="F255" s="6" t="n">
        <v>8.89</v>
      </c>
    </row>
    <row r="256" customFormat="false" ht="15.75" hidden="false" customHeight="false" outlineLevel="0" collapsed="false">
      <c r="A256" s="3" t="n">
        <v>255</v>
      </c>
      <c r="B256" s="5" t="s">
        <v>16</v>
      </c>
      <c r="C256" s="5" t="s">
        <v>42</v>
      </c>
      <c r="D256" s="5" t="s">
        <v>16</v>
      </c>
      <c r="E256" s="5" t="s">
        <v>33</v>
      </c>
      <c r="F256" s="6" t="n">
        <v>9.54</v>
      </c>
    </row>
    <row r="257" customFormat="false" ht="15.75" hidden="false" customHeight="false" outlineLevel="0" collapsed="false">
      <c r="A257" s="3" t="n">
        <v>256</v>
      </c>
      <c r="B257" s="5" t="s">
        <v>16</v>
      </c>
      <c r="C257" s="5" t="s">
        <v>33</v>
      </c>
      <c r="D257" s="5" t="s">
        <v>16</v>
      </c>
      <c r="E257" s="5" t="s">
        <v>24</v>
      </c>
      <c r="F257" s="6" t="n">
        <v>1.66</v>
      </c>
    </row>
    <row r="258" customFormat="false" ht="15.75" hidden="false" customHeight="false" outlineLevel="0" collapsed="false">
      <c r="A258" s="3" t="n">
        <v>257</v>
      </c>
      <c r="B258" s="5" t="s">
        <v>16</v>
      </c>
      <c r="C258" s="5" t="s">
        <v>24</v>
      </c>
      <c r="D258" s="5" t="s">
        <v>16</v>
      </c>
      <c r="E258" s="5" t="s">
        <v>17</v>
      </c>
      <c r="F258" s="6" t="n">
        <v>7.66</v>
      </c>
    </row>
    <row r="259" customFormat="false" ht="15.75" hidden="false" customHeight="false" outlineLevel="0" collapsed="false">
      <c r="A259" s="3" t="n">
        <v>258</v>
      </c>
      <c r="B259" s="5" t="s">
        <v>16</v>
      </c>
      <c r="C259" s="5" t="s">
        <v>30</v>
      </c>
      <c r="D259" s="5" t="s">
        <v>16</v>
      </c>
      <c r="E259" s="5" t="s">
        <v>30</v>
      </c>
      <c r="F259" s="6" t="n">
        <v>0.6</v>
      </c>
    </row>
    <row r="260" customFormat="false" ht="15.75" hidden="false" customHeight="false" outlineLevel="0" collapsed="false">
      <c r="A260" s="3" t="n">
        <v>259</v>
      </c>
      <c r="B260" s="5" t="s">
        <v>16</v>
      </c>
      <c r="C260" s="5" t="s">
        <v>30</v>
      </c>
      <c r="D260" s="5" t="s">
        <v>16</v>
      </c>
      <c r="E260" s="5" t="s">
        <v>19</v>
      </c>
      <c r="F260" s="6" t="n">
        <v>6.99</v>
      </c>
    </row>
    <row r="261" customFormat="false" ht="15.75" hidden="false" customHeight="false" outlineLevel="0" collapsed="false">
      <c r="A261" s="3" t="n">
        <v>260</v>
      </c>
      <c r="B261" s="5" t="s">
        <v>16</v>
      </c>
      <c r="C261" s="5" t="s">
        <v>28</v>
      </c>
      <c r="D261" s="5" t="s">
        <v>16</v>
      </c>
      <c r="E261" s="5" t="s">
        <v>47</v>
      </c>
      <c r="F261" s="6" t="n">
        <v>7.47</v>
      </c>
    </row>
    <row r="262" customFormat="false" ht="15.75" hidden="false" customHeight="false" outlineLevel="0" collapsed="false">
      <c r="A262" s="3" t="n">
        <v>261</v>
      </c>
      <c r="B262" s="5" t="s">
        <v>16</v>
      </c>
      <c r="C262" s="5" t="s">
        <v>47</v>
      </c>
      <c r="D262" s="5" t="s">
        <v>16</v>
      </c>
      <c r="E262" s="5" t="s">
        <v>40</v>
      </c>
      <c r="F262" s="6" t="n">
        <v>4.13</v>
      </c>
    </row>
    <row r="263" customFormat="false" ht="15.75" hidden="false" customHeight="false" outlineLevel="0" collapsed="false">
      <c r="A263" s="3" t="n">
        <v>262</v>
      </c>
      <c r="B263" s="5" t="s">
        <v>16</v>
      </c>
      <c r="C263" s="5" t="s">
        <v>40</v>
      </c>
      <c r="D263" s="5" t="s">
        <v>21</v>
      </c>
      <c r="E263" s="5" t="s">
        <v>23</v>
      </c>
      <c r="F263" s="6" t="n">
        <v>3.95</v>
      </c>
    </row>
    <row r="264" customFormat="false" ht="15.75" hidden="false" customHeight="false" outlineLevel="0" collapsed="false">
      <c r="A264" s="3" t="n">
        <v>263</v>
      </c>
      <c r="B264" s="5" t="s">
        <v>16</v>
      </c>
      <c r="C264" s="5" t="s">
        <v>22</v>
      </c>
      <c r="D264" s="5" t="s">
        <v>16</v>
      </c>
      <c r="E264" s="5" t="s">
        <v>28</v>
      </c>
      <c r="F264" s="6" t="n">
        <v>6.37</v>
      </c>
    </row>
    <row r="265" customFormat="false" ht="15.75" hidden="false" customHeight="false" outlineLevel="0" collapsed="false">
      <c r="A265" s="3" t="n">
        <v>264</v>
      </c>
      <c r="B265" s="5" t="s">
        <v>16</v>
      </c>
      <c r="C265" s="5" t="s">
        <v>86</v>
      </c>
      <c r="D265" s="5" t="s">
        <v>21</v>
      </c>
      <c r="E265" s="5" t="s">
        <v>27</v>
      </c>
      <c r="F265" s="6" t="n">
        <v>9.76</v>
      </c>
    </row>
    <row r="266" customFormat="false" ht="15.75" hidden="false" customHeight="false" outlineLevel="0" collapsed="false">
      <c r="A266" s="3" t="n">
        <v>265</v>
      </c>
      <c r="B266" s="5" t="s">
        <v>21</v>
      </c>
      <c r="C266" s="5" t="s">
        <v>66</v>
      </c>
      <c r="D266" s="5" t="s">
        <v>21</v>
      </c>
      <c r="E266" s="5" t="s">
        <v>20</v>
      </c>
      <c r="F266" s="6" t="n">
        <v>4.1</v>
      </c>
    </row>
    <row r="267" customFormat="false" ht="15.75" hidden="false" customHeight="false" outlineLevel="0" collapsed="false">
      <c r="A267" s="3" t="n">
        <v>266</v>
      </c>
      <c r="B267" s="5" t="s">
        <v>21</v>
      </c>
      <c r="C267" s="5" t="s">
        <v>64</v>
      </c>
      <c r="D267" s="5" t="s">
        <v>21</v>
      </c>
      <c r="E267" s="5" t="s">
        <v>20</v>
      </c>
      <c r="F267" s="6" t="n">
        <v>1.52</v>
      </c>
    </row>
    <row r="268" customFormat="false" ht="15.75" hidden="false" customHeight="false" outlineLevel="0" collapsed="false">
      <c r="A268" s="3" t="n">
        <v>267</v>
      </c>
      <c r="B268" s="5" t="s">
        <v>21</v>
      </c>
      <c r="C268" s="5" t="s">
        <v>64</v>
      </c>
      <c r="D268" s="5" t="s">
        <v>16</v>
      </c>
      <c r="E268" s="5" t="s">
        <v>110</v>
      </c>
      <c r="F268" s="6" t="n">
        <v>10.76</v>
      </c>
    </row>
    <row r="269" customFormat="false" ht="15.75" hidden="false" customHeight="false" outlineLevel="0" collapsed="false">
      <c r="A269" s="3" t="n">
        <v>268</v>
      </c>
      <c r="B269" s="5" t="s">
        <v>16</v>
      </c>
      <c r="C269" s="5" t="s">
        <v>110</v>
      </c>
      <c r="D269" s="5" t="s">
        <v>21</v>
      </c>
      <c r="E269" s="5" t="s">
        <v>58</v>
      </c>
      <c r="F269" s="6" t="n">
        <v>9.1</v>
      </c>
    </row>
    <row r="270" customFormat="false" ht="15.75" hidden="false" customHeight="false" outlineLevel="0" collapsed="false">
      <c r="A270" s="3" t="n">
        <v>269</v>
      </c>
      <c r="B270" s="5" t="s">
        <v>16</v>
      </c>
      <c r="C270" s="5" t="s">
        <v>19</v>
      </c>
      <c r="D270" s="5" t="s">
        <v>21</v>
      </c>
      <c r="E270" s="5" t="s">
        <v>20</v>
      </c>
      <c r="F270" s="6" t="n">
        <v>10.15</v>
      </c>
    </row>
    <row r="271" customFormat="false" ht="15.75" hidden="false" customHeight="false" outlineLevel="0" collapsed="false">
      <c r="A271" s="3" t="n">
        <v>270</v>
      </c>
      <c r="B271" s="5" t="s">
        <v>21</v>
      </c>
      <c r="C271" s="5" t="s">
        <v>64</v>
      </c>
      <c r="D271" s="5" t="s">
        <v>21</v>
      </c>
      <c r="E271" s="5" t="s">
        <v>58</v>
      </c>
      <c r="F271" s="6" t="n">
        <v>3.33</v>
      </c>
    </row>
    <row r="272" customFormat="false" ht="15.75" hidden="false" customHeight="false" outlineLevel="0" collapsed="false">
      <c r="A272" s="3" t="n">
        <v>271</v>
      </c>
      <c r="B272" s="5" t="s">
        <v>21</v>
      </c>
      <c r="C272" s="5" t="s">
        <v>58</v>
      </c>
      <c r="D272" s="5" t="s">
        <v>21</v>
      </c>
      <c r="E272" s="5" t="s">
        <v>22</v>
      </c>
      <c r="F272" s="6" t="n">
        <v>3.76</v>
      </c>
    </row>
    <row r="273" customFormat="false" ht="15.75" hidden="false" customHeight="false" outlineLevel="0" collapsed="false">
      <c r="A273" s="3" t="n">
        <v>272</v>
      </c>
      <c r="B273" s="5" t="s">
        <v>21</v>
      </c>
      <c r="C273" s="5" t="s">
        <v>115</v>
      </c>
      <c r="D273" s="5" t="s">
        <v>16</v>
      </c>
      <c r="E273" s="5" t="s">
        <v>30</v>
      </c>
      <c r="F273" s="6" t="n">
        <v>13</v>
      </c>
    </row>
    <row r="274" customFormat="false" ht="15.75" hidden="false" customHeight="false" outlineLevel="0" collapsed="false">
      <c r="A274" s="3" t="n">
        <v>273</v>
      </c>
      <c r="B274" s="5" t="s">
        <v>16</v>
      </c>
      <c r="C274" s="5" t="s">
        <v>19</v>
      </c>
      <c r="D274" s="5" t="s">
        <v>16</v>
      </c>
      <c r="E274" s="5" t="s">
        <v>17</v>
      </c>
      <c r="F274" s="6" t="n">
        <v>2.66</v>
      </c>
    </row>
    <row r="275" customFormat="false" ht="15.75" hidden="false" customHeight="false" outlineLevel="0" collapsed="false">
      <c r="A275" s="3" t="n">
        <v>274</v>
      </c>
      <c r="B275" s="5" t="s">
        <v>16</v>
      </c>
      <c r="C275" s="5" t="s">
        <v>17</v>
      </c>
      <c r="D275" s="5" t="s">
        <v>16</v>
      </c>
      <c r="E275" s="5" t="s">
        <v>19</v>
      </c>
      <c r="F275" s="6" t="n">
        <v>3.93</v>
      </c>
    </row>
    <row r="276" customFormat="false" ht="15.75" hidden="false" customHeight="false" outlineLevel="0" collapsed="false">
      <c r="A276" s="3" t="n">
        <v>275</v>
      </c>
      <c r="B276" s="5" t="s">
        <v>116</v>
      </c>
      <c r="C276" s="5" t="s">
        <v>116</v>
      </c>
      <c r="D276" s="5" t="s">
        <v>16</v>
      </c>
      <c r="E276" s="5" t="s">
        <v>19</v>
      </c>
      <c r="F276" s="6" t="n">
        <v>1.83</v>
      </c>
    </row>
    <row r="277" customFormat="false" ht="15.75" hidden="false" customHeight="false" outlineLevel="0" collapsed="false">
      <c r="A277" s="3" t="n">
        <v>276</v>
      </c>
      <c r="B277" s="5" t="s">
        <v>16</v>
      </c>
      <c r="C277" s="5" t="s">
        <v>31</v>
      </c>
      <c r="D277" s="5" t="s">
        <v>16</v>
      </c>
      <c r="E277" s="5" t="s">
        <v>30</v>
      </c>
      <c r="F277" s="6" t="n">
        <v>1.85</v>
      </c>
    </row>
    <row r="278" customFormat="false" ht="15.75" hidden="false" customHeight="false" outlineLevel="0" collapsed="false">
      <c r="A278" s="3" t="n">
        <v>277</v>
      </c>
      <c r="B278" s="5" t="s">
        <v>16</v>
      </c>
      <c r="C278" s="5" t="s">
        <v>30</v>
      </c>
      <c r="D278" s="5" t="s">
        <v>16</v>
      </c>
      <c r="E278" s="5" t="s">
        <v>19</v>
      </c>
      <c r="F278" s="6" t="n">
        <v>2.37</v>
      </c>
    </row>
    <row r="279" customFormat="false" ht="15.75" hidden="false" customHeight="false" outlineLevel="0" collapsed="false">
      <c r="A279" s="3" t="n">
        <v>278</v>
      </c>
      <c r="B279" s="5" t="s">
        <v>16</v>
      </c>
      <c r="C279" s="5" t="s">
        <v>19</v>
      </c>
      <c r="D279" s="5" t="s">
        <v>21</v>
      </c>
      <c r="E279" s="5" t="s">
        <v>20</v>
      </c>
      <c r="F279" s="6" t="n">
        <v>10.63</v>
      </c>
    </row>
    <row r="280" customFormat="false" ht="15.75" hidden="false" customHeight="false" outlineLevel="0" collapsed="false">
      <c r="A280" s="3" t="n">
        <v>279</v>
      </c>
      <c r="B280" s="5" t="s">
        <v>21</v>
      </c>
      <c r="C280" s="5" t="s">
        <v>64</v>
      </c>
      <c r="D280" s="5" t="s">
        <v>21</v>
      </c>
      <c r="E280" s="5" t="s">
        <v>117</v>
      </c>
      <c r="F280" s="6" t="n">
        <v>4.57</v>
      </c>
    </row>
    <row r="281" customFormat="false" ht="15.75" hidden="false" customHeight="false" outlineLevel="0" collapsed="false">
      <c r="A281" s="3" t="n">
        <v>280</v>
      </c>
      <c r="B281" s="5" t="s">
        <v>16</v>
      </c>
      <c r="C281" s="5" t="s">
        <v>117</v>
      </c>
      <c r="D281" s="5" t="s">
        <v>16</v>
      </c>
      <c r="E281" s="5" t="s">
        <v>118</v>
      </c>
      <c r="F281" s="6" t="n">
        <v>2</v>
      </c>
    </row>
    <row r="282" customFormat="false" ht="15.75" hidden="false" customHeight="false" outlineLevel="0" collapsed="false">
      <c r="A282" s="3" t="n">
        <v>281</v>
      </c>
      <c r="B282" s="5" t="s">
        <v>16</v>
      </c>
      <c r="C282" s="5" t="s">
        <v>51</v>
      </c>
      <c r="D282" s="5" t="s">
        <v>16</v>
      </c>
      <c r="E282" s="5" t="s">
        <v>31</v>
      </c>
      <c r="F282" s="6" t="n">
        <v>8</v>
      </c>
    </row>
    <row r="283" customFormat="false" ht="15.75" hidden="false" customHeight="false" outlineLevel="0" collapsed="false">
      <c r="A283" s="3" t="n">
        <v>282</v>
      </c>
      <c r="B283" s="5" t="s">
        <v>16</v>
      </c>
      <c r="C283" s="5" t="s">
        <v>30</v>
      </c>
      <c r="D283" s="5" t="s">
        <v>16</v>
      </c>
      <c r="E283" s="5" t="s">
        <v>30</v>
      </c>
      <c r="F283" s="6" t="n">
        <v>1.31</v>
      </c>
    </row>
    <row r="284" customFormat="false" ht="15.75" hidden="false" customHeight="false" outlineLevel="0" collapsed="false">
      <c r="A284" s="3" t="n">
        <v>283</v>
      </c>
      <c r="B284" s="5" t="s">
        <v>16</v>
      </c>
      <c r="C284" s="5" t="s">
        <v>30</v>
      </c>
      <c r="D284" s="5" t="s">
        <v>16</v>
      </c>
      <c r="E284" s="5" t="s">
        <v>19</v>
      </c>
      <c r="F284" s="6" t="n">
        <v>3.44</v>
      </c>
    </row>
    <row r="285" customFormat="false" ht="15.75" hidden="false" customHeight="false" outlineLevel="0" collapsed="false">
      <c r="A285" s="3" t="n">
        <v>284</v>
      </c>
      <c r="B285" s="5" t="s">
        <v>16</v>
      </c>
      <c r="C285" s="5" t="s">
        <v>19</v>
      </c>
      <c r="D285" s="5" t="s">
        <v>16</v>
      </c>
      <c r="E285" s="5" t="s">
        <v>19</v>
      </c>
      <c r="F285" s="6" t="s">
        <v>36</v>
      </c>
    </row>
    <row r="286" customFormat="false" ht="15.75" hidden="false" customHeight="false" outlineLevel="0" collapsed="false">
      <c r="A286" s="3" t="n">
        <v>285</v>
      </c>
      <c r="B286" s="5" t="s">
        <v>16</v>
      </c>
      <c r="C286" s="5" t="s">
        <v>30</v>
      </c>
      <c r="D286" s="5" t="s">
        <v>21</v>
      </c>
      <c r="E286" s="5" t="s">
        <v>27</v>
      </c>
      <c r="F286" s="6" t="n">
        <v>19.51</v>
      </c>
    </row>
    <row r="287" customFormat="false" ht="15.75" hidden="false" customHeight="false" outlineLevel="0" collapsed="false">
      <c r="A287" s="3" t="n">
        <v>286</v>
      </c>
      <c r="B287" s="5" t="s">
        <v>21</v>
      </c>
      <c r="C287" s="5" t="s">
        <v>27</v>
      </c>
      <c r="D287" s="5" t="s">
        <v>21</v>
      </c>
      <c r="E287" s="5" t="s">
        <v>119</v>
      </c>
      <c r="F287" s="6" t="n">
        <v>8.14</v>
      </c>
    </row>
    <row r="288" customFormat="false" ht="15.75" hidden="false" customHeight="false" outlineLevel="0" collapsed="false">
      <c r="A288" s="3" t="n">
        <v>287</v>
      </c>
      <c r="B288" s="5" t="s">
        <v>21</v>
      </c>
      <c r="C288" s="5" t="s">
        <v>64</v>
      </c>
      <c r="D288" s="5" t="s">
        <v>16</v>
      </c>
      <c r="E288" s="5" t="s">
        <v>29</v>
      </c>
      <c r="F288" s="6" t="n">
        <v>14.59</v>
      </c>
    </row>
    <row r="289" customFormat="false" ht="15.75" hidden="false" customHeight="false" outlineLevel="0" collapsed="false">
      <c r="A289" s="3" t="n">
        <v>288</v>
      </c>
      <c r="B289" s="5" t="s">
        <v>16</v>
      </c>
      <c r="C289" s="5" t="s">
        <v>29</v>
      </c>
      <c r="D289" s="5" t="s">
        <v>16</v>
      </c>
      <c r="E289" s="5" t="s">
        <v>29</v>
      </c>
      <c r="F289" s="6" t="s">
        <v>36</v>
      </c>
    </row>
    <row r="290" customFormat="false" ht="15.75" hidden="false" customHeight="false" outlineLevel="0" collapsed="false">
      <c r="A290" s="3" t="n">
        <v>289</v>
      </c>
      <c r="B290" s="5" t="s">
        <v>16</v>
      </c>
      <c r="C290" s="5" t="s">
        <v>29</v>
      </c>
      <c r="D290" s="5" t="s">
        <v>16</v>
      </c>
      <c r="E290" s="5" t="s">
        <v>29</v>
      </c>
      <c r="F290" s="6" t="n">
        <v>0.95</v>
      </c>
    </row>
    <row r="291" customFormat="false" ht="15.75" hidden="false" customHeight="false" outlineLevel="0" collapsed="false">
      <c r="A291" s="3" t="n">
        <v>290</v>
      </c>
      <c r="B291" s="5" t="s">
        <v>16</v>
      </c>
      <c r="C291" s="5" t="s">
        <v>47</v>
      </c>
      <c r="D291" s="5" t="s">
        <v>16</v>
      </c>
      <c r="E291" s="5" t="s">
        <v>46</v>
      </c>
      <c r="F291" s="6" t="n">
        <v>2.43</v>
      </c>
    </row>
    <row r="292" customFormat="false" ht="15.75" hidden="false" customHeight="false" outlineLevel="0" collapsed="false">
      <c r="A292" s="3" t="n">
        <v>291</v>
      </c>
      <c r="B292" s="5" t="s">
        <v>16</v>
      </c>
      <c r="C292" s="5" t="s">
        <v>47</v>
      </c>
      <c r="D292" s="5" t="s">
        <v>16</v>
      </c>
      <c r="E292" s="5" t="s">
        <v>48</v>
      </c>
      <c r="F292" s="6" t="n">
        <v>1.64</v>
      </c>
    </row>
    <row r="293" customFormat="false" ht="15.75" hidden="false" customHeight="false" outlineLevel="0" collapsed="false">
      <c r="A293" s="3" t="n">
        <v>292</v>
      </c>
      <c r="B293" s="5" t="s">
        <v>16</v>
      </c>
      <c r="C293" s="5" t="s">
        <v>110</v>
      </c>
      <c r="D293" s="5" t="s">
        <v>16</v>
      </c>
      <c r="E293" s="5" t="s">
        <v>47</v>
      </c>
      <c r="F293" s="6" t="n">
        <v>1.71</v>
      </c>
    </row>
    <row r="294" customFormat="false" ht="15.75" hidden="false" customHeight="false" outlineLevel="0" collapsed="false">
      <c r="A294" s="3" t="n">
        <v>293</v>
      </c>
      <c r="B294" s="5" t="s">
        <v>16</v>
      </c>
      <c r="C294" s="5" t="s">
        <v>47</v>
      </c>
      <c r="D294" s="5" t="s">
        <v>16</v>
      </c>
      <c r="E294" s="5" t="s">
        <v>27</v>
      </c>
      <c r="F294" s="6" t="n">
        <v>8.21</v>
      </c>
    </row>
    <row r="295" customFormat="false" ht="15.75" hidden="false" customHeight="false" outlineLevel="0" collapsed="false">
      <c r="A295" s="3" t="n">
        <v>294</v>
      </c>
      <c r="B295" s="5" t="s">
        <v>16</v>
      </c>
      <c r="C295" s="5" t="s">
        <v>27</v>
      </c>
      <c r="D295" s="5" t="s">
        <v>16</v>
      </c>
      <c r="E295" s="5" t="s">
        <v>27</v>
      </c>
      <c r="F295" s="6" t="s">
        <v>36</v>
      </c>
    </row>
    <row r="296" customFormat="false" ht="15.75" hidden="false" customHeight="false" outlineLevel="0" collapsed="false">
      <c r="A296" s="3" t="n">
        <v>295</v>
      </c>
      <c r="B296" s="5" t="s">
        <v>16</v>
      </c>
      <c r="C296" s="5" t="s">
        <v>27</v>
      </c>
      <c r="D296" s="5" t="s">
        <v>16</v>
      </c>
      <c r="E296" s="5" t="s">
        <v>26</v>
      </c>
      <c r="F296" s="6" t="n">
        <v>2.12</v>
      </c>
    </row>
    <row r="297" customFormat="false" ht="15.75" hidden="false" customHeight="false" outlineLevel="0" collapsed="false">
      <c r="A297" s="3" t="n">
        <v>296</v>
      </c>
      <c r="B297" s="5" t="s">
        <v>16</v>
      </c>
      <c r="C297" s="5" t="s">
        <v>26</v>
      </c>
      <c r="D297" s="5" t="s">
        <v>16</v>
      </c>
      <c r="E297" s="5" t="s">
        <v>120</v>
      </c>
      <c r="F297" s="6" t="n">
        <v>1.49</v>
      </c>
    </row>
    <row r="298" customFormat="false" ht="15.75" hidden="false" customHeight="false" outlineLevel="0" collapsed="false">
      <c r="A298" s="3" t="n">
        <v>297</v>
      </c>
      <c r="B298" s="5" t="s">
        <v>16</v>
      </c>
      <c r="C298" s="5" t="s">
        <v>75</v>
      </c>
      <c r="D298" s="5" t="s">
        <v>16</v>
      </c>
      <c r="E298" s="5" t="s">
        <v>31</v>
      </c>
      <c r="F298" s="6" t="n">
        <v>2.79</v>
      </c>
    </row>
    <row r="299" customFormat="false" ht="15.75" hidden="false" customHeight="false" outlineLevel="0" collapsed="false">
      <c r="A299" s="3" t="n">
        <v>298</v>
      </c>
      <c r="B299" s="5" t="s">
        <v>16</v>
      </c>
      <c r="C299" s="5" t="s">
        <v>29</v>
      </c>
      <c r="D299" s="5" t="s">
        <v>16</v>
      </c>
      <c r="E299" s="5" t="s">
        <v>31</v>
      </c>
      <c r="F299" s="6" t="n">
        <v>0.56</v>
      </c>
    </row>
    <row r="300" customFormat="false" ht="15.75" hidden="false" customHeight="false" outlineLevel="0" collapsed="false">
      <c r="A300" s="3" t="n">
        <v>299</v>
      </c>
      <c r="B300" s="5" t="s">
        <v>16</v>
      </c>
      <c r="C300" s="5" t="s">
        <v>34</v>
      </c>
      <c r="D300" s="5" t="s">
        <v>16</v>
      </c>
      <c r="E300" s="5" t="s">
        <v>34</v>
      </c>
      <c r="F300" s="6" t="n">
        <v>1.69</v>
      </c>
    </row>
    <row r="301" customFormat="false" ht="15.75" hidden="false" customHeight="false" outlineLevel="0" collapsed="false">
      <c r="A301" s="3" t="n">
        <v>300</v>
      </c>
      <c r="B301" s="5" t="s">
        <v>16</v>
      </c>
      <c r="C301" s="5" t="s">
        <v>34</v>
      </c>
      <c r="D301" s="5" t="s">
        <v>21</v>
      </c>
      <c r="E301" s="5" t="s">
        <v>121</v>
      </c>
      <c r="F301" s="6" t="n">
        <v>13.23</v>
      </c>
    </row>
    <row r="302" customFormat="false" ht="15.75" hidden="false" customHeight="false" outlineLevel="0" collapsed="false">
      <c r="A302" s="3" t="n">
        <v>301</v>
      </c>
      <c r="B302" s="5" t="s">
        <v>21</v>
      </c>
      <c r="C302" s="5" t="s">
        <v>122</v>
      </c>
      <c r="D302" s="5" t="s">
        <v>21</v>
      </c>
      <c r="E302" s="5" t="s">
        <v>83</v>
      </c>
      <c r="F302" s="6" t="n">
        <v>15.18</v>
      </c>
    </row>
    <row r="303" customFormat="false" ht="15.75" hidden="false" customHeight="false" outlineLevel="0" collapsed="false">
      <c r="A303" s="3" t="n">
        <v>302</v>
      </c>
      <c r="B303" s="5" t="s">
        <v>21</v>
      </c>
      <c r="C303" s="5" t="s">
        <v>62</v>
      </c>
      <c r="D303" s="5" t="s">
        <v>16</v>
      </c>
      <c r="E303" s="5" t="s">
        <v>48</v>
      </c>
      <c r="F303" s="6" t="n">
        <v>12.76</v>
      </c>
    </row>
    <row r="304" customFormat="false" ht="15.75" hidden="false" customHeight="false" outlineLevel="0" collapsed="false">
      <c r="A304" s="3" t="n">
        <v>303</v>
      </c>
      <c r="B304" s="5" t="s">
        <v>16</v>
      </c>
      <c r="C304" s="5" t="s">
        <v>52</v>
      </c>
      <c r="D304" s="5" t="s">
        <v>16</v>
      </c>
      <c r="E304" s="5" t="s">
        <v>85</v>
      </c>
      <c r="F304" s="6" t="n">
        <v>10.08</v>
      </c>
    </row>
    <row r="305" customFormat="false" ht="15.75" hidden="false" customHeight="false" outlineLevel="0" collapsed="false">
      <c r="A305" s="3" t="n">
        <v>304</v>
      </c>
      <c r="B305" s="5" t="s">
        <v>16</v>
      </c>
      <c r="C305" s="5" t="s">
        <v>85</v>
      </c>
      <c r="D305" s="5" t="s">
        <v>16</v>
      </c>
      <c r="E305" s="5" t="s">
        <v>28</v>
      </c>
      <c r="F305" s="6" t="n">
        <v>6.21</v>
      </c>
    </row>
    <row r="306" customFormat="false" ht="15.75" hidden="false" customHeight="false" outlineLevel="0" collapsed="false">
      <c r="A306" s="3" t="n">
        <v>305</v>
      </c>
      <c r="B306" s="5" t="s">
        <v>16</v>
      </c>
      <c r="C306" s="5" t="s">
        <v>31</v>
      </c>
      <c r="D306" s="5" t="s">
        <v>16</v>
      </c>
      <c r="E306" s="5" t="s">
        <v>27</v>
      </c>
      <c r="F306" s="6" t="n">
        <v>4.14</v>
      </c>
    </row>
    <row r="307" customFormat="false" ht="15.75" hidden="false" customHeight="false" outlineLevel="0" collapsed="false">
      <c r="A307" s="3" t="n">
        <v>306</v>
      </c>
      <c r="B307" s="5" t="s">
        <v>16</v>
      </c>
      <c r="C307" s="5" t="s">
        <v>27</v>
      </c>
      <c r="D307" s="5" t="s">
        <v>16</v>
      </c>
      <c r="E307" s="5" t="s">
        <v>31</v>
      </c>
      <c r="F307" s="6" t="n">
        <v>4.11</v>
      </c>
    </row>
    <row r="308" customFormat="false" ht="15.75" hidden="false" customHeight="false" outlineLevel="0" collapsed="false">
      <c r="A308" s="3" t="n">
        <v>307</v>
      </c>
      <c r="B308" s="5" t="s">
        <v>16</v>
      </c>
      <c r="C308" s="5" t="s">
        <v>31</v>
      </c>
      <c r="D308" s="5" t="s">
        <v>16</v>
      </c>
      <c r="E308" s="5" t="s">
        <v>30</v>
      </c>
      <c r="F308" s="6" t="n">
        <v>1.85</v>
      </c>
    </row>
    <row r="309" customFormat="false" ht="15.75" hidden="false" customHeight="false" outlineLevel="0" collapsed="false">
      <c r="A309" s="3" t="n">
        <v>308</v>
      </c>
      <c r="B309" s="5" t="s">
        <v>16</v>
      </c>
      <c r="C309" s="5" t="s">
        <v>123</v>
      </c>
      <c r="D309" s="5" t="s">
        <v>21</v>
      </c>
      <c r="E309" s="5" t="s">
        <v>104</v>
      </c>
      <c r="F309" s="6" t="n">
        <v>17.04</v>
      </c>
    </row>
    <row r="310" customFormat="false" ht="15.75" hidden="false" customHeight="false" outlineLevel="0" collapsed="false">
      <c r="A310" s="3" t="n">
        <v>309</v>
      </c>
      <c r="B310" s="5" t="s">
        <v>21</v>
      </c>
      <c r="C310" s="5" t="s">
        <v>104</v>
      </c>
      <c r="D310" s="5" t="s">
        <v>21</v>
      </c>
      <c r="E310" s="5" t="s">
        <v>55</v>
      </c>
      <c r="F310" s="6" t="n">
        <v>7.95</v>
      </c>
    </row>
    <row r="311" customFormat="false" ht="15.75" hidden="false" customHeight="false" outlineLevel="0" collapsed="false">
      <c r="A311" s="3" t="n">
        <v>310</v>
      </c>
      <c r="B311" s="5" t="s">
        <v>21</v>
      </c>
      <c r="C311" s="5" t="s">
        <v>55</v>
      </c>
      <c r="D311" s="5" t="s">
        <v>21</v>
      </c>
      <c r="E311" s="5" t="s">
        <v>22</v>
      </c>
      <c r="F311" s="6" t="n">
        <v>5.36</v>
      </c>
    </row>
    <row r="312" customFormat="false" ht="15.75" hidden="false" customHeight="false" outlineLevel="0" collapsed="false">
      <c r="A312" s="3" t="n">
        <v>311</v>
      </c>
      <c r="B312" s="5" t="s">
        <v>21</v>
      </c>
      <c r="C312" s="5" t="s">
        <v>22</v>
      </c>
      <c r="D312" s="5" t="s">
        <v>21</v>
      </c>
      <c r="E312" s="5" t="s">
        <v>27</v>
      </c>
      <c r="F312" s="6" t="n">
        <v>6.28</v>
      </c>
    </row>
    <row r="313" customFormat="false" ht="15.75" hidden="false" customHeight="false" outlineLevel="0" collapsed="false">
      <c r="A313" s="3" t="n">
        <v>312</v>
      </c>
      <c r="B313" s="5" t="s">
        <v>21</v>
      </c>
      <c r="C313" s="5" t="s">
        <v>27</v>
      </c>
      <c r="D313" s="5" t="s">
        <v>16</v>
      </c>
      <c r="E313" s="5" t="s">
        <v>68</v>
      </c>
      <c r="F313" s="6" t="n">
        <v>12.51</v>
      </c>
    </row>
    <row r="314" customFormat="false" ht="15.75" hidden="false" customHeight="false" outlineLevel="0" collapsed="false">
      <c r="A314" s="3" t="n">
        <v>313</v>
      </c>
      <c r="B314" s="5" t="s">
        <v>16</v>
      </c>
      <c r="C314" s="5" t="s">
        <v>68</v>
      </c>
      <c r="D314" s="5" t="s">
        <v>16</v>
      </c>
      <c r="E314" s="5" t="s">
        <v>34</v>
      </c>
      <c r="F314" s="6" t="n">
        <v>7</v>
      </c>
    </row>
    <row r="315" customFormat="false" ht="15.75" hidden="false" customHeight="false" outlineLevel="0" collapsed="false">
      <c r="A315" s="3" t="n">
        <v>314</v>
      </c>
      <c r="B315" s="5" t="s">
        <v>16</v>
      </c>
      <c r="C315" s="5" t="s">
        <v>30</v>
      </c>
      <c r="D315" s="5" t="s">
        <v>16</v>
      </c>
      <c r="E315" s="5" t="s">
        <v>30</v>
      </c>
      <c r="F315" s="6" t="s">
        <v>36</v>
      </c>
    </row>
    <row r="316" customFormat="false" ht="15.75" hidden="false" customHeight="false" outlineLevel="0" collapsed="false">
      <c r="A316" s="3" t="n">
        <v>315</v>
      </c>
      <c r="B316" s="5" t="s">
        <v>16</v>
      </c>
      <c r="C316" s="5" t="s">
        <v>30</v>
      </c>
      <c r="D316" s="5" t="s">
        <v>16</v>
      </c>
      <c r="E316" s="5" t="s">
        <v>28</v>
      </c>
      <c r="F316" s="6" t="n">
        <v>5.3</v>
      </c>
    </row>
    <row r="317" customFormat="false" ht="15.75" hidden="false" customHeight="false" outlineLevel="0" collapsed="false">
      <c r="A317" s="3" t="n">
        <v>316</v>
      </c>
      <c r="B317" s="5" t="s">
        <v>16</v>
      </c>
      <c r="C317" s="5" t="s">
        <v>28</v>
      </c>
      <c r="D317" s="5" t="s">
        <v>16</v>
      </c>
      <c r="E317" s="5" t="s">
        <v>19</v>
      </c>
      <c r="F317" s="6" t="n">
        <v>6.52</v>
      </c>
    </row>
    <row r="318" customFormat="false" ht="15.75" hidden="false" customHeight="false" outlineLevel="0" collapsed="false">
      <c r="A318" s="3" t="n">
        <v>317</v>
      </c>
      <c r="B318" s="5" t="s">
        <v>16</v>
      </c>
      <c r="C318" s="5" t="s">
        <v>19</v>
      </c>
      <c r="D318" s="5" t="s">
        <v>16</v>
      </c>
      <c r="E318" s="5" t="s">
        <v>19</v>
      </c>
      <c r="F318" s="6" t="n">
        <v>0.86</v>
      </c>
    </row>
    <row r="319" customFormat="false" ht="15.75" hidden="false" customHeight="false" outlineLevel="0" collapsed="false">
      <c r="A319" s="3" t="n">
        <v>318</v>
      </c>
      <c r="B319" s="5" t="s">
        <v>16</v>
      </c>
      <c r="C319" s="5" t="s">
        <v>19</v>
      </c>
      <c r="D319" s="5" t="s">
        <v>16</v>
      </c>
      <c r="E319" s="5" t="s">
        <v>99</v>
      </c>
      <c r="F319" s="6" t="n">
        <v>4.79</v>
      </c>
    </row>
    <row r="320" customFormat="false" ht="15.75" hidden="false" customHeight="false" outlineLevel="0" collapsed="false">
      <c r="A320" s="3" t="n">
        <v>319</v>
      </c>
      <c r="B320" s="5" t="s">
        <v>16</v>
      </c>
      <c r="C320" s="5" t="s">
        <v>99</v>
      </c>
      <c r="D320" s="5" t="s">
        <v>16</v>
      </c>
      <c r="E320" s="5" t="s">
        <v>19</v>
      </c>
      <c r="F320" s="6" t="n">
        <v>4.21</v>
      </c>
    </row>
    <row r="321" customFormat="false" ht="15.75" hidden="false" customHeight="false" outlineLevel="0" collapsed="false">
      <c r="A321" s="3" t="n">
        <v>320</v>
      </c>
      <c r="B321" s="5" t="s">
        <v>16</v>
      </c>
      <c r="C321" s="5" t="s">
        <v>31</v>
      </c>
      <c r="D321" s="5" t="s">
        <v>16</v>
      </c>
      <c r="E321" s="5" t="s">
        <v>33</v>
      </c>
      <c r="F321" s="6" t="n">
        <v>8.29</v>
      </c>
    </row>
    <row r="322" customFormat="false" ht="15.75" hidden="false" customHeight="false" outlineLevel="0" collapsed="false">
      <c r="A322" s="3" t="n">
        <v>321</v>
      </c>
      <c r="B322" s="5" t="s">
        <v>16</v>
      </c>
      <c r="C322" s="5" t="s">
        <v>33</v>
      </c>
      <c r="D322" s="5" t="s">
        <v>16</v>
      </c>
      <c r="E322" s="5" t="s">
        <v>19</v>
      </c>
      <c r="F322" s="6" t="n">
        <v>7.29</v>
      </c>
    </row>
    <row r="323" customFormat="false" ht="15.75" hidden="false" customHeight="false" outlineLevel="0" collapsed="false">
      <c r="A323" s="3" t="n">
        <v>322</v>
      </c>
      <c r="B323" s="5" t="s">
        <v>16</v>
      </c>
      <c r="C323" s="5" t="s">
        <v>31</v>
      </c>
      <c r="D323" s="5" t="s">
        <v>16</v>
      </c>
      <c r="E323" s="5" t="s">
        <v>28</v>
      </c>
      <c r="F323" s="6" t="n">
        <v>2.66</v>
      </c>
    </row>
    <row r="324" customFormat="false" ht="15.75" hidden="false" customHeight="false" outlineLevel="0" collapsed="false">
      <c r="A324" s="3" t="n">
        <v>323</v>
      </c>
      <c r="B324" s="5" t="s">
        <v>16</v>
      </c>
      <c r="C324" s="5" t="s">
        <v>28</v>
      </c>
      <c r="D324" s="5" t="s">
        <v>16</v>
      </c>
      <c r="E324" s="5" t="s">
        <v>42</v>
      </c>
      <c r="F324" s="6" t="n">
        <v>3.75</v>
      </c>
    </row>
    <row r="325" customFormat="false" ht="15.75" hidden="false" customHeight="false" outlineLevel="0" collapsed="false">
      <c r="A325" s="3" t="n">
        <v>324</v>
      </c>
      <c r="B325" s="5" t="s">
        <v>16</v>
      </c>
      <c r="C325" s="5" t="s">
        <v>37</v>
      </c>
      <c r="D325" s="5" t="s">
        <v>21</v>
      </c>
      <c r="E325" s="5" t="s">
        <v>109</v>
      </c>
      <c r="F325" s="6" t="n">
        <v>10.36</v>
      </c>
    </row>
    <row r="326" customFormat="false" ht="15.75" hidden="false" customHeight="false" outlineLevel="0" collapsed="false">
      <c r="A326" s="3" t="n">
        <v>325</v>
      </c>
      <c r="B326" s="5" t="s">
        <v>21</v>
      </c>
      <c r="C326" s="5" t="s">
        <v>64</v>
      </c>
      <c r="D326" s="5" t="s">
        <v>16</v>
      </c>
      <c r="E326" s="5" t="s">
        <v>19</v>
      </c>
      <c r="F326" s="6" t="n">
        <v>12.51</v>
      </c>
    </row>
    <row r="327" customFormat="false" ht="15.75" hidden="false" customHeight="false" outlineLevel="0" collapsed="false">
      <c r="A327" s="3" t="n">
        <v>326</v>
      </c>
      <c r="B327" s="5" t="s">
        <v>16</v>
      </c>
      <c r="C327" s="5" t="s">
        <v>28</v>
      </c>
      <c r="D327" s="5" t="s">
        <v>16</v>
      </c>
      <c r="E327" s="5" t="s">
        <v>42</v>
      </c>
      <c r="F327" s="6" t="n">
        <v>2.06</v>
      </c>
    </row>
    <row r="328" customFormat="false" ht="15.75" hidden="false" customHeight="false" outlineLevel="0" collapsed="false">
      <c r="A328" s="3" t="n">
        <v>327</v>
      </c>
      <c r="B328" s="5" t="s">
        <v>16</v>
      </c>
      <c r="C328" s="5" t="s">
        <v>30</v>
      </c>
      <c r="D328" s="5" t="s">
        <v>16</v>
      </c>
      <c r="E328" s="5" t="s">
        <v>30</v>
      </c>
      <c r="F328" s="6" t="n">
        <v>1.54</v>
      </c>
    </row>
    <row r="329" customFormat="false" ht="15.75" hidden="false" customHeight="false" outlineLevel="0" collapsed="false">
      <c r="A329" s="3" t="n">
        <v>328</v>
      </c>
      <c r="B329" s="5" t="s">
        <v>16</v>
      </c>
      <c r="C329" s="5" t="s">
        <v>17</v>
      </c>
      <c r="D329" s="5" t="s">
        <v>16</v>
      </c>
      <c r="E329" s="5" t="s">
        <v>120</v>
      </c>
      <c r="F329" s="6" t="n">
        <v>3.74</v>
      </c>
    </row>
    <row r="330" customFormat="false" ht="15.75" hidden="false" customHeight="false" outlineLevel="0" collapsed="false">
      <c r="A330" s="3" t="n">
        <v>329</v>
      </c>
      <c r="B330" s="5" t="s">
        <v>16</v>
      </c>
      <c r="C330" s="5" t="s">
        <v>124</v>
      </c>
      <c r="D330" s="5" t="s">
        <v>16</v>
      </c>
      <c r="E330" s="5" t="s">
        <v>125</v>
      </c>
      <c r="F330" s="6" t="n">
        <v>14.06</v>
      </c>
    </row>
    <row r="331" customFormat="false" ht="15.75" hidden="false" customHeight="false" outlineLevel="0" collapsed="false">
      <c r="A331" s="3" t="n">
        <v>330</v>
      </c>
      <c r="B331" s="5" t="s">
        <v>16</v>
      </c>
      <c r="C331" s="5" t="s">
        <v>125</v>
      </c>
      <c r="D331" s="5" t="s">
        <v>72</v>
      </c>
      <c r="E331" s="5" t="s">
        <v>88</v>
      </c>
      <c r="F331" s="6" t="n">
        <v>4.89</v>
      </c>
    </row>
    <row r="332" customFormat="false" ht="15.75" hidden="false" customHeight="false" outlineLevel="0" collapsed="false">
      <c r="A332" s="3" t="n">
        <v>331</v>
      </c>
      <c r="B332" s="5" t="s">
        <v>72</v>
      </c>
      <c r="C332" s="5" t="s">
        <v>88</v>
      </c>
      <c r="D332" s="5" t="s">
        <v>72</v>
      </c>
      <c r="E332" s="5" t="s">
        <v>88</v>
      </c>
      <c r="F332" s="6" t="n">
        <v>1.78</v>
      </c>
    </row>
    <row r="333" customFormat="false" ht="15.75" hidden="false" customHeight="false" outlineLevel="0" collapsed="false">
      <c r="A333" s="3" t="n">
        <v>332</v>
      </c>
      <c r="B333" s="5" t="s">
        <v>36</v>
      </c>
      <c r="C333" s="5" t="s">
        <v>36</v>
      </c>
      <c r="D333" s="5" t="s">
        <v>36</v>
      </c>
      <c r="E333" s="5" t="s">
        <v>36</v>
      </c>
      <c r="F333" s="6" t="s">
        <v>36</v>
      </c>
    </row>
    <row r="334" customFormat="false" ht="15.75" hidden="false" customHeight="false" outlineLevel="0" collapsed="false">
      <c r="A334" s="3" t="n">
        <v>333</v>
      </c>
      <c r="B334" s="5" t="s">
        <v>16</v>
      </c>
      <c r="C334" s="5" t="s">
        <v>30</v>
      </c>
      <c r="D334" s="5" t="s">
        <v>21</v>
      </c>
      <c r="E334" s="5" t="s">
        <v>20</v>
      </c>
      <c r="F334" s="6" t="n">
        <v>14.59</v>
      </c>
    </row>
    <row r="335" customFormat="false" ht="15.75" hidden="false" customHeight="false" outlineLevel="0" collapsed="false">
      <c r="A335" s="3" t="n">
        <v>334</v>
      </c>
      <c r="B335" s="5" t="s">
        <v>21</v>
      </c>
      <c r="C335" s="5" t="s">
        <v>27</v>
      </c>
      <c r="D335" s="5" t="s">
        <v>16</v>
      </c>
      <c r="E335" s="5" t="s">
        <v>40</v>
      </c>
      <c r="F335" s="6" t="n">
        <v>6.25</v>
      </c>
    </row>
    <row r="336" customFormat="false" ht="15.75" hidden="false" customHeight="false" outlineLevel="0" collapsed="false">
      <c r="A336" s="3" t="n">
        <v>335</v>
      </c>
      <c r="B336" s="5" t="s">
        <v>16</v>
      </c>
      <c r="C336" s="5" t="s">
        <v>40</v>
      </c>
      <c r="D336" s="5" t="s">
        <v>16</v>
      </c>
      <c r="E336" s="5" t="s">
        <v>93</v>
      </c>
      <c r="F336" s="6" t="n">
        <v>1.76</v>
      </c>
    </row>
    <row r="337" customFormat="false" ht="15.75" hidden="false" customHeight="false" outlineLevel="0" collapsed="false">
      <c r="A337" s="3" t="n">
        <v>336</v>
      </c>
      <c r="B337" s="5" t="s">
        <v>16</v>
      </c>
      <c r="C337" s="5" t="s">
        <v>52</v>
      </c>
      <c r="D337" s="5" t="s">
        <v>16</v>
      </c>
      <c r="E337" s="5" t="s">
        <v>39</v>
      </c>
      <c r="F337" s="6" t="n">
        <v>2.41</v>
      </c>
    </row>
    <row r="338" customFormat="false" ht="15.75" hidden="false" customHeight="false" outlineLevel="0" collapsed="false">
      <c r="A338" s="3" t="n">
        <v>337</v>
      </c>
      <c r="B338" s="5" t="s">
        <v>16</v>
      </c>
      <c r="C338" s="5" t="s">
        <v>39</v>
      </c>
      <c r="D338" s="5" t="s">
        <v>16</v>
      </c>
      <c r="E338" s="5" t="s">
        <v>42</v>
      </c>
      <c r="F338" s="6" t="n">
        <v>4.03</v>
      </c>
    </row>
    <row r="339" customFormat="false" ht="15.75" hidden="false" customHeight="false" outlineLevel="0" collapsed="false">
      <c r="A339" s="3" t="n">
        <v>338</v>
      </c>
      <c r="B339" s="5" t="s">
        <v>16</v>
      </c>
      <c r="C339" s="5" t="s">
        <v>42</v>
      </c>
      <c r="D339" s="5" t="s">
        <v>16</v>
      </c>
      <c r="E339" s="5" t="s">
        <v>19</v>
      </c>
      <c r="F339" s="6" t="n">
        <v>4.35</v>
      </c>
    </row>
    <row r="340" customFormat="false" ht="15.75" hidden="false" customHeight="false" outlineLevel="0" collapsed="false">
      <c r="A340" s="3" t="n">
        <v>339</v>
      </c>
      <c r="B340" s="5" t="s">
        <v>16</v>
      </c>
      <c r="C340" s="5" t="s">
        <v>19</v>
      </c>
      <c r="D340" s="5" t="s">
        <v>16</v>
      </c>
      <c r="E340" s="5" t="s">
        <v>30</v>
      </c>
      <c r="F340" s="6" t="n">
        <v>3.56</v>
      </c>
    </row>
    <row r="341" customFormat="false" ht="15.75" hidden="false" customHeight="false" outlineLevel="0" collapsed="false">
      <c r="A341" s="3" t="n">
        <v>340</v>
      </c>
      <c r="B341" s="5" t="s">
        <v>16</v>
      </c>
      <c r="C341" s="5" t="s">
        <v>19</v>
      </c>
      <c r="D341" s="5" t="s">
        <v>16</v>
      </c>
      <c r="E341" s="5" t="s">
        <v>86</v>
      </c>
      <c r="F341" s="6" t="n">
        <v>4.32</v>
      </c>
    </row>
    <row r="342" customFormat="false" ht="15.75" hidden="false" customHeight="false" outlineLevel="0" collapsed="false">
      <c r="A342" s="3" t="n">
        <v>341</v>
      </c>
      <c r="B342" s="5" t="s">
        <v>16</v>
      </c>
      <c r="C342" s="5" t="s">
        <v>86</v>
      </c>
      <c r="D342" s="5" t="s">
        <v>16</v>
      </c>
      <c r="E342" s="5" t="s">
        <v>28</v>
      </c>
      <c r="F342" s="6" t="n">
        <v>4.09</v>
      </c>
    </row>
    <row r="343" customFormat="false" ht="15.75" hidden="false" customHeight="false" outlineLevel="0" collapsed="false">
      <c r="A343" s="3" t="n">
        <v>342</v>
      </c>
      <c r="B343" s="5" t="s">
        <v>16</v>
      </c>
      <c r="C343" s="5" t="s">
        <v>28</v>
      </c>
      <c r="D343" s="5" t="s">
        <v>21</v>
      </c>
      <c r="E343" s="5" t="s">
        <v>44</v>
      </c>
      <c r="F343" s="6" t="n">
        <v>8.41</v>
      </c>
    </row>
    <row r="344" customFormat="false" ht="15.75" hidden="false" customHeight="false" outlineLevel="0" collapsed="false">
      <c r="A344" s="3" t="n">
        <v>343</v>
      </c>
      <c r="B344" s="5" t="s">
        <v>21</v>
      </c>
      <c r="C344" s="5" t="s">
        <v>44</v>
      </c>
      <c r="D344" s="5" t="s">
        <v>21</v>
      </c>
      <c r="E344" s="5" t="s">
        <v>44</v>
      </c>
      <c r="F344" s="6" t="n">
        <v>1.4</v>
      </c>
    </row>
    <row r="345" customFormat="false" ht="15.75" hidden="false" customHeight="false" outlineLevel="0" collapsed="false">
      <c r="A345" s="3" t="n">
        <v>344</v>
      </c>
      <c r="B345" s="5" t="s">
        <v>21</v>
      </c>
      <c r="C345" s="5" t="s">
        <v>22</v>
      </c>
      <c r="D345" s="5" t="s">
        <v>21</v>
      </c>
      <c r="E345" s="5" t="s">
        <v>22</v>
      </c>
      <c r="F345" s="6" t="n">
        <v>1.64</v>
      </c>
    </row>
    <row r="346" customFormat="false" ht="15.75" hidden="false" customHeight="false" outlineLevel="0" collapsed="false">
      <c r="A346" s="3" t="n">
        <v>345</v>
      </c>
      <c r="B346" s="5" t="s">
        <v>21</v>
      </c>
      <c r="C346" s="5" t="s">
        <v>22</v>
      </c>
      <c r="D346" s="5" t="s">
        <v>16</v>
      </c>
      <c r="E346" s="5" t="s">
        <v>24</v>
      </c>
      <c r="F346" s="6" t="n">
        <v>1.42</v>
      </c>
    </row>
    <row r="347" customFormat="false" ht="15.75" hidden="false" customHeight="false" outlineLevel="0" collapsed="false">
      <c r="A347" s="3" t="n">
        <v>346</v>
      </c>
      <c r="B347" s="5" t="s">
        <v>16</v>
      </c>
      <c r="C347" s="5" t="s">
        <v>24</v>
      </c>
      <c r="D347" s="5" t="s">
        <v>16</v>
      </c>
      <c r="E347" s="5" t="s">
        <v>19</v>
      </c>
      <c r="F347" s="6" t="n">
        <v>10.53</v>
      </c>
    </row>
    <row r="348" customFormat="false" ht="15.75" hidden="false" customHeight="false" outlineLevel="0" collapsed="false">
      <c r="A348" s="3" t="n">
        <v>347</v>
      </c>
      <c r="B348" s="5" t="s">
        <v>16</v>
      </c>
      <c r="C348" s="5" t="s">
        <v>17</v>
      </c>
      <c r="D348" s="5" t="s">
        <v>16</v>
      </c>
      <c r="E348" s="5" t="s">
        <v>31</v>
      </c>
      <c r="F348" s="6" t="n">
        <v>2.81</v>
      </c>
    </row>
    <row r="349" customFormat="false" ht="15.75" hidden="false" customHeight="false" outlineLevel="0" collapsed="false">
      <c r="A349" s="3" t="n">
        <v>348</v>
      </c>
      <c r="B349" s="5" t="s">
        <v>16</v>
      </c>
      <c r="C349" s="5" t="s">
        <v>27</v>
      </c>
      <c r="D349" s="5" t="s">
        <v>16</v>
      </c>
      <c r="E349" s="5" t="s">
        <v>34</v>
      </c>
      <c r="F349" s="6" t="n">
        <v>8.87</v>
      </c>
    </row>
    <row r="350" customFormat="false" ht="15.75" hidden="false" customHeight="false" outlineLevel="0" collapsed="false">
      <c r="A350" s="3" t="n">
        <v>349</v>
      </c>
      <c r="B350" s="5" t="s">
        <v>16</v>
      </c>
      <c r="C350" s="5" t="s">
        <v>18</v>
      </c>
      <c r="D350" s="5" t="s">
        <v>16</v>
      </c>
      <c r="E350" s="5" t="s">
        <v>31</v>
      </c>
      <c r="F350" s="6" t="n">
        <v>11.32</v>
      </c>
    </row>
    <row r="351" customFormat="false" ht="15.75" hidden="false" customHeight="false" outlineLevel="0" collapsed="false">
      <c r="A351" s="3" t="n">
        <v>350</v>
      </c>
      <c r="B351" s="5" t="s">
        <v>16</v>
      </c>
      <c r="C351" s="5" t="s">
        <v>19</v>
      </c>
      <c r="D351" s="5" t="s">
        <v>16</v>
      </c>
      <c r="E351" s="5" t="s">
        <v>19</v>
      </c>
      <c r="F351" s="6" t="n">
        <v>0.98</v>
      </c>
    </row>
    <row r="352" customFormat="false" ht="15.75" hidden="false" customHeight="false" outlineLevel="0" collapsed="false">
      <c r="A352" s="3" t="n">
        <v>351</v>
      </c>
      <c r="B352" s="5" t="s">
        <v>16</v>
      </c>
      <c r="C352" s="5" t="s">
        <v>31</v>
      </c>
      <c r="D352" s="5" t="s">
        <v>16</v>
      </c>
      <c r="E352" s="5" t="s">
        <v>52</v>
      </c>
      <c r="F352" s="6" t="n">
        <v>5.93</v>
      </c>
    </row>
    <row r="353" customFormat="false" ht="15.75" hidden="false" customHeight="false" outlineLevel="0" collapsed="false">
      <c r="A353" s="3" t="n">
        <v>352</v>
      </c>
      <c r="B353" s="5" t="s">
        <v>16</v>
      </c>
      <c r="C353" s="5" t="s">
        <v>93</v>
      </c>
      <c r="D353" s="5" t="s">
        <v>16</v>
      </c>
      <c r="E353" s="5" t="s">
        <v>39</v>
      </c>
      <c r="F353" s="6" t="n">
        <v>1.81</v>
      </c>
    </row>
    <row r="354" customFormat="false" ht="15.75" hidden="false" customHeight="false" outlineLevel="0" collapsed="false">
      <c r="A354" s="3" t="n">
        <v>353</v>
      </c>
      <c r="B354" s="5" t="s">
        <v>16</v>
      </c>
      <c r="C354" s="5" t="s">
        <v>39</v>
      </c>
      <c r="D354" s="5" t="s">
        <v>16</v>
      </c>
      <c r="E354" s="5" t="s">
        <v>93</v>
      </c>
      <c r="F354" s="6" t="n">
        <v>2.79</v>
      </c>
    </row>
    <row r="355" customFormat="false" ht="15.75" hidden="false" customHeight="false" outlineLevel="0" collapsed="false">
      <c r="A355" s="3" t="n">
        <v>354</v>
      </c>
      <c r="B355" s="5" t="s">
        <v>16</v>
      </c>
      <c r="C355" s="5" t="s">
        <v>52</v>
      </c>
      <c r="D355" s="5" t="s">
        <v>16</v>
      </c>
      <c r="E355" s="5" t="s">
        <v>52</v>
      </c>
      <c r="F355" s="6" t="n">
        <v>1.33</v>
      </c>
    </row>
    <row r="356" customFormat="false" ht="15.75" hidden="false" customHeight="false" outlineLevel="0" collapsed="false">
      <c r="A356" s="3" t="n">
        <v>355</v>
      </c>
      <c r="B356" s="5" t="s">
        <v>16</v>
      </c>
      <c r="C356" s="5" t="s">
        <v>99</v>
      </c>
      <c r="D356" s="5" t="s">
        <v>16</v>
      </c>
      <c r="E356" s="5" t="s">
        <v>28</v>
      </c>
      <c r="F356" s="6" t="n">
        <v>1.58</v>
      </c>
    </row>
    <row r="357" customFormat="false" ht="15.75" hidden="false" customHeight="false" outlineLevel="0" collapsed="false">
      <c r="A357" s="3" t="n">
        <v>356</v>
      </c>
      <c r="B357" s="5" t="s">
        <v>16</v>
      </c>
      <c r="C357" s="5" t="s">
        <v>28</v>
      </c>
      <c r="D357" s="5" t="s">
        <v>21</v>
      </c>
      <c r="E357" s="5" t="s">
        <v>109</v>
      </c>
      <c r="F357" s="6" t="n">
        <v>10.9</v>
      </c>
    </row>
    <row r="358" customFormat="false" ht="15.75" hidden="false" customHeight="false" outlineLevel="0" collapsed="false">
      <c r="A358" s="3" t="n">
        <v>357</v>
      </c>
      <c r="B358" s="5" t="s">
        <v>21</v>
      </c>
      <c r="C358" s="5" t="s">
        <v>64</v>
      </c>
      <c r="D358" s="5" t="s">
        <v>16</v>
      </c>
      <c r="E358" s="5" t="s">
        <v>42</v>
      </c>
      <c r="F358" s="6" t="n">
        <v>12.87</v>
      </c>
    </row>
    <row r="359" customFormat="false" ht="15.75" hidden="false" customHeight="false" outlineLevel="0" collapsed="false">
      <c r="A359" s="3" t="n">
        <v>358</v>
      </c>
      <c r="B359" s="5" t="s">
        <v>16</v>
      </c>
      <c r="C359" s="5" t="s">
        <v>42</v>
      </c>
      <c r="D359" s="5" t="s">
        <v>16</v>
      </c>
      <c r="E359" s="5" t="s">
        <v>30</v>
      </c>
      <c r="F359" s="6" t="n">
        <v>3.54</v>
      </c>
    </row>
    <row r="360" customFormat="false" ht="15.75" hidden="false" customHeight="false" outlineLevel="0" collapsed="false">
      <c r="A360" s="3" t="n">
        <v>359</v>
      </c>
      <c r="B360" s="5" t="s">
        <v>16</v>
      </c>
      <c r="C360" s="5" t="s">
        <v>19</v>
      </c>
      <c r="D360" s="5" t="s">
        <v>16</v>
      </c>
      <c r="E360" s="5" t="s">
        <v>34</v>
      </c>
      <c r="F360" s="6" t="n">
        <v>6.31</v>
      </c>
    </row>
    <row r="361" customFormat="false" ht="15.75" hidden="false" customHeight="false" outlineLevel="0" collapsed="false">
      <c r="A361" s="3" t="n">
        <v>360</v>
      </c>
      <c r="B361" s="5" t="s">
        <v>16</v>
      </c>
      <c r="C361" s="5" t="s">
        <v>34</v>
      </c>
      <c r="D361" s="5" t="s">
        <v>16</v>
      </c>
      <c r="E361" s="5" t="s">
        <v>18</v>
      </c>
      <c r="F361" s="6" t="n">
        <v>4.13</v>
      </c>
    </row>
    <row r="362" customFormat="false" ht="15.75" hidden="false" customHeight="false" outlineLevel="0" collapsed="false">
      <c r="A362" s="3" t="n">
        <v>361</v>
      </c>
      <c r="B362" s="5" t="s">
        <v>16</v>
      </c>
      <c r="C362" s="5" t="s">
        <v>18</v>
      </c>
      <c r="D362" s="5" t="s">
        <v>21</v>
      </c>
      <c r="E362" s="5" t="s">
        <v>27</v>
      </c>
      <c r="F362" s="6" t="n">
        <v>16.02</v>
      </c>
    </row>
    <row r="363" customFormat="false" ht="15.75" hidden="false" customHeight="false" outlineLevel="0" collapsed="false">
      <c r="A363" s="3" t="n">
        <v>362</v>
      </c>
      <c r="B363" s="5" t="s">
        <v>21</v>
      </c>
      <c r="C363" s="5" t="s">
        <v>66</v>
      </c>
      <c r="D363" s="5" t="s">
        <v>21</v>
      </c>
      <c r="E363" s="5" t="s">
        <v>68</v>
      </c>
      <c r="F363" s="6" t="n">
        <v>13.44</v>
      </c>
    </row>
    <row r="364" customFormat="false" ht="15.75" hidden="false" customHeight="false" outlineLevel="0" collapsed="false">
      <c r="A364" s="3" t="n">
        <v>363</v>
      </c>
      <c r="B364" s="5" t="s">
        <v>16</v>
      </c>
      <c r="C364" s="5" t="s">
        <v>68</v>
      </c>
      <c r="D364" s="5" t="s">
        <v>16</v>
      </c>
      <c r="E364" s="5" t="s">
        <v>68</v>
      </c>
      <c r="F364" s="6" t="n">
        <v>0</v>
      </c>
    </row>
    <row r="365" customFormat="false" ht="15.75" hidden="false" customHeight="false" outlineLevel="0" collapsed="false">
      <c r="A365" s="3" t="n">
        <v>364</v>
      </c>
      <c r="B365" s="5" t="s">
        <v>16</v>
      </c>
      <c r="C365" s="5" t="s">
        <v>34</v>
      </c>
      <c r="D365" s="5" t="s">
        <v>16</v>
      </c>
      <c r="E365" s="5" t="s">
        <v>19</v>
      </c>
      <c r="F365" s="6" t="n">
        <v>6.07</v>
      </c>
    </row>
    <row r="366" customFormat="false" ht="15.75" hidden="false" customHeight="false" outlineLevel="0" collapsed="false">
      <c r="A366" s="3" t="n">
        <v>365</v>
      </c>
      <c r="B366" s="5" t="s">
        <v>16</v>
      </c>
      <c r="C366" s="5" t="s">
        <v>34</v>
      </c>
      <c r="D366" s="5" t="s">
        <v>16</v>
      </c>
      <c r="E366" s="5" t="s">
        <v>34</v>
      </c>
      <c r="F366" s="6" t="n">
        <v>0.97</v>
      </c>
    </row>
    <row r="367" customFormat="false" ht="15.75" hidden="false" customHeight="false" outlineLevel="0" collapsed="false">
      <c r="A367" s="3" t="n">
        <v>366</v>
      </c>
      <c r="B367" s="5" t="s">
        <v>16</v>
      </c>
      <c r="C367" s="5" t="s">
        <v>18</v>
      </c>
      <c r="D367" s="5" t="s">
        <v>16</v>
      </c>
      <c r="E367" s="5" t="s">
        <v>39</v>
      </c>
      <c r="F367" s="6" t="n">
        <v>9.74</v>
      </c>
    </row>
    <row r="368" customFormat="false" ht="15.75" hidden="false" customHeight="false" outlineLevel="0" collapsed="false">
      <c r="A368" s="3" t="n">
        <v>367</v>
      </c>
      <c r="B368" s="5" t="s">
        <v>16</v>
      </c>
      <c r="C368" s="5" t="s">
        <v>39</v>
      </c>
      <c r="D368" s="5" t="s">
        <v>16</v>
      </c>
      <c r="E368" s="5" t="s">
        <v>29</v>
      </c>
      <c r="F368" s="6" t="n">
        <v>6.91</v>
      </c>
    </row>
    <row r="369" customFormat="false" ht="15.75" hidden="false" customHeight="false" outlineLevel="0" collapsed="false">
      <c r="A369" s="3" t="n">
        <v>368</v>
      </c>
      <c r="B369" s="5" t="s">
        <v>16</v>
      </c>
      <c r="C369" s="5" t="s">
        <v>29</v>
      </c>
      <c r="D369" s="5" t="s">
        <v>16</v>
      </c>
      <c r="E369" s="5" t="s">
        <v>27</v>
      </c>
      <c r="F369" s="6" t="n">
        <v>4.55</v>
      </c>
    </row>
    <row r="370" customFormat="false" ht="15.75" hidden="false" customHeight="false" outlineLevel="0" collapsed="false">
      <c r="A370" s="3" t="n">
        <v>369</v>
      </c>
      <c r="B370" s="5" t="s">
        <v>16</v>
      </c>
      <c r="C370" s="5" t="s">
        <v>27</v>
      </c>
      <c r="D370" s="5" t="s">
        <v>16</v>
      </c>
      <c r="E370" s="5" t="s">
        <v>31</v>
      </c>
      <c r="F370" s="6" t="n">
        <v>4.36</v>
      </c>
    </row>
    <row r="371" customFormat="false" ht="15.75" hidden="false" customHeight="false" outlineLevel="0" collapsed="false">
      <c r="A371" s="3" t="n">
        <v>370</v>
      </c>
      <c r="B371" s="5" t="s">
        <v>16</v>
      </c>
      <c r="C371" s="5" t="s">
        <v>17</v>
      </c>
      <c r="D371" s="5" t="s">
        <v>72</v>
      </c>
      <c r="E371" s="5" t="s">
        <v>126</v>
      </c>
      <c r="F371" s="6" t="n">
        <v>13.26</v>
      </c>
    </row>
    <row r="372" customFormat="false" ht="15.75" hidden="false" customHeight="false" outlineLevel="0" collapsed="false">
      <c r="A372" s="3" t="n">
        <v>371</v>
      </c>
      <c r="B372" s="5" t="s">
        <v>16</v>
      </c>
      <c r="C372" s="5" t="s">
        <v>53</v>
      </c>
      <c r="D372" s="5" t="s">
        <v>16</v>
      </c>
      <c r="E372" s="5" t="s">
        <v>79</v>
      </c>
      <c r="F372" s="6" t="n">
        <v>3.02</v>
      </c>
    </row>
    <row r="373" customFormat="false" ht="15.75" hidden="false" customHeight="false" outlineLevel="0" collapsed="false">
      <c r="A373" s="3" t="n">
        <v>372</v>
      </c>
      <c r="B373" s="5" t="s">
        <v>16</v>
      </c>
      <c r="C373" s="5" t="s">
        <v>79</v>
      </c>
      <c r="D373" s="5" t="s">
        <v>16</v>
      </c>
      <c r="E373" s="5" t="s">
        <v>17</v>
      </c>
      <c r="F373" s="6" t="n">
        <v>3.69</v>
      </c>
    </row>
    <row r="374" customFormat="false" ht="15.75" hidden="false" customHeight="false" outlineLevel="0" collapsed="false">
      <c r="A374" s="3" t="n">
        <v>373</v>
      </c>
      <c r="B374" s="5" t="s">
        <v>16</v>
      </c>
      <c r="C374" s="5" t="s">
        <v>17</v>
      </c>
      <c r="D374" s="5" t="s">
        <v>16</v>
      </c>
      <c r="E374" s="5" t="s">
        <v>30</v>
      </c>
      <c r="F374" s="6" t="n">
        <v>1.47</v>
      </c>
    </row>
    <row r="375" customFormat="false" ht="15.75" hidden="false" customHeight="false" outlineLevel="0" collapsed="false">
      <c r="A375" s="3" t="n">
        <v>374</v>
      </c>
      <c r="B375" s="5" t="s">
        <v>16</v>
      </c>
      <c r="C375" s="5" t="s">
        <v>40</v>
      </c>
      <c r="D375" s="5" t="s">
        <v>21</v>
      </c>
      <c r="E375" s="5" t="s">
        <v>22</v>
      </c>
      <c r="F375" s="6" t="n">
        <v>3.33</v>
      </c>
    </row>
    <row r="376" customFormat="false" ht="15.75" hidden="false" customHeight="false" outlineLevel="0" collapsed="false">
      <c r="A376" s="3" t="n">
        <v>375</v>
      </c>
      <c r="B376" s="5" t="s">
        <v>16</v>
      </c>
      <c r="C376" s="5" t="s">
        <v>19</v>
      </c>
      <c r="D376" s="5" t="s">
        <v>16</v>
      </c>
      <c r="E376" s="5" t="s">
        <v>93</v>
      </c>
      <c r="F376" s="6" t="n">
        <v>7.29</v>
      </c>
    </row>
    <row r="377" customFormat="false" ht="15.75" hidden="false" customHeight="false" outlineLevel="0" collapsed="false">
      <c r="A377" s="3" t="n">
        <v>376</v>
      </c>
      <c r="B377" s="5" t="s">
        <v>21</v>
      </c>
      <c r="C377" s="5" t="s">
        <v>22</v>
      </c>
      <c r="D377" s="5" t="s">
        <v>16</v>
      </c>
      <c r="E377" s="5" t="s">
        <v>37</v>
      </c>
      <c r="F377" s="6" t="n">
        <v>17.22</v>
      </c>
    </row>
    <row r="378" customFormat="false" ht="15.75" hidden="false" customHeight="false" outlineLevel="0" collapsed="false">
      <c r="A378" s="3" t="n">
        <v>377</v>
      </c>
      <c r="B378" s="5" t="s">
        <v>16</v>
      </c>
      <c r="C378" s="5" t="s">
        <v>37</v>
      </c>
      <c r="D378" s="5" t="s">
        <v>16</v>
      </c>
      <c r="E378" s="5" t="s">
        <v>33</v>
      </c>
      <c r="F378" s="6" t="n">
        <v>13.64</v>
      </c>
    </row>
    <row r="379" customFormat="false" ht="15.75" hidden="false" customHeight="false" outlineLevel="0" collapsed="false">
      <c r="A379" s="3" t="n">
        <v>378</v>
      </c>
      <c r="B379" s="5" t="s">
        <v>16</v>
      </c>
      <c r="C379" s="5" t="s">
        <v>33</v>
      </c>
      <c r="D379" s="5" t="s">
        <v>16</v>
      </c>
      <c r="E379" s="5" t="s">
        <v>31</v>
      </c>
      <c r="F379" s="6" t="n">
        <v>10.56</v>
      </c>
    </row>
    <row r="380" customFormat="false" ht="15.75" hidden="false" customHeight="false" outlineLevel="0" collapsed="false">
      <c r="A380" s="3" t="n">
        <v>379</v>
      </c>
      <c r="B380" s="5" t="s">
        <v>16</v>
      </c>
      <c r="C380" s="5" t="s">
        <v>19</v>
      </c>
      <c r="D380" s="5" t="s">
        <v>16</v>
      </c>
      <c r="E380" s="5" t="s">
        <v>33</v>
      </c>
      <c r="F380" s="6" t="n">
        <v>8.41</v>
      </c>
    </row>
    <row r="381" customFormat="false" ht="15.75" hidden="false" customHeight="false" outlineLevel="0" collapsed="false">
      <c r="A381" s="3" t="n">
        <v>380</v>
      </c>
      <c r="B381" s="5" t="s">
        <v>16</v>
      </c>
      <c r="C381" s="5" t="s">
        <v>108</v>
      </c>
      <c r="D381" s="5" t="s">
        <v>16</v>
      </c>
      <c r="E381" s="5" t="s">
        <v>68</v>
      </c>
      <c r="F381" s="6" t="n">
        <v>15.27</v>
      </c>
    </row>
    <row r="382" customFormat="false" ht="15.75" hidden="false" customHeight="false" outlineLevel="0" collapsed="false">
      <c r="A382" s="3" t="n">
        <v>381</v>
      </c>
      <c r="B382" s="5" t="s">
        <v>16</v>
      </c>
      <c r="C382" s="5" t="s">
        <v>68</v>
      </c>
      <c r="D382" s="5" t="s">
        <v>21</v>
      </c>
      <c r="E382" s="5" t="s">
        <v>127</v>
      </c>
      <c r="F382" s="6" t="n">
        <v>23.45</v>
      </c>
    </row>
    <row r="383" customFormat="false" ht="15.75" hidden="false" customHeight="false" outlineLevel="0" collapsed="false">
      <c r="A383" s="3" t="n">
        <v>382</v>
      </c>
      <c r="B383" s="5" t="s">
        <v>16</v>
      </c>
      <c r="C383" s="5" t="s">
        <v>19</v>
      </c>
      <c r="D383" s="5" t="s">
        <v>16</v>
      </c>
      <c r="E383" s="5" t="s">
        <v>30</v>
      </c>
      <c r="F383" s="6" t="n">
        <v>5.43</v>
      </c>
    </row>
    <row r="384" customFormat="false" ht="15.75" hidden="false" customHeight="false" outlineLevel="0" collapsed="false">
      <c r="A384" s="3" t="n">
        <v>383</v>
      </c>
      <c r="B384" s="5" t="s">
        <v>16</v>
      </c>
      <c r="C384" s="5" t="s">
        <v>78</v>
      </c>
      <c r="D384" s="5" t="s">
        <v>90</v>
      </c>
      <c r="E384" s="5" t="s">
        <v>128</v>
      </c>
      <c r="F384" s="6" t="n">
        <v>32.41</v>
      </c>
    </row>
    <row r="385" customFormat="false" ht="15.75" hidden="false" customHeight="false" outlineLevel="0" collapsed="false">
      <c r="A385" s="3" t="n">
        <v>384</v>
      </c>
      <c r="B385" s="5" t="s">
        <v>90</v>
      </c>
      <c r="C385" s="5" t="s">
        <v>129</v>
      </c>
      <c r="D385" s="5" t="s">
        <v>16</v>
      </c>
      <c r="E385" s="5" t="s">
        <v>18</v>
      </c>
      <c r="F385" s="6" t="n">
        <v>22.45</v>
      </c>
    </row>
    <row r="386" customFormat="false" ht="15.75" hidden="false" customHeight="false" outlineLevel="0" collapsed="false">
      <c r="A386" s="3" t="n">
        <v>385</v>
      </c>
      <c r="B386" s="5" t="s">
        <v>16</v>
      </c>
      <c r="C386" s="5" t="s">
        <v>34</v>
      </c>
      <c r="D386" s="5" t="s">
        <v>72</v>
      </c>
      <c r="E386" s="5" t="s">
        <v>73</v>
      </c>
      <c r="F386" s="6" t="n">
        <v>17.9</v>
      </c>
    </row>
    <row r="387" customFormat="false" ht="15.75" hidden="false" customHeight="false" outlineLevel="0" collapsed="false">
      <c r="A387" s="3" t="n">
        <v>386</v>
      </c>
      <c r="B387" s="5" t="s">
        <v>16</v>
      </c>
      <c r="C387" s="5" t="s">
        <v>30</v>
      </c>
      <c r="D387" s="5" t="s">
        <v>16</v>
      </c>
      <c r="E387" s="5" t="s">
        <v>30</v>
      </c>
      <c r="F387" s="6" t="s">
        <v>36</v>
      </c>
    </row>
    <row r="388" customFormat="false" ht="15.75" hidden="false" customHeight="false" outlineLevel="0" collapsed="false">
      <c r="A388" s="3" t="n">
        <v>387</v>
      </c>
      <c r="B388" s="5" t="s">
        <v>16</v>
      </c>
      <c r="C388" s="5" t="s">
        <v>17</v>
      </c>
      <c r="D388" s="5" t="s">
        <v>21</v>
      </c>
      <c r="E388" s="5" t="s">
        <v>20</v>
      </c>
      <c r="F388" s="6" t="n">
        <v>14.28</v>
      </c>
    </row>
    <row r="389" customFormat="false" ht="15.75" hidden="false" customHeight="false" outlineLevel="0" collapsed="false">
      <c r="A389" s="3" t="n">
        <v>388</v>
      </c>
      <c r="B389" s="5" t="s">
        <v>16</v>
      </c>
      <c r="C389" s="5" t="s">
        <v>27</v>
      </c>
      <c r="D389" s="5" t="s">
        <v>16</v>
      </c>
      <c r="E389" s="5" t="s">
        <v>27</v>
      </c>
      <c r="F389" s="6" t="s">
        <v>36</v>
      </c>
    </row>
    <row r="390" customFormat="false" ht="15.75" hidden="false" customHeight="false" outlineLevel="0" collapsed="false">
      <c r="A390" s="3" t="n">
        <v>389</v>
      </c>
      <c r="B390" s="5" t="s">
        <v>16</v>
      </c>
      <c r="C390" s="5" t="s">
        <v>113</v>
      </c>
      <c r="D390" s="5" t="s">
        <v>16</v>
      </c>
      <c r="E390" s="5" t="s">
        <v>27</v>
      </c>
      <c r="F390" s="6" t="n">
        <v>13.33</v>
      </c>
    </row>
    <row r="391" customFormat="false" ht="15.75" hidden="false" customHeight="false" outlineLevel="0" collapsed="false">
      <c r="A391" s="3" t="n">
        <v>390</v>
      </c>
      <c r="B391" s="5" t="s">
        <v>16</v>
      </c>
      <c r="C391" s="5" t="s">
        <v>130</v>
      </c>
      <c r="D391" s="5" t="s">
        <v>21</v>
      </c>
      <c r="E391" s="5" t="s">
        <v>20</v>
      </c>
      <c r="F391" s="6" t="n">
        <v>9.16</v>
      </c>
    </row>
    <row r="392" customFormat="false" ht="15.75" hidden="false" customHeight="false" outlineLevel="0" collapsed="false">
      <c r="A392" s="3" t="n">
        <v>391</v>
      </c>
      <c r="B392" s="5" t="s">
        <v>36</v>
      </c>
      <c r="C392" s="5" t="s">
        <v>36</v>
      </c>
      <c r="D392" s="5" t="s">
        <v>36</v>
      </c>
      <c r="E392" s="5" t="s">
        <v>36</v>
      </c>
      <c r="F392" s="6" t="s">
        <v>36</v>
      </c>
    </row>
    <row r="393" customFormat="false" ht="15.75" hidden="false" customHeight="false" outlineLevel="0" collapsed="false">
      <c r="A393" s="3" t="n">
        <v>392</v>
      </c>
      <c r="B393" s="5" t="s">
        <v>21</v>
      </c>
      <c r="C393" s="5" t="s">
        <v>23</v>
      </c>
      <c r="D393" s="5" t="s">
        <v>21</v>
      </c>
      <c r="E393" s="5" t="s">
        <v>20</v>
      </c>
      <c r="F393" s="6" t="n">
        <v>4.74</v>
      </c>
    </row>
    <row r="394" customFormat="false" ht="15.75" hidden="false" customHeight="false" outlineLevel="0" collapsed="false">
      <c r="A394" s="3" t="n">
        <v>393</v>
      </c>
      <c r="B394" s="5" t="s">
        <v>21</v>
      </c>
      <c r="C394" s="5" t="s">
        <v>64</v>
      </c>
      <c r="D394" s="5" t="s">
        <v>21</v>
      </c>
      <c r="E394" s="5" t="s">
        <v>20</v>
      </c>
      <c r="F394" s="6" t="n">
        <v>1.22</v>
      </c>
    </row>
    <row r="395" customFormat="false" ht="15.75" hidden="false" customHeight="false" outlineLevel="0" collapsed="false">
      <c r="A395" s="3" t="n">
        <v>394</v>
      </c>
      <c r="B395" s="5" t="s">
        <v>16</v>
      </c>
      <c r="C395" s="5" t="s">
        <v>131</v>
      </c>
      <c r="D395" s="5" t="s">
        <v>16</v>
      </c>
      <c r="E395" s="5" t="s">
        <v>117</v>
      </c>
      <c r="F395" s="6" t="n">
        <v>8.29</v>
      </c>
    </row>
    <row r="396" customFormat="false" ht="15.75" hidden="false" customHeight="false" outlineLevel="0" collapsed="false">
      <c r="A396" s="3" t="n">
        <v>395</v>
      </c>
      <c r="B396" s="5" t="s">
        <v>16</v>
      </c>
      <c r="C396" s="5" t="s">
        <v>51</v>
      </c>
      <c r="D396" s="5" t="s">
        <v>21</v>
      </c>
      <c r="E396" s="5" t="s">
        <v>132</v>
      </c>
      <c r="F396" s="6" t="n">
        <v>5.97</v>
      </c>
    </row>
    <row r="397" customFormat="false" ht="15.75" hidden="false" customHeight="false" outlineLevel="0" collapsed="false">
      <c r="A397" s="3" t="n">
        <v>396</v>
      </c>
      <c r="B397" s="5" t="s">
        <v>21</v>
      </c>
      <c r="C397" s="5" t="s">
        <v>64</v>
      </c>
      <c r="D397" s="5" t="s">
        <v>16</v>
      </c>
      <c r="E397" s="5" t="s">
        <v>52</v>
      </c>
      <c r="F397" s="6" t="n">
        <v>9.13</v>
      </c>
    </row>
    <row r="398" customFormat="false" ht="15.75" hidden="false" customHeight="false" outlineLevel="0" collapsed="false">
      <c r="A398" s="3" t="n">
        <v>397</v>
      </c>
      <c r="B398" s="5" t="s">
        <v>16</v>
      </c>
      <c r="C398" s="5" t="s">
        <v>34</v>
      </c>
      <c r="D398" s="5" t="s">
        <v>16</v>
      </c>
      <c r="E398" s="5" t="s">
        <v>37</v>
      </c>
      <c r="F398" s="6" t="n">
        <v>6.11</v>
      </c>
    </row>
    <row r="399" customFormat="false" ht="15.75" hidden="false" customHeight="false" outlineLevel="0" collapsed="false">
      <c r="A399" s="3" t="n">
        <v>398</v>
      </c>
      <c r="B399" s="5" t="s">
        <v>16</v>
      </c>
      <c r="C399" s="5" t="s">
        <v>37</v>
      </c>
      <c r="D399" s="5" t="s">
        <v>16</v>
      </c>
      <c r="E399" s="5" t="s">
        <v>17</v>
      </c>
      <c r="F399" s="6" t="n">
        <v>1.63</v>
      </c>
    </row>
    <row r="400" customFormat="false" ht="15.75" hidden="false" customHeight="false" outlineLevel="0" collapsed="false">
      <c r="A400" s="3" t="n">
        <v>399</v>
      </c>
      <c r="B400" s="5" t="s">
        <v>16</v>
      </c>
      <c r="C400" s="5" t="s">
        <v>94</v>
      </c>
      <c r="D400" s="5" t="s">
        <v>21</v>
      </c>
      <c r="E400" s="5" t="s">
        <v>44</v>
      </c>
      <c r="F400" s="6" t="n">
        <v>14.54</v>
      </c>
    </row>
    <row r="401" customFormat="false" ht="15.75" hidden="false" customHeight="false" outlineLevel="0" collapsed="false">
      <c r="A401" s="3" t="n">
        <v>400</v>
      </c>
      <c r="B401" s="5" t="s">
        <v>21</v>
      </c>
      <c r="C401" s="5" t="s">
        <v>109</v>
      </c>
      <c r="D401" s="5" t="s">
        <v>21</v>
      </c>
      <c r="E401" s="5" t="s">
        <v>20</v>
      </c>
      <c r="F401" s="6" t="n">
        <v>4.45</v>
      </c>
    </row>
    <row r="402" customFormat="false" ht="15.75" hidden="false" customHeight="false" outlineLevel="0" collapsed="false">
      <c r="A402" s="3" t="n">
        <v>401</v>
      </c>
      <c r="B402" s="5" t="s">
        <v>21</v>
      </c>
      <c r="C402" s="5" t="s">
        <v>64</v>
      </c>
      <c r="D402" s="5" t="s">
        <v>16</v>
      </c>
      <c r="E402" s="5" t="s">
        <v>30</v>
      </c>
      <c r="F402" s="6" t="n">
        <v>13.73</v>
      </c>
    </row>
    <row r="403" customFormat="false" ht="15.75" hidden="false" customHeight="false" outlineLevel="0" collapsed="false">
      <c r="A403" s="3" t="n">
        <v>402</v>
      </c>
      <c r="B403" s="5" t="s">
        <v>16</v>
      </c>
      <c r="C403" s="5" t="s">
        <v>19</v>
      </c>
      <c r="D403" s="5" t="s">
        <v>16</v>
      </c>
      <c r="E403" s="5" t="s">
        <v>37</v>
      </c>
      <c r="F403" s="6" t="n">
        <v>3.02</v>
      </c>
    </row>
    <row r="404" customFormat="false" ht="15.75" hidden="false" customHeight="false" outlineLevel="0" collapsed="false">
      <c r="A404" s="3" t="n">
        <v>403</v>
      </c>
      <c r="B404" s="5" t="s">
        <v>16</v>
      </c>
      <c r="C404" s="5" t="s">
        <v>37</v>
      </c>
      <c r="D404" s="5" t="s">
        <v>16</v>
      </c>
      <c r="E404" s="5" t="s">
        <v>19</v>
      </c>
      <c r="F404" s="6" t="n">
        <v>5.11</v>
      </c>
    </row>
    <row r="405" customFormat="false" ht="15.75" hidden="false" customHeight="false" outlineLevel="0" collapsed="false">
      <c r="A405" s="3" t="n">
        <v>404</v>
      </c>
      <c r="B405" s="5" t="s">
        <v>16</v>
      </c>
      <c r="C405" s="5" t="s">
        <v>19</v>
      </c>
      <c r="D405" s="5" t="s">
        <v>16</v>
      </c>
      <c r="E405" s="5" t="s">
        <v>42</v>
      </c>
      <c r="F405" s="6" t="n">
        <v>1.9</v>
      </c>
    </row>
    <row r="406" customFormat="false" ht="15.75" hidden="false" customHeight="false" outlineLevel="0" collapsed="false">
      <c r="A406" s="3" t="n">
        <v>405</v>
      </c>
      <c r="B406" s="5" t="s">
        <v>36</v>
      </c>
      <c r="C406" s="5" t="s">
        <v>36</v>
      </c>
      <c r="D406" s="5" t="s">
        <v>36</v>
      </c>
      <c r="E406" s="5" t="s">
        <v>36</v>
      </c>
      <c r="F406" s="6" t="s">
        <v>36</v>
      </c>
    </row>
    <row r="407" customFormat="false" ht="15.75" hidden="false" customHeight="false" outlineLevel="0" collapsed="false">
      <c r="A407" s="3" t="n">
        <v>406</v>
      </c>
      <c r="B407" s="5" t="s">
        <v>16</v>
      </c>
      <c r="C407" s="5" t="s">
        <v>42</v>
      </c>
      <c r="D407" s="5" t="s">
        <v>16</v>
      </c>
      <c r="E407" s="5" t="s">
        <v>57</v>
      </c>
      <c r="F407" s="6" t="n">
        <v>2.41</v>
      </c>
    </row>
    <row r="408" customFormat="false" ht="15.75" hidden="false" customHeight="false" outlineLevel="0" collapsed="false">
      <c r="A408" s="3" t="n">
        <v>407</v>
      </c>
      <c r="B408" s="5" t="s">
        <v>16</v>
      </c>
      <c r="C408" s="5" t="s">
        <v>30</v>
      </c>
      <c r="D408" s="5" t="s">
        <v>16</v>
      </c>
      <c r="E408" s="5" t="s">
        <v>17</v>
      </c>
      <c r="F408" s="6" t="n">
        <v>2.33</v>
      </c>
    </row>
    <row r="409" customFormat="false" ht="15.75" hidden="false" customHeight="false" outlineLevel="0" collapsed="false">
      <c r="A409" s="3" t="n">
        <v>408</v>
      </c>
      <c r="B409" s="5" t="s">
        <v>16</v>
      </c>
      <c r="C409" s="5" t="s">
        <v>17</v>
      </c>
      <c r="D409" s="5" t="s">
        <v>16</v>
      </c>
      <c r="E409" s="5" t="s">
        <v>30</v>
      </c>
      <c r="F409" s="6" t="n">
        <v>2.6</v>
      </c>
    </row>
    <row r="410" customFormat="false" ht="15.75" hidden="false" customHeight="false" outlineLevel="0" collapsed="false">
      <c r="A410" s="3" t="n">
        <v>409</v>
      </c>
      <c r="B410" s="5" t="s">
        <v>16</v>
      </c>
      <c r="C410" s="5" t="s">
        <v>30</v>
      </c>
      <c r="D410" s="5" t="s">
        <v>16</v>
      </c>
      <c r="E410" s="5" t="s">
        <v>18</v>
      </c>
      <c r="F410" s="6" t="n">
        <v>12.78</v>
      </c>
    </row>
    <row r="411" customFormat="false" ht="15.75" hidden="false" customHeight="false" outlineLevel="0" collapsed="false">
      <c r="A411" s="3" t="n">
        <v>410</v>
      </c>
      <c r="B411" s="5" t="s">
        <v>16</v>
      </c>
      <c r="C411" s="5" t="s">
        <v>18</v>
      </c>
      <c r="D411" s="5" t="s">
        <v>21</v>
      </c>
      <c r="E411" s="5" t="s">
        <v>133</v>
      </c>
      <c r="F411" s="6" t="n">
        <v>15.81</v>
      </c>
    </row>
    <row r="412" customFormat="false" ht="15.75" hidden="false" customHeight="false" outlineLevel="0" collapsed="false">
      <c r="A412" s="3" t="n">
        <v>411</v>
      </c>
      <c r="B412" s="5" t="s">
        <v>21</v>
      </c>
      <c r="C412" s="5" t="s">
        <v>133</v>
      </c>
      <c r="D412" s="5" t="s">
        <v>21</v>
      </c>
      <c r="E412" s="5" t="s">
        <v>62</v>
      </c>
      <c r="F412" s="6" t="n">
        <v>5.95</v>
      </c>
    </row>
    <row r="413" customFormat="false" ht="15.75" hidden="false" customHeight="false" outlineLevel="0" collapsed="false">
      <c r="A413" s="3" t="n">
        <v>412</v>
      </c>
      <c r="B413" s="5" t="s">
        <v>21</v>
      </c>
      <c r="C413" s="5" t="s">
        <v>62</v>
      </c>
      <c r="D413" s="5" t="s">
        <v>16</v>
      </c>
      <c r="E413" s="5" t="s">
        <v>33</v>
      </c>
      <c r="F413" s="6" t="n">
        <v>15.48</v>
      </c>
    </row>
    <row r="414" customFormat="false" ht="15.75" hidden="false" customHeight="false" outlineLevel="0" collapsed="false">
      <c r="A414" s="3" t="n">
        <v>413</v>
      </c>
      <c r="B414" s="5" t="s">
        <v>16</v>
      </c>
      <c r="C414" s="5" t="s">
        <v>56</v>
      </c>
      <c r="D414" s="5" t="s">
        <v>16</v>
      </c>
      <c r="E414" s="5" t="s">
        <v>39</v>
      </c>
      <c r="F414" s="6" t="n">
        <v>1.79</v>
      </c>
    </row>
    <row r="415" customFormat="false" ht="15.75" hidden="false" customHeight="false" outlineLevel="0" collapsed="false">
      <c r="A415" s="3" t="n">
        <v>414</v>
      </c>
      <c r="B415" s="5" t="s">
        <v>16</v>
      </c>
      <c r="C415" s="5" t="s">
        <v>39</v>
      </c>
      <c r="D415" s="5" t="s">
        <v>21</v>
      </c>
      <c r="E415" s="5" t="s">
        <v>45</v>
      </c>
      <c r="F415" s="6" t="n">
        <v>13.42</v>
      </c>
    </row>
    <row r="416" customFormat="false" ht="15.75" hidden="false" customHeight="false" outlineLevel="0" collapsed="false">
      <c r="A416" s="3" t="n">
        <v>415</v>
      </c>
      <c r="B416" s="5" t="s">
        <v>21</v>
      </c>
      <c r="C416" s="5" t="s">
        <v>44</v>
      </c>
      <c r="D416" s="5" t="s">
        <v>16</v>
      </c>
      <c r="E416" s="5" t="s">
        <v>18</v>
      </c>
      <c r="F416" s="6" t="n">
        <v>15.92</v>
      </c>
    </row>
    <row r="417" customFormat="false" ht="15.75" hidden="false" customHeight="false" outlineLevel="0" collapsed="false">
      <c r="A417" s="3" t="n">
        <v>416</v>
      </c>
      <c r="B417" s="5" t="s">
        <v>16</v>
      </c>
      <c r="C417" s="5" t="s">
        <v>30</v>
      </c>
      <c r="D417" s="5" t="s">
        <v>16</v>
      </c>
      <c r="E417" s="5" t="s">
        <v>35</v>
      </c>
      <c r="F417" s="6" t="n">
        <v>3.76</v>
      </c>
    </row>
    <row r="418" customFormat="false" ht="15.75" hidden="false" customHeight="false" outlineLevel="0" collapsed="false">
      <c r="A418" s="3" t="n">
        <v>417</v>
      </c>
      <c r="B418" s="5" t="s">
        <v>16</v>
      </c>
      <c r="C418" s="5" t="s">
        <v>35</v>
      </c>
      <c r="D418" s="5" t="s">
        <v>16</v>
      </c>
      <c r="E418" s="5" t="s">
        <v>113</v>
      </c>
      <c r="F418" s="6" t="n">
        <v>1.2</v>
      </c>
    </row>
    <row r="419" customFormat="false" ht="15.75" hidden="false" customHeight="false" outlineLevel="0" collapsed="false">
      <c r="A419" s="3" t="n">
        <v>418</v>
      </c>
      <c r="B419" s="5" t="s">
        <v>16</v>
      </c>
      <c r="C419" s="5" t="s">
        <v>113</v>
      </c>
      <c r="D419" s="5" t="s">
        <v>21</v>
      </c>
      <c r="E419" s="5" t="s">
        <v>121</v>
      </c>
      <c r="F419" s="6" t="n">
        <v>23.74</v>
      </c>
    </row>
    <row r="420" customFormat="false" ht="15.75" hidden="false" customHeight="false" outlineLevel="0" collapsed="false">
      <c r="A420" s="3" t="n">
        <v>419</v>
      </c>
      <c r="B420" s="5" t="s">
        <v>21</v>
      </c>
      <c r="C420" s="5" t="s">
        <v>134</v>
      </c>
      <c r="D420" s="5" t="s">
        <v>21</v>
      </c>
      <c r="E420" s="5" t="s">
        <v>55</v>
      </c>
      <c r="F420" s="6" t="n">
        <v>14.59</v>
      </c>
    </row>
    <row r="421" customFormat="false" ht="15.75" hidden="false" customHeight="false" outlineLevel="0" collapsed="false">
      <c r="A421" s="3" t="n">
        <v>420</v>
      </c>
      <c r="B421" s="5" t="s">
        <v>21</v>
      </c>
      <c r="C421" s="5" t="s">
        <v>55</v>
      </c>
      <c r="D421" s="5" t="s">
        <v>16</v>
      </c>
      <c r="E421" s="5" t="s">
        <v>24</v>
      </c>
      <c r="F421" s="6" t="n">
        <v>8.21</v>
      </c>
    </row>
    <row r="422" customFormat="false" ht="15.75" hidden="false" customHeight="false" outlineLevel="0" collapsed="false">
      <c r="A422" s="3" t="n">
        <v>421</v>
      </c>
      <c r="B422" s="5" t="s">
        <v>21</v>
      </c>
      <c r="C422" s="5" t="s">
        <v>27</v>
      </c>
      <c r="D422" s="5" t="s">
        <v>21</v>
      </c>
      <c r="E422" s="5" t="s">
        <v>117</v>
      </c>
      <c r="F422" s="6" t="n">
        <v>9.11</v>
      </c>
    </row>
    <row r="423" customFormat="false" ht="15.75" hidden="false" customHeight="false" outlineLevel="0" collapsed="false">
      <c r="A423" s="3" t="n">
        <v>422</v>
      </c>
      <c r="B423" s="5" t="s">
        <v>16</v>
      </c>
      <c r="C423" s="5" t="s">
        <v>51</v>
      </c>
      <c r="D423" s="5" t="s">
        <v>21</v>
      </c>
      <c r="E423" s="5" t="s">
        <v>20</v>
      </c>
      <c r="F423" s="6" t="n">
        <v>5.75</v>
      </c>
    </row>
    <row r="424" customFormat="false" ht="15.75" hidden="false" customHeight="false" outlineLevel="0" collapsed="false">
      <c r="A424" s="3" t="n">
        <v>423</v>
      </c>
      <c r="B424" s="5" t="s">
        <v>21</v>
      </c>
      <c r="C424" s="5" t="s">
        <v>64</v>
      </c>
      <c r="D424" s="5" t="s">
        <v>16</v>
      </c>
      <c r="E424" s="5" t="s">
        <v>68</v>
      </c>
      <c r="F424" s="6" t="n">
        <v>8.29</v>
      </c>
    </row>
    <row r="425" customFormat="false" ht="15.75" hidden="false" customHeight="false" outlineLevel="0" collapsed="false">
      <c r="A425" s="3" t="n">
        <v>424</v>
      </c>
      <c r="B425" s="5" t="s">
        <v>21</v>
      </c>
      <c r="C425" s="5" t="s">
        <v>64</v>
      </c>
      <c r="D425" s="5" t="s">
        <v>16</v>
      </c>
      <c r="E425" s="5" t="s">
        <v>19</v>
      </c>
      <c r="F425" s="6" t="n">
        <v>9.9</v>
      </c>
    </row>
    <row r="426" customFormat="false" ht="15.75" hidden="false" customHeight="false" outlineLevel="0" collapsed="false">
      <c r="A426" s="3" t="n">
        <v>425</v>
      </c>
      <c r="B426" s="5" t="s">
        <v>16</v>
      </c>
      <c r="C426" s="5" t="s">
        <v>19</v>
      </c>
      <c r="D426" s="5" t="s">
        <v>16</v>
      </c>
      <c r="E426" s="5" t="s">
        <v>19</v>
      </c>
      <c r="F426" s="6" t="n">
        <v>1.43</v>
      </c>
    </row>
    <row r="427" customFormat="false" ht="15.75" hidden="false" customHeight="false" outlineLevel="0" collapsed="false">
      <c r="A427" s="3" t="n">
        <v>426</v>
      </c>
      <c r="B427" s="5" t="s">
        <v>16</v>
      </c>
      <c r="C427" s="5" t="s">
        <v>19</v>
      </c>
      <c r="D427" s="5" t="s">
        <v>16</v>
      </c>
      <c r="E427" s="5" t="s">
        <v>19</v>
      </c>
      <c r="F427" s="6" t="n">
        <v>0.77</v>
      </c>
    </row>
    <row r="428" customFormat="false" ht="15.75" hidden="false" customHeight="false" outlineLevel="0" collapsed="false">
      <c r="A428" s="3" t="n">
        <v>427</v>
      </c>
      <c r="B428" s="5" t="s">
        <v>16</v>
      </c>
      <c r="C428" s="5" t="s">
        <v>31</v>
      </c>
      <c r="D428" s="5" t="s">
        <v>16</v>
      </c>
      <c r="E428" s="5" t="s">
        <v>135</v>
      </c>
      <c r="F428" s="6" t="n">
        <v>10.55</v>
      </c>
    </row>
    <row r="429" customFormat="false" ht="15.75" hidden="false" customHeight="false" outlineLevel="0" collapsed="false">
      <c r="A429" s="3" t="n">
        <v>428</v>
      </c>
      <c r="B429" s="5" t="s">
        <v>16</v>
      </c>
      <c r="C429" s="5" t="s">
        <v>24</v>
      </c>
      <c r="D429" s="5" t="s">
        <v>21</v>
      </c>
      <c r="E429" s="5" t="s">
        <v>68</v>
      </c>
      <c r="F429" s="6" t="n">
        <v>16.77</v>
      </c>
    </row>
    <row r="430" customFormat="false" ht="15.75" hidden="false" customHeight="false" outlineLevel="0" collapsed="false">
      <c r="A430" s="3" t="n">
        <v>429</v>
      </c>
      <c r="B430" s="5" t="s">
        <v>16</v>
      </c>
      <c r="C430" s="5" t="s">
        <v>30</v>
      </c>
      <c r="D430" s="5" t="s">
        <v>16</v>
      </c>
      <c r="E430" s="5" t="s">
        <v>42</v>
      </c>
      <c r="F430" s="6" t="n">
        <v>3.83</v>
      </c>
    </row>
    <row r="431" customFormat="false" ht="15.75" hidden="false" customHeight="false" outlineLevel="0" collapsed="false">
      <c r="A431" s="3" t="n">
        <v>430</v>
      </c>
      <c r="B431" s="5" t="s">
        <v>16</v>
      </c>
      <c r="C431" s="5" t="s">
        <v>42</v>
      </c>
      <c r="D431" s="5" t="s">
        <v>16</v>
      </c>
      <c r="E431" s="5" t="s">
        <v>42</v>
      </c>
      <c r="F431" s="6" t="n">
        <v>0.76</v>
      </c>
    </row>
    <row r="432" customFormat="false" ht="15.75" hidden="false" customHeight="false" outlineLevel="0" collapsed="false">
      <c r="A432" s="3" t="n">
        <v>431</v>
      </c>
      <c r="B432" s="5" t="s">
        <v>16</v>
      </c>
      <c r="C432" s="5" t="s">
        <v>42</v>
      </c>
      <c r="D432" s="5" t="s">
        <v>16</v>
      </c>
      <c r="E432" s="5" t="s">
        <v>42</v>
      </c>
      <c r="F432" s="6" t="n">
        <v>0.88</v>
      </c>
    </row>
    <row r="433" customFormat="false" ht="15.75" hidden="false" customHeight="false" outlineLevel="0" collapsed="false">
      <c r="A433" s="3" t="n">
        <v>432</v>
      </c>
      <c r="B433" s="5" t="s">
        <v>16</v>
      </c>
      <c r="C433" s="5" t="s">
        <v>34</v>
      </c>
      <c r="D433" s="5" t="s">
        <v>21</v>
      </c>
      <c r="E433" s="5" t="s">
        <v>27</v>
      </c>
      <c r="F433" s="6" t="n">
        <v>13.13</v>
      </c>
    </row>
    <row r="434" customFormat="false" ht="15.75" hidden="false" customHeight="false" outlineLevel="0" collapsed="false">
      <c r="A434" s="3" t="n">
        <v>433</v>
      </c>
      <c r="B434" s="5" t="s">
        <v>16</v>
      </c>
      <c r="C434" s="5" t="s">
        <v>81</v>
      </c>
      <c r="D434" s="5" t="s">
        <v>16</v>
      </c>
      <c r="E434" s="5" t="s">
        <v>27</v>
      </c>
      <c r="F434" s="6" t="n">
        <v>7.54</v>
      </c>
    </row>
    <row r="435" customFormat="false" ht="15.75" hidden="false" customHeight="false" outlineLevel="0" collapsed="false">
      <c r="A435" s="3" t="n">
        <v>434</v>
      </c>
      <c r="B435" s="5" t="s">
        <v>16</v>
      </c>
      <c r="C435" s="5" t="s">
        <v>17</v>
      </c>
      <c r="D435" s="5" t="s">
        <v>16</v>
      </c>
      <c r="E435" s="5" t="s">
        <v>40</v>
      </c>
      <c r="F435" s="6" t="n">
        <v>15.8</v>
      </c>
    </row>
    <row r="436" customFormat="false" ht="15.75" hidden="false" customHeight="false" outlineLevel="0" collapsed="false">
      <c r="A436" s="3" t="n">
        <v>435</v>
      </c>
      <c r="B436" s="5" t="s">
        <v>16</v>
      </c>
      <c r="C436" s="5" t="s">
        <v>40</v>
      </c>
      <c r="D436" s="5" t="s">
        <v>16</v>
      </c>
      <c r="E436" s="5" t="s">
        <v>35</v>
      </c>
      <c r="F436" s="6" t="n">
        <v>20.33</v>
      </c>
    </row>
    <row r="437" customFormat="false" ht="15.75" hidden="false" customHeight="false" outlineLevel="0" collapsed="false">
      <c r="A437" s="3" t="n">
        <v>436</v>
      </c>
      <c r="B437" s="5" t="s">
        <v>16</v>
      </c>
      <c r="C437" s="5" t="s">
        <v>78</v>
      </c>
      <c r="D437" s="5" t="s">
        <v>16</v>
      </c>
      <c r="E437" s="5" t="s">
        <v>18</v>
      </c>
      <c r="F437" s="6" t="n">
        <v>8.27</v>
      </c>
    </row>
    <row r="438" customFormat="false" ht="15.75" hidden="false" customHeight="false" outlineLevel="0" collapsed="false">
      <c r="A438" s="3" t="n">
        <v>437</v>
      </c>
      <c r="B438" s="5" t="s">
        <v>16</v>
      </c>
      <c r="C438" s="5" t="s">
        <v>18</v>
      </c>
      <c r="D438" s="5" t="s">
        <v>16</v>
      </c>
      <c r="E438" s="5" t="s">
        <v>37</v>
      </c>
      <c r="F438" s="6" t="n">
        <v>6.96</v>
      </c>
    </row>
    <row r="439" customFormat="false" ht="15.75" hidden="false" customHeight="false" outlineLevel="0" collapsed="false">
      <c r="A439" s="3" t="n">
        <v>438</v>
      </c>
      <c r="B439" s="5" t="s">
        <v>16</v>
      </c>
      <c r="C439" s="5" t="s">
        <v>94</v>
      </c>
      <c r="D439" s="5" t="s">
        <v>16</v>
      </c>
      <c r="E439" s="5" t="s">
        <v>30</v>
      </c>
      <c r="F439" s="6" t="n">
        <v>1.51</v>
      </c>
    </row>
    <row r="440" customFormat="false" ht="15.75" hidden="false" customHeight="false" outlineLevel="0" collapsed="false">
      <c r="A440" s="3" t="n">
        <v>439</v>
      </c>
      <c r="B440" s="5" t="s">
        <v>16</v>
      </c>
      <c r="C440" s="5" t="s">
        <v>57</v>
      </c>
      <c r="D440" s="5" t="s">
        <v>16</v>
      </c>
      <c r="E440" s="5" t="s">
        <v>31</v>
      </c>
      <c r="F440" s="6" t="n">
        <v>2.75</v>
      </c>
    </row>
    <row r="441" customFormat="false" ht="15.75" hidden="false" customHeight="false" outlineLevel="0" collapsed="false">
      <c r="A441" s="3" t="n">
        <v>440</v>
      </c>
      <c r="B441" s="5" t="s">
        <v>16</v>
      </c>
      <c r="C441" s="5" t="s">
        <v>28</v>
      </c>
      <c r="D441" s="5" t="s">
        <v>16</v>
      </c>
      <c r="E441" s="5" t="s">
        <v>30</v>
      </c>
      <c r="F441" s="6" t="n">
        <v>4.17</v>
      </c>
    </row>
    <row r="442" customFormat="false" ht="15.75" hidden="false" customHeight="false" outlineLevel="0" collapsed="false">
      <c r="A442" s="3" t="n">
        <v>441</v>
      </c>
      <c r="B442" s="5" t="s">
        <v>16</v>
      </c>
      <c r="C442" s="5" t="s">
        <v>30</v>
      </c>
      <c r="D442" s="5" t="s">
        <v>16</v>
      </c>
      <c r="E442" s="5" t="s">
        <v>31</v>
      </c>
      <c r="F442" s="6" t="n">
        <v>2.82</v>
      </c>
    </row>
    <row r="443" customFormat="false" ht="15.75" hidden="false" customHeight="false" outlineLevel="0" collapsed="false">
      <c r="A443" s="3" t="n">
        <v>442</v>
      </c>
      <c r="B443" s="5" t="s">
        <v>16</v>
      </c>
      <c r="C443" s="5" t="s">
        <v>31</v>
      </c>
      <c r="D443" s="5" t="s">
        <v>16</v>
      </c>
      <c r="E443" s="5" t="s">
        <v>19</v>
      </c>
      <c r="F443" s="6" t="n">
        <v>2.64</v>
      </c>
    </row>
    <row r="444" customFormat="false" ht="15.75" hidden="false" customHeight="false" outlineLevel="0" collapsed="false">
      <c r="A444" s="3" t="n">
        <v>443</v>
      </c>
      <c r="B444" s="5" t="s">
        <v>16</v>
      </c>
      <c r="C444" s="5" t="s">
        <v>30</v>
      </c>
      <c r="D444" s="5" t="s">
        <v>16</v>
      </c>
      <c r="E444" s="5" t="s">
        <v>30</v>
      </c>
      <c r="F444" s="6" t="n">
        <v>0.93</v>
      </c>
    </row>
    <row r="445" customFormat="false" ht="15.75" hidden="false" customHeight="false" outlineLevel="0" collapsed="false">
      <c r="A445" s="3" t="n">
        <v>444</v>
      </c>
      <c r="B445" s="5" t="s">
        <v>36</v>
      </c>
      <c r="C445" s="5" t="s">
        <v>36</v>
      </c>
      <c r="D445" s="5" t="s">
        <v>36</v>
      </c>
      <c r="E445" s="5" t="s">
        <v>36</v>
      </c>
      <c r="F445" s="6" t="s">
        <v>36</v>
      </c>
    </row>
    <row r="446" customFormat="false" ht="15.75" hidden="false" customHeight="false" outlineLevel="0" collapsed="false">
      <c r="A446" s="3" t="n">
        <v>445</v>
      </c>
      <c r="B446" s="5" t="s">
        <v>16</v>
      </c>
      <c r="C446" s="5" t="s">
        <v>30</v>
      </c>
      <c r="D446" s="5" t="s">
        <v>16</v>
      </c>
      <c r="E446" s="5" t="s">
        <v>40</v>
      </c>
      <c r="F446" s="6" t="n">
        <v>11.64</v>
      </c>
    </row>
    <row r="447" customFormat="false" ht="15.75" hidden="false" customHeight="false" outlineLevel="0" collapsed="false">
      <c r="A447" s="3" t="n">
        <v>446</v>
      </c>
      <c r="B447" s="5" t="s">
        <v>16</v>
      </c>
      <c r="C447" s="5" t="s">
        <v>117</v>
      </c>
      <c r="D447" s="5" t="s">
        <v>16</v>
      </c>
      <c r="E447" s="5" t="s">
        <v>47</v>
      </c>
      <c r="F447" s="6" t="n">
        <v>3.89</v>
      </c>
    </row>
    <row r="448" customFormat="false" ht="15.75" hidden="false" customHeight="false" outlineLevel="0" collapsed="false">
      <c r="A448" s="3" t="n">
        <v>447</v>
      </c>
      <c r="B448" s="5" t="s">
        <v>16</v>
      </c>
      <c r="C448" s="5" t="s">
        <v>47</v>
      </c>
      <c r="D448" s="5" t="s">
        <v>16</v>
      </c>
      <c r="E448" s="5" t="s">
        <v>81</v>
      </c>
      <c r="F448" s="6" t="n">
        <v>1.58</v>
      </c>
    </row>
    <row r="449" customFormat="false" ht="15.75" hidden="false" customHeight="false" outlineLevel="0" collapsed="false">
      <c r="A449" s="3" t="n">
        <v>448</v>
      </c>
      <c r="B449" s="5" t="s">
        <v>16</v>
      </c>
      <c r="C449" s="5" t="s">
        <v>95</v>
      </c>
      <c r="D449" s="5" t="s">
        <v>16</v>
      </c>
      <c r="E449" s="5" t="s">
        <v>34</v>
      </c>
      <c r="F449" s="6" t="n">
        <v>6.29</v>
      </c>
    </row>
    <row r="450" customFormat="false" ht="15.75" hidden="false" customHeight="false" outlineLevel="0" collapsed="false">
      <c r="A450" s="3" t="n">
        <v>449</v>
      </c>
      <c r="B450" s="5" t="s">
        <v>16</v>
      </c>
      <c r="C450" s="5" t="s">
        <v>68</v>
      </c>
      <c r="D450" s="5" t="s">
        <v>21</v>
      </c>
      <c r="E450" s="5" t="s">
        <v>27</v>
      </c>
      <c r="F450" s="6" t="n">
        <v>16.12</v>
      </c>
    </row>
    <row r="451" customFormat="false" ht="15.75" hidden="false" customHeight="false" outlineLevel="0" collapsed="false">
      <c r="A451" s="3" t="n">
        <v>450</v>
      </c>
      <c r="B451" s="5" t="s">
        <v>21</v>
      </c>
      <c r="C451" s="5" t="s">
        <v>66</v>
      </c>
      <c r="D451" s="5" t="s">
        <v>16</v>
      </c>
      <c r="E451" s="5" t="s">
        <v>32</v>
      </c>
      <c r="F451" s="6" t="n">
        <v>17.68</v>
      </c>
    </row>
    <row r="452" customFormat="false" ht="15.75" hidden="false" customHeight="false" outlineLevel="0" collapsed="false">
      <c r="A452" s="3" t="n">
        <v>451</v>
      </c>
      <c r="B452" s="5" t="s">
        <v>16</v>
      </c>
      <c r="C452" s="5" t="s">
        <v>124</v>
      </c>
      <c r="D452" s="5" t="s">
        <v>16</v>
      </c>
      <c r="E452" s="5" t="s">
        <v>124</v>
      </c>
      <c r="F452" s="6" t="s">
        <v>36</v>
      </c>
    </row>
    <row r="453" customFormat="false" ht="15.75" hidden="false" customHeight="false" outlineLevel="0" collapsed="false">
      <c r="A453" s="3" t="n">
        <v>452</v>
      </c>
      <c r="B453" s="5" t="s">
        <v>16</v>
      </c>
      <c r="C453" s="5" t="s">
        <v>75</v>
      </c>
      <c r="D453" s="5" t="s">
        <v>16</v>
      </c>
      <c r="E453" s="5" t="s">
        <v>56</v>
      </c>
      <c r="F453" s="6" t="n">
        <v>3.1</v>
      </c>
    </row>
    <row r="454" customFormat="false" ht="15.75" hidden="false" customHeight="false" outlineLevel="0" collapsed="false">
      <c r="A454" s="3" t="n">
        <v>453</v>
      </c>
      <c r="B454" s="5" t="s">
        <v>16</v>
      </c>
      <c r="C454" s="5" t="s">
        <v>33</v>
      </c>
      <c r="D454" s="5" t="s">
        <v>16</v>
      </c>
      <c r="E454" s="5" t="s">
        <v>57</v>
      </c>
      <c r="F454" s="6" t="n">
        <v>11.17</v>
      </c>
    </row>
    <row r="455" customFormat="false" ht="15.75" hidden="false" customHeight="false" outlineLevel="0" collapsed="false">
      <c r="A455" s="3" t="n">
        <v>454</v>
      </c>
      <c r="B455" s="5" t="s">
        <v>16</v>
      </c>
      <c r="C455" s="5" t="s">
        <v>106</v>
      </c>
      <c r="D455" s="5" t="s">
        <v>72</v>
      </c>
      <c r="E455" s="5" t="s">
        <v>136</v>
      </c>
      <c r="F455" s="6" t="n">
        <v>13.57</v>
      </c>
    </row>
    <row r="456" customFormat="false" ht="15.75" hidden="false" customHeight="false" outlineLevel="0" collapsed="false">
      <c r="A456" s="3" t="n">
        <v>455</v>
      </c>
      <c r="B456" s="5" t="s">
        <v>72</v>
      </c>
      <c r="C456" s="5" t="s">
        <v>73</v>
      </c>
      <c r="D456" s="5" t="s">
        <v>16</v>
      </c>
      <c r="E456" s="5" t="s">
        <v>30</v>
      </c>
      <c r="F456" s="6" t="n">
        <v>13.21</v>
      </c>
    </row>
    <row r="457" customFormat="false" ht="15.75" hidden="false" customHeight="false" outlineLevel="0" collapsed="false">
      <c r="A457" s="3" t="n">
        <v>456</v>
      </c>
      <c r="B457" s="5" t="s">
        <v>16</v>
      </c>
      <c r="C457" s="5" t="s">
        <v>31</v>
      </c>
      <c r="D457" s="5" t="s">
        <v>16</v>
      </c>
      <c r="E457" s="5" t="s">
        <v>31</v>
      </c>
      <c r="F457" s="6" t="n">
        <v>1.98</v>
      </c>
    </row>
    <row r="458" customFormat="false" ht="15.75" hidden="false" customHeight="false" outlineLevel="0" collapsed="false">
      <c r="A458" s="3" t="n">
        <v>457</v>
      </c>
      <c r="B458" s="5" t="s">
        <v>16</v>
      </c>
      <c r="C458" s="5" t="s">
        <v>18</v>
      </c>
      <c r="D458" s="5" t="s">
        <v>16</v>
      </c>
      <c r="E458" s="5" t="s">
        <v>30</v>
      </c>
      <c r="F458" s="6" t="n">
        <v>8.69</v>
      </c>
    </row>
    <row r="459" customFormat="false" ht="15.75" hidden="false" customHeight="false" outlineLevel="0" collapsed="false">
      <c r="A459" s="3" t="n">
        <v>458</v>
      </c>
      <c r="B459" s="5" t="s">
        <v>16</v>
      </c>
      <c r="C459" s="5" t="s">
        <v>29</v>
      </c>
      <c r="D459" s="5" t="s">
        <v>21</v>
      </c>
      <c r="E459" s="5" t="s">
        <v>55</v>
      </c>
      <c r="F459" s="6" t="n">
        <v>21.29</v>
      </c>
    </row>
    <row r="460" customFormat="false" ht="15.75" hidden="false" customHeight="false" outlineLevel="0" collapsed="false">
      <c r="A460" s="3" t="n">
        <v>459</v>
      </c>
      <c r="B460" s="5" t="s">
        <v>21</v>
      </c>
      <c r="C460" s="5" t="s">
        <v>55</v>
      </c>
      <c r="D460" s="5" t="s">
        <v>21</v>
      </c>
      <c r="E460" s="5" t="s">
        <v>137</v>
      </c>
      <c r="F460" s="6" t="n">
        <v>1.16</v>
      </c>
    </row>
    <row r="461" customFormat="false" ht="15.75" hidden="false" customHeight="false" outlineLevel="0" collapsed="false">
      <c r="A461" s="3" t="n">
        <v>460</v>
      </c>
      <c r="B461" s="5" t="s">
        <v>21</v>
      </c>
      <c r="C461" s="5" t="s">
        <v>58</v>
      </c>
      <c r="D461" s="5" t="s">
        <v>21</v>
      </c>
      <c r="E461" s="5" t="s">
        <v>138</v>
      </c>
      <c r="F461" s="6" t="n">
        <v>6.62</v>
      </c>
    </row>
    <row r="462" customFormat="false" ht="15.75" hidden="false" customHeight="false" outlineLevel="0" collapsed="false">
      <c r="A462" s="3" t="n">
        <v>461</v>
      </c>
      <c r="B462" s="5" t="s">
        <v>21</v>
      </c>
      <c r="C462" s="5" t="s">
        <v>138</v>
      </c>
      <c r="D462" s="5" t="s">
        <v>16</v>
      </c>
      <c r="E462" s="5" t="s">
        <v>28</v>
      </c>
      <c r="F462" s="6" t="n">
        <v>17.92</v>
      </c>
    </row>
    <row r="463" customFormat="false" ht="15.75" hidden="false" customHeight="false" outlineLevel="0" collapsed="false">
      <c r="A463" s="3" t="n">
        <v>462</v>
      </c>
      <c r="B463" s="5" t="s">
        <v>16</v>
      </c>
      <c r="C463" s="5" t="s">
        <v>86</v>
      </c>
      <c r="D463" s="5" t="s">
        <v>21</v>
      </c>
      <c r="E463" s="5" t="s">
        <v>139</v>
      </c>
      <c r="F463" s="6" t="n">
        <v>11.83</v>
      </c>
    </row>
    <row r="464" customFormat="false" ht="15.75" hidden="false" customHeight="false" outlineLevel="0" collapsed="false">
      <c r="A464" s="3" t="n">
        <v>463</v>
      </c>
      <c r="B464" s="5" t="s">
        <v>16</v>
      </c>
      <c r="C464" s="5" t="s">
        <v>68</v>
      </c>
      <c r="D464" s="5" t="s">
        <v>16</v>
      </c>
      <c r="E464" s="5" t="s">
        <v>68</v>
      </c>
      <c r="F464" s="6" t="n">
        <v>1.51</v>
      </c>
    </row>
    <row r="465" customFormat="false" ht="15.75" hidden="false" customHeight="false" outlineLevel="0" collapsed="false">
      <c r="A465" s="3" t="n">
        <v>464</v>
      </c>
      <c r="B465" s="5" t="s">
        <v>16</v>
      </c>
      <c r="C465" s="5" t="s">
        <v>68</v>
      </c>
      <c r="D465" s="5" t="s">
        <v>16</v>
      </c>
      <c r="E465" s="5" t="s">
        <v>68</v>
      </c>
      <c r="F465" s="6" t="n">
        <v>1.41</v>
      </c>
    </row>
    <row r="466" customFormat="false" ht="15.75" hidden="false" customHeight="false" outlineLevel="0" collapsed="false">
      <c r="A466" s="3" t="n">
        <v>465</v>
      </c>
      <c r="B466" s="5" t="s">
        <v>16</v>
      </c>
      <c r="C466" s="5" t="s">
        <v>68</v>
      </c>
      <c r="D466" s="5" t="s">
        <v>21</v>
      </c>
      <c r="E466" s="5" t="s">
        <v>20</v>
      </c>
      <c r="F466" s="6" t="n">
        <v>8.81</v>
      </c>
    </row>
    <row r="467" customFormat="false" ht="15.75" hidden="false" customHeight="false" outlineLevel="0" collapsed="false">
      <c r="A467" s="3" t="n">
        <v>466</v>
      </c>
      <c r="B467" s="5" t="s">
        <v>21</v>
      </c>
      <c r="C467" s="5" t="s">
        <v>64</v>
      </c>
      <c r="D467" s="5" t="s">
        <v>21</v>
      </c>
      <c r="E467" s="5" t="s">
        <v>20</v>
      </c>
      <c r="F467" s="6" t="n">
        <v>3.36</v>
      </c>
    </row>
    <row r="468" customFormat="false" ht="15.75" hidden="false" customHeight="false" outlineLevel="0" collapsed="false">
      <c r="A468" s="3" t="n">
        <v>467</v>
      </c>
      <c r="B468" s="5" t="s">
        <v>21</v>
      </c>
      <c r="C468" s="5" t="s">
        <v>64</v>
      </c>
      <c r="D468" s="5" t="s">
        <v>16</v>
      </c>
      <c r="E468" s="5" t="s">
        <v>31</v>
      </c>
      <c r="F468" s="6" t="n">
        <v>15.81</v>
      </c>
    </row>
    <row r="469" customFormat="false" ht="15.75" hidden="false" customHeight="false" outlineLevel="0" collapsed="false">
      <c r="A469" s="3" t="n">
        <v>468</v>
      </c>
      <c r="B469" s="5" t="s">
        <v>16</v>
      </c>
      <c r="C469" s="5" t="s">
        <v>30</v>
      </c>
      <c r="D469" s="5" t="s">
        <v>16</v>
      </c>
      <c r="E469" s="5" t="s">
        <v>31</v>
      </c>
      <c r="F469" s="6" t="n">
        <v>2.26</v>
      </c>
    </row>
    <row r="470" customFormat="false" ht="15.75" hidden="false" customHeight="false" outlineLevel="0" collapsed="false">
      <c r="A470" s="3" t="n">
        <v>469</v>
      </c>
      <c r="B470" s="5" t="s">
        <v>16</v>
      </c>
      <c r="C470" s="5" t="s">
        <v>37</v>
      </c>
      <c r="D470" s="5" t="s">
        <v>16</v>
      </c>
      <c r="E470" s="5" t="s">
        <v>27</v>
      </c>
      <c r="F470" s="6" t="n">
        <v>6.83</v>
      </c>
    </row>
    <row r="471" customFormat="false" ht="15.75" hidden="false" customHeight="false" outlineLevel="0" collapsed="false">
      <c r="A471" s="3" t="n">
        <v>470</v>
      </c>
      <c r="B471" s="5" t="s">
        <v>16</v>
      </c>
      <c r="C471" s="5" t="s">
        <v>27</v>
      </c>
      <c r="D471" s="5" t="s">
        <v>16</v>
      </c>
      <c r="E471" s="5" t="s">
        <v>40</v>
      </c>
      <c r="F471" s="6" t="n">
        <v>5.56</v>
      </c>
    </row>
    <row r="472" customFormat="false" ht="15.75" hidden="false" customHeight="false" outlineLevel="0" collapsed="false">
      <c r="A472" s="3" t="n">
        <v>471</v>
      </c>
      <c r="B472" s="5" t="s">
        <v>16</v>
      </c>
      <c r="C472" s="5" t="s">
        <v>118</v>
      </c>
      <c r="D472" s="5" t="s">
        <v>16</v>
      </c>
      <c r="E472" s="5" t="s">
        <v>33</v>
      </c>
      <c r="F472" s="6" t="n">
        <v>8.39</v>
      </c>
    </row>
    <row r="473" customFormat="false" ht="15.75" hidden="false" customHeight="false" outlineLevel="0" collapsed="false">
      <c r="A473" s="3" t="n">
        <v>472</v>
      </c>
      <c r="B473" s="5" t="s">
        <v>16</v>
      </c>
      <c r="C473" s="5" t="s">
        <v>33</v>
      </c>
      <c r="D473" s="5" t="s">
        <v>16</v>
      </c>
      <c r="E473" s="5" t="s">
        <v>18</v>
      </c>
      <c r="F473" s="6" t="n">
        <v>14.69</v>
      </c>
    </row>
    <row r="474" customFormat="false" ht="15.75" hidden="false" customHeight="false" outlineLevel="0" collapsed="false">
      <c r="A474" s="3" t="n">
        <v>473</v>
      </c>
      <c r="B474" s="5" t="s">
        <v>16</v>
      </c>
      <c r="C474" s="5" t="s">
        <v>85</v>
      </c>
      <c r="D474" s="5" t="s">
        <v>16</v>
      </c>
      <c r="E474" s="5" t="s">
        <v>33</v>
      </c>
      <c r="F474" s="6" t="n">
        <v>10.92</v>
      </c>
    </row>
    <row r="475" customFormat="false" ht="15.75" hidden="false" customHeight="false" outlineLevel="0" collapsed="false">
      <c r="A475" s="3" t="n">
        <v>474</v>
      </c>
      <c r="B475" s="5" t="s">
        <v>16</v>
      </c>
      <c r="C475" s="5" t="s">
        <v>33</v>
      </c>
      <c r="D475" s="5" t="s">
        <v>16</v>
      </c>
      <c r="E475" s="5" t="s">
        <v>124</v>
      </c>
      <c r="F475" s="6" t="n">
        <v>6.53</v>
      </c>
    </row>
    <row r="476" customFormat="false" ht="15.75" hidden="false" customHeight="false" outlineLevel="0" collapsed="false">
      <c r="A476" s="3" t="n">
        <v>475</v>
      </c>
      <c r="B476" s="5" t="s">
        <v>16</v>
      </c>
      <c r="C476" s="5" t="s">
        <v>29</v>
      </c>
      <c r="D476" s="5" t="s">
        <v>16</v>
      </c>
      <c r="E476" s="5" t="s">
        <v>19</v>
      </c>
      <c r="F476" s="6" t="n">
        <v>2.79</v>
      </c>
    </row>
    <row r="477" customFormat="false" ht="15.75" hidden="false" customHeight="false" outlineLevel="0" collapsed="false">
      <c r="A477" s="3" t="n">
        <v>476</v>
      </c>
      <c r="B477" s="5" t="s">
        <v>36</v>
      </c>
      <c r="C477" s="5" t="s">
        <v>36</v>
      </c>
      <c r="D477" s="5" t="s">
        <v>36</v>
      </c>
      <c r="E477" s="5" t="s">
        <v>36</v>
      </c>
      <c r="F477" s="6" t="s">
        <v>36</v>
      </c>
    </row>
    <row r="478" customFormat="false" ht="15.75" hidden="false" customHeight="false" outlineLevel="0" collapsed="false">
      <c r="A478" s="3" t="n">
        <v>477</v>
      </c>
      <c r="B478" s="5" t="s">
        <v>16</v>
      </c>
      <c r="C478" s="5" t="s">
        <v>79</v>
      </c>
      <c r="D478" s="5" t="s">
        <v>21</v>
      </c>
      <c r="E478" s="5" t="s">
        <v>20</v>
      </c>
      <c r="F478" s="6" t="n">
        <v>19.05</v>
      </c>
    </row>
    <row r="479" customFormat="false" ht="15.75" hidden="false" customHeight="false" outlineLevel="0" collapsed="false">
      <c r="A479" s="3" t="n">
        <v>478</v>
      </c>
      <c r="B479" s="5" t="s">
        <v>21</v>
      </c>
      <c r="C479" s="5" t="s">
        <v>64</v>
      </c>
      <c r="D479" s="5" t="s">
        <v>16</v>
      </c>
      <c r="E479" s="5" t="s">
        <v>37</v>
      </c>
      <c r="F479" s="6" t="n">
        <v>15.31</v>
      </c>
    </row>
    <row r="480" customFormat="false" ht="15.75" hidden="false" customHeight="false" outlineLevel="0" collapsed="false">
      <c r="A480" s="3" t="n">
        <v>479</v>
      </c>
      <c r="B480" s="5" t="s">
        <v>16</v>
      </c>
      <c r="C480" s="5" t="s">
        <v>30</v>
      </c>
      <c r="D480" s="5" t="s">
        <v>16</v>
      </c>
      <c r="E480" s="5" t="s">
        <v>81</v>
      </c>
      <c r="F480" s="6" t="n">
        <v>8.45</v>
      </c>
    </row>
    <row r="481" customFormat="false" ht="15.75" hidden="false" customHeight="false" outlineLevel="0" collapsed="false">
      <c r="A481" s="3" t="n">
        <v>480</v>
      </c>
      <c r="B481" s="5" t="s">
        <v>16</v>
      </c>
      <c r="C481" s="5" t="s">
        <v>81</v>
      </c>
      <c r="D481" s="5" t="s">
        <v>21</v>
      </c>
      <c r="E481" s="5" t="s">
        <v>20</v>
      </c>
      <c r="F481" s="6" t="n">
        <v>9.75</v>
      </c>
    </row>
    <row r="482" customFormat="false" ht="15.75" hidden="false" customHeight="false" outlineLevel="0" collapsed="false">
      <c r="A482" s="3" t="n">
        <v>481</v>
      </c>
      <c r="B482" s="5" t="s">
        <v>21</v>
      </c>
      <c r="C482" s="5" t="s">
        <v>64</v>
      </c>
      <c r="D482" s="5" t="s">
        <v>21</v>
      </c>
      <c r="E482" s="5" t="s">
        <v>20</v>
      </c>
      <c r="F482" s="6" t="n">
        <v>1.93</v>
      </c>
    </row>
    <row r="483" customFormat="false" ht="15.75" hidden="false" customHeight="false" outlineLevel="0" collapsed="false">
      <c r="A483" s="3" t="n">
        <v>482</v>
      </c>
      <c r="B483" s="5" t="s">
        <v>16</v>
      </c>
      <c r="C483" s="5" t="s">
        <v>31</v>
      </c>
      <c r="D483" s="5" t="s">
        <v>16</v>
      </c>
      <c r="E483" s="5" t="s">
        <v>27</v>
      </c>
      <c r="F483" s="6" t="n">
        <v>4.48</v>
      </c>
    </row>
    <row r="484" customFormat="false" ht="15.75" hidden="false" customHeight="false" outlineLevel="0" collapsed="false">
      <c r="A484" s="3" t="n">
        <v>483</v>
      </c>
      <c r="B484" s="5" t="s">
        <v>16</v>
      </c>
      <c r="C484" s="5" t="s">
        <v>27</v>
      </c>
      <c r="D484" s="5" t="s">
        <v>16</v>
      </c>
      <c r="E484" s="5" t="s">
        <v>93</v>
      </c>
      <c r="F484" s="6" t="n">
        <v>3.6</v>
      </c>
    </row>
    <row r="485" customFormat="false" ht="15.75" hidden="false" customHeight="false" outlineLevel="0" collapsed="false">
      <c r="A485" s="3" t="n">
        <v>484</v>
      </c>
      <c r="B485" s="5" t="s">
        <v>16</v>
      </c>
      <c r="C485" s="5" t="s">
        <v>40</v>
      </c>
      <c r="D485" s="5" t="s">
        <v>21</v>
      </c>
      <c r="E485" s="5" t="s">
        <v>27</v>
      </c>
      <c r="F485" s="6" t="n">
        <v>7.81</v>
      </c>
    </row>
    <row r="486" customFormat="false" ht="15.75" hidden="false" customHeight="false" outlineLevel="0" collapsed="false">
      <c r="A486" s="3" t="n">
        <v>485</v>
      </c>
      <c r="B486" s="5" t="s">
        <v>21</v>
      </c>
      <c r="C486" s="5" t="s">
        <v>27</v>
      </c>
      <c r="D486" s="5" t="s">
        <v>16</v>
      </c>
      <c r="E486" s="5" t="s">
        <v>34</v>
      </c>
      <c r="F486" s="6" t="n">
        <v>11.85</v>
      </c>
    </row>
    <row r="487" customFormat="false" ht="15.75" hidden="false" customHeight="false" outlineLevel="0" collapsed="false">
      <c r="A487" s="3" t="n">
        <v>486</v>
      </c>
      <c r="B487" s="5" t="s">
        <v>16</v>
      </c>
      <c r="C487" s="5" t="s">
        <v>31</v>
      </c>
      <c r="D487" s="5" t="s">
        <v>16</v>
      </c>
      <c r="E487" s="5" t="s">
        <v>51</v>
      </c>
      <c r="F487" s="6" t="n">
        <v>9.02</v>
      </c>
    </row>
    <row r="488" customFormat="false" ht="15.75" hidden="false" customHeight="false" outlineLevel="0" collapsed="false">
      <c r="A488" s="3" t="n">
        <v>487</v>
      </c>
      <c r="B488" s="5" t="s">
        <v>16</v>
      </c>
      <c r="C488" s="5" t="s">
        <v>40</v>
      </c>
      <c r="D488" s="5" t="s">
        <v>16</v>
      </c>
      <c r="E488" s="5" t="s">
        <v>30</v>
      </c>
      <c r="F488" s="6" t="n">
        <v>13.45</v>
      </c>
    </row>
    <row r="489" customFormat="false" ht="15.75" hidden="false" customHeight="false" outlineLevel="0" collapsed="false">
      <c r="A489" s="3" t="n">
        <v>488</v>
      </c>
      <c r="B489" s="5" t="s">
        <v>16</v>
      </c>
      <c r="C489" s="5" t="s">
        <v>17</v>
      </c>
      <c r="D489" s="5" t="s">
        <v>16</v>
      </c>
      <c r="E489" s="5" t="s">
        <v>27</v>
      </c>
      <c r="F489" s="6" t="n">
        <v>5.32</v>
      </c>
    </row>
    <row r="490" customFormat="false" ht="15.75" hidden="false" customHeight="false" outlineLevel="0" collapsed="false">
      <c r="A490" s="3" t="n">
        <v>489</v>
      </c>
      <c r="B490" s="5" t="s">
        <v>16</v>
      </c>
      <c r="C490" s="5" t="s">
        <v>27</v>
      </c>
      <c r="D490" s="5" t="s">
        <v>16</v>
      </c>
      <c r="E490" s="5" t="s">
        <v>93</v>
      </c>
      <c r="F490" s="6" t="n">
        <v>5.12</v>
      </c>
    </row>
    <row r="491" customFormat="false" ht="15.75" hidden="false" customHeight="false" outlineLevel="0" collapsed="false">
      <c r="A491" s="3" t="n">
        <v>490</v>
      </c>
      <c r="B491" s="5" t="s">
        <v>16</v>
      </c>
      <c r="C491" s="5" t="s">
        <v>93</v>
      </c>
      <c r="D491" s="5" t="s">
        <v>21</v>
      </c>
      <c r="E491" s="5" t="s">
        <v>27</v>
      </c>
      <c r="F491" s="6" t="n">
        <v>7.04</v>
      </c>
    </row>
    <row r="492" customFormat="false" ht="15.75" hidden="false" customHeight="false" outlineLevel="0" collapsed="false">
      <c r="A492" s="3" t="n">
        <v>491</v>
      </c>
      <c r="B492" s="5" t="s">
        <v>21</v>
      </c>
      <c r="C492" s="5" t="s">
        <v>64</v>
      </c>
      <c r="D492" s="5" t="s">
        <v>16</v>
      </c>
      <c r="E492" s="5" t="s">
        <v>35</v>
      </c>
      <c r="F492" s="6" t="n">
        <v>14.08</v>
      </c>
    </row>
    <row r="493" customFormat="false" ht="15.75" hidden="false" customHeight="false" outlineLevel="0" collapsed="false">
      <c r="A493" s="3" t="n">
        <v>492</v>
      </c>
      <c r="B493" s="5" t="s">
        <v>16</v>
      </c>
      <c r="C493" s="5" t="s">
        <v>81</v>
      </c>
      <c r="D493" s="5" t="s">
        <v>16</v>
      </c>
      <c r="E493" s="5" t="s">
        <v>106</v>
      </c>
      <c r="F493" s="6" t="n">
        <v>17.39</v>
      </c>
    </row>
    <row r="494" customFormat="false" ht="15.75" hidden="false" customHeight="false" outlineLevel="0" collapsed="false">
      <c r="A494" s="3" t="n">
        <v>493</v>
      </c>
      <c r="B494" s="5" t="s">
        <v>16</v>
      </c>
      <c r="C494" s="5" t="s">
        <v>68</v>
      </c>
      <c r="D494" s="5" t="s">
        <v>16</v>
      </c>
      <c r="E494" s="5" t="s">
        <v>81</v>
      </c>
      <c r="F494" s="6" t="n">
        <v>8.97</v>
      </c>
    </row>
    <row r="495" customFormat="false" ht="15.75" hidden="false" customHeight="false" outlineLevel="0" collapsed="false">
      <c r="A495" s="3" t="n">
        <v>494</v>
      </c>
      <c r="B495" s="5" t="s">
        <v>16</v>
      </c>
      <c r="C495" s="5" t="s">
        <v>81</v>
      </c>
      <c r="D495" s="5" t="s">
        <v>16</v>
      </c>
      <c r="E495" s="5" t="s">
        <v>140</v>
      </c>
      <c r="F495" s="6" t="n">
        <v>13.4</v>
      </c>
    </row>
    <row r="496" customFormat="false" ht="15.75" hidden="false" customHeight="false" outlineLevel="0" collapsed="false">
      <c r="A496" s="3" t="n">
        <v>495</v>
      </c>
      <c r="B496" s="5" t="s">
        <v>16</v>
      </c>
      <c r="C496" s="5" t="s">
        <v>140</v>
      </c>
      <c r="D496" s="5" t="s">
        <v>16</v>
      </c>
      <c r="E496" s="5" t="s">
        <v>19</v>
      </c>
      <c r="F496" s="6" t="n">
        <v>7</v>
      </c>
    </row>
    <row r="497" customFormat="false" ht="15.75" hidden="false" customHeight="false" outlineLevel="0" collapsed="false">
      <c r="A497" s="3" t="n">
        <v>496</v>
      </c>
      <c r="B497" s="5" t="s">
        <v>16</v>
      </c>
      <c r="C497" s="5" t="s">
        <v>19</v>
      </c>
      <c r="D497" s="5" t="s">
        <v>16</v>
      </c>
      <c r="E497" s="5" t="s">
        <v>19</v>
      </c>
      <c r="F497" s="6" t="n">
        <v>1.01</v>
      </c>
    </row>
    <row r="498" customFormat="false" ht="15.75" hidden="false" customHeight="false" outlineLevel="0" collapsed="false">
      <c r="A498" s="3" t="n">
        <v>497</v>
      </c>
      <c r="B498" s="5" t="s">
        <v>16</v>
      </c>
      <c r="C498" s="5" t="s">
        <v>19</v>
      </c>
      <c r="D498" s="5" t="s">
        <v>21</v>
      </c>
      <c r="E498" s="5" t="s">
        <v>20</v>
      </c>
      <c r="F498" s="6" t="n">
        <v>11.73</v>
      </c>
    </row>
    <row r="499" customFormat="false" ht="15.75" hidden="false" customHeight="false" outlineLevel="0" collapsed="false">
      <c r="A499" s="3" t="n">
        <v>498</v>
      </c>
      <c r="B499" s="5" t="s">
        <v>21</v>
      </c>
      <c r="C499" s="5" t="s">
        <v>64</v>
      </c>
      <c r="D499" s="5" t="s">
        <v>16</v>
      </c>
      <c r="E499" s="5" t="s">
        <v>109</v>
      </c>
      <c r="F499" s="6" t="n">
        <v>5.87</v>
      </c>
    </row>
    <row r="500" customFormat="false" ht="15.75" hidden="false" customHeight="false" outlineLevel="0" collapsed="false">
      <c r="A500" s="3" t="n">
        <v>499</v>
      </c>
      <c r="B500" s="5" t="s">
        <v>21</v>
      </c>
      <c r="C500" s="5" t="s">
        <v>68</v>
      </c>
      <c r="D500" s="5" t="s">
        <v>16</v>
      </c>
      <c r="E500" s="5" t="s">
        <v>31</v>
      </c>
      <c r="F500" s="6" t="n">
        <v>8.75</v>
      </c>
    </row>
    <row r="501" customFormat="false" ht="15.75" hidden="false" customHeight="false" outlineLevel="0" collapsed="false">
      <c r="A501" s="3" t="n">
        <v>500</v>
      </c>
      <c r="B501" s="5" t="s">
        <v>16</v>
      </c>
      <c r="C501" s="5" t="s">
        <v>19</v>
      </c>
      <c r="D501" s="5" t="s">
        <v>16</v>
      </c>
      <c r="E501" s="5" t="s">
        <v>19</v>
      </c>
      <c r="F501" s="6" t="n">
        <v>1.39</v>
      </c>
    </row>
    <row r="502" customFormat="false" ht="15.75" hidden="false" customHeight="false" outlineLevel="0" collapsed="false">
      <c r="A502" s="3" t="n">
        <v>501</v>
      </c>
      <c r="B502" s="5" t="s">
        <v>16</v>
      </c>
      <c r="C502" s="5" t="s">
        <v>19</v>
      </c>
      <c r="D502" s="5" t="s">
        <v>16</v>
      </c>
      <c r="E502" s="5" t="s">
        <v>19</v>
      </c>
      <c r="F502" s="6" t="s">
        <v>36</v>
      </c>
    </row>
    <row r="503" customFormat="false" ht="15.75" hidden="false" customHeight="false" outlineLevel="0" collapsed="false">
      <c r="A503" s="3" t="n">
        <v>502</v>
      </c>
      <c r="B503" s="5" t="s">
        <v>16</v>
      </c>
      <c r="C503" s="5" t="s">
        <v>19</v>
      </c>
      <c r="D503" s="5" t="s">
        <v>21</v>
      </c>
      <c r="E503" s="5" t="s">
        <v>27</v>
      </c>
      <c r="F503" s="6" t="n">
        <v>16.89</v>
      </c>
    </row>
    <row r="504" customFormat="false" ht="15.75" hidden="false" customHeight="false" outlineLevel="0" collapsed="false">
      <c r="A504" s="3" t="n">
        <v>503</v>
      </c>
      <c r="B504" s="5" t="s">
        <v>21</v>
      </c>
      <c r="C504" s="5" t="s">
        <v>66</v>
      </c>
      <c r="D504" s="5" t="s">
        <v>21</v>
      </c>
      <c r="E504" s="5" t="s">
        <v>20</v>
      </c>
      <c r="F504" s="6" t="n">
        <v>6.39</v>
      </c>
    </row>
    <row r="505" customFormat="false" ht="15.75" hidden="false" customHeight="false" outlineLevel="0" collapsed="false">
      <c r="A505" s="3" t="n">
        <v>504</v>
      </c>
      <c r="B505" s="5" t="s">
        <v>21</v>
      </c>
      <c r="C505" s="5" t="s">
        <v>64</v>
      </c>
      <c r="D505" s="5" t="s">
        <v>16</v>
      </c>
      <c r="E505" s="5" t="s">
        <v>81</v>
      </c>
      <c r="F505" s="6" t="n">
        <v>8.25</v>
      </c>
    </row>
    <row r="506" customFormat="false" ht="15.75" hidden="false" customHeight="false" outlineLevel="0" collapsed="false">
      <c r="A506" s="3" t="n">
        <v>505</v>
      </c>
      <c r="B506" s="5" t="s">
        <v>16</v>
      </c>
      <c r="C506" s="5" t="s">
        <v>110</v>
      </c>
      <c r="D506" s="5" t="s">
        <v>16</v>
      </c>
      <c r="E506" s="5" t="s">
        <v>19</v>
      </c>
      <c r="F506" s="6" t="n">
        <v>8.08</v>
      </c>
    </row>
    <row r="507" customFormat="false" ht="15.75" hidden="false" customHeight="false" outlineLevel="0" collapsed="false">
      <c r="A507" s="3" t="n">
        <v>506</v>
      </c>
      <c r="B507" s="5" t="s">
        <v>16</v>
      </c>
      <c r="C507" s="5" t="s">
        <v>31</v>
      </c>
      <c r="D507" s="5" t="s">
        <v>21</v>
      </c>
      <c r="E507" s="5" t="s">
        <v>22</v>
      </c>
      <c r="F507" s="6" t="n">
        <v>11.39</v>
      </c>
    </row>
    <row r="508" customFormat="false" ht="15.75" hidden="false" customHeight="false" outlineLevel="0" collapsed="false">
      <c r="A508" s="3" t="n">
        <v>507</v>
      </c>
      <c r="B508" s="5" t="s">
        <v>21</v>
      </c>
      <c r="C508" s="5" t="s">
        <v>22</v>
      </c>
      <c r="D508" s="5" t="s">
        <v>21</v>
      </c>
      <c r="E508" s="5" t="s">
        <v>27</v>
      </c>
      <c r="F508" s="6" t="n">
        <v>3.74</v>
      </c>
    </row>
    <row r="509" customFormat="false" ht="15.75" hidden="false" customHeight="false" outlineLevel="0" collapsed="false">
      <c r="A509" s="3" t="n">
        <v>508</v>
      </c>
      <c r="B509" s="5" t="s">
        <v>21</v>
      </c>
      <c r="C509" s="5" t="s">
        <v>22</v>
      </c>
      <c r="D509" s="5" t="s">
        <v>16</v>
      </c>
      <c r="E509" s="5" t="s">
        <v>34</v>
      </c>
      <c r="F509" s="6" t="n">
        <v>9.55</v>
      </c>
    </row>
    <row r="510" customFormat="false" ht="15.75" hidden="false" customHeight="false" outlineLevel="0" collapsed="false">
      <c r="A510" s="3" t="n">
        <v>509</v>
      </c>
      <c r="B510" s="5" t="s">
        <v>16</v>
      </c>
      <c r="C510" s="5" t="s">
        <v>42</v>
      </c>
      <c r="D510" s="5" t="s">
        <v>16</v>
      </c>
      <c r="E510" s="5" t="s">
        <v>19</v>
      </c>
      <c r="F510" s="6" t="n">
        <v>3.76</v>
      </c>
    </row>
    <row r="511" customFormat="false" ht="15.75" hidden="false" customHeight="false" outlineLevel="0" collapsed="false">
      <c r="A511" s="3" t="n">
        <v>510</v>
      </c>
      <c r="B511" s="5" t="s">
        <v>16</v>
      </c>
      <c r="C511" s="5" t="s">
        <v>19</v>
      </c>
      <c r="D511" s="5" t="s">
        <v>16</v>
      </c>
      <c r="E511" s="5" t="s">
        <v>19</v>
      </c>
      <c r="F511" s="6" t="n">
        <v>1.87</v>
      </c>
    </row>
    <row r="512" customFormat="false" ht="15.75" hidden="false" customHeight="false" outlineLevel="0" collapsed="false">
      <c r="A512" s="3" t="n">
        <v>511</v>
      </c>
      <c r="B512" s="5" t="s">
        <v>16</v>
      </c>
      <c r="C512" s="5" t="s">
        <v>31</v>
      </c>
      <c r="D512" s="5" t="s">
        <v>16</v>
      </c>
      <c r="E512" s="5" t="s">
        <v>26</v>
      </c>
      <c r="F512" s="6" t="n">
        <v>4.96</v>
      </c>
    </row>
    <row r="513" customFormat="false" ht="15.75" hidden="false" customHeight="false" outlineLevel="0" collapsed="false">
      <c r="A513" s="3" t="n">
        <v>512</v>
      </c>
      <c r="B513" s="5" t="s">
        <v>16</v>
      </c>
      <c r="C513" s="5" t="s">
        <v>49</v>
      </c>
      <c r="D513" s="5" t="s">
        <v>16</v>
      </c>
      <c r="E513" s="5" t="s">
        <v>117</v>
      </c>
      <c r="F513" s="6" t="n">
        <v>15.08</v>
      </c>
    </row>
    <row r="514" customFormat="false" ht="15.75" hidden="false" customHeight="false" outlineLevel="0" collapsed="false">
      <c r="A514" s="3" t="n">
        <v>513</v>
      </c>
      <c r="B514" s="5" t="s">
        <v>21</v>
      </c>
      <c r="C514" s="5" t="s">
        <v>22</v>
      </c>
      <c r="D514" s="5" t="s">
        <v>21</v>
      </c>
      <c r="E514" s="5" t="s">
        <v>87</v>
      </c>
      <c r="F514" s="6" t="n">
        <v>6.64</v>
      </c>
    </row>
    <row r="515" customFormat="false" ht="15.75" hidden="false" customHeight="false" outlineLevel="0" collapsed="false">
      <c r="A515" s="3" t="n">
        <v>514</v>
      </c>
      <c r="B515" s="5" t="s">
        <v>21</v>
      </c>
      <c r="C515" s="5" t="s">
        <v>64</v>
      </c>
      <c r="D515" s="5" t="s">
        <v>21</v>
      </c>
      <c r="E515" s="5" t="s">
        <v>141</v>
      </c>
      <c r="F515" s="6" t="n">
        <v>2.08</v>
      </c>
    </row>
    <row r="516" customFormat="false" ht="15.75" hidden="false" customHeight="false" outlineLevel="0" collapsed="false">
      <c r="A516" s="3" t="n">
        <v>515</v>
      </c>
      <c r="B516" s="5" t="s">
        <v>21</v>
      </c>
      <c r="C516" s="5" t="s">
        <v>117</v>
      </c>
      <c r="D516" s="5" t="s">
        <v>16</v>
      </c>
      <c r="E516" s="5" t="s">
        <v>31</v>
      </c>
      <c r="F516" s="6" t="n">
        <v>9.39</v>
      </c>
    </row>
    <row r="517" customFormat="false" ht="15.75" hidden="false" customHeight="false" outlineLevel="0" collapsed="false">
      <c r="A517" s="3" t="n">
        <v>516</v>
      </c>
      <c r="B517" s="5" t="s">
        <v>16</v>
      </c>
      <c r="C517" s="5" t="s">
        <v>38</v>
      </c>
      <c r="D517" s="5" t="s">
        <v>16</v>
      </c>
      <c r="E517" s="5" t="s">
        <v>19</v>
      </c>
      <c r="F517" s="6" t="n">
        <v>8.56</v>
      </c>
    </row>
    <row r="518" customFormat="false" ht="15.75" hidden="false" customHeight="false" outlineLevel="0" collapsed="false">
      <c r="A518" s="3" t="n">
        <v>517</v>
      </c>
      <c r="B518" s="5" t="s">
        <v>16</v>
      </c>
      <c r="C518" s="5" t="s">
        <v>30</v>
      </c>
      <c r="D518" s="5" t="s">
        <v>21</v>
      </c>
      <c r="E518" s="5" t="s">
        <v>98</v>
      </c>
      <c r="F518" s="6" t="n">
        <v>22.13</v>
      </c>
    </row>
    <row r="519" customFormat="false" ht="15.75" hidden="false" customHeight="false" outlineLevel="0" collapsed="false">
      <c r="A519" s="3" t="n">
        <v>518</v>
      </c>
      <c r="B519" s="5" t="s">
        <v>21</v>
      </c>
      <c r="C519" s="5" t="s">
        <v>54</v>
      </c>
      <c r="D519" s="5" t="s">
        <v>21</v>
      </c>
      <c r="E519" s="5" t="s">
        <v>27</v>
      </c>
      <c r="F519" s="6" t="n">
        <v>5.48</v>
      </c>
    </row>
    <row r="520" customFormat="false" ht="15.75" hidden="false" customHeight="false" outlineLevel="0" collapsed="false">
      <c r="A520" s="3" t="n">
        <v>519</v>
      </c>
      <c r="B520" s="5" t="s">
        <v>21</v>
      </c>
      <c r="C520" s="5" t="s">
        <v>27</v>
      </c>
      <c r="D520" s="5" t="s">
        <v>21</v>
      </c>
      <c r="E520" s="5" t="s">
        <v>62</v>
      </c>
      <c r="F520" s="6" t="n">
        <v>4.37</v>
      </c>
    </row>
    <row r="521" customFormat="false" ht="15.75" hidden="false" customHeight="false" outlineLevel="0" collapsed="false">
      <c r="A521" s="3" t="n">
        <v>520</v>
      </c>
      <c r="B521" s="5" t="s">
        <v>21</v>
      </c>
      <c r="C521" s="5" t="s">
        <v>62</v>
      </c>
      <c r="D521" s="5" t="s">
        <v>21</v>
      </c>
      <c r="E521" s="5" t="s">
        <v>55</v>
      </c>
      <c r="F521" s="6" t="n">
        <v>1.71</v>
      </c>
    </row>
    <row r="522" customFormat="false" ht="15.75" hidden="false" customHeight="false" outlineLevel="0" collapsed="false">
      <c r="A522" s="3" t="n">
        <v>521</v>
      </c>
      <c r="B522" s="5" t="s">
        <v>21</v>
      </c>
      <c r="C522" s="5" t="s">
        <v>55</v>
      </c>
      <c r="D522" s="5" t="s">
        <v>16</v>
      </c>
      <c r="E522" s="5" t="s">
        <v>119</v>
      </c>
      <c r="F522" s="6" t="n">
        <v>7.51</v>
      </c>
    </row>
    <row r="523" customFormat="false" ht="15.75" hidden="false" customHeight="false" outlineLevel="0" collapsed="false">
      <c r="A523" s="3" t="n">
        <v>522</v>
      </c>
      <c r="B523" s="5" t="s">
        <v>21</v>
      </c>
      <c r="C523" s="5" t="s">
        <v>141</v>
      </c>
      <c r="D523" s="5" t="s">
        <v>16</v>
      </c>
      <c r="E523" s="5" t="s">
        <v>79</v>
      </c>
      <c r="F523" s="6" t="n">
        <v>18.84</v>
      </c>
    </row>
    <row r="524" customFormat="false" ht="15.75" hidden="false" customHeight="false" outlineLevel="0" collapsed="false">
      <c r="A524" s="3" t="n">
        <v>523</v>
      </c>
      <c r="B524" s="5" t="s">
        <v>16</v>
      </c>
      <c r="C524" s="5" t="s">
        <v>113</v>
      </c>
      <c r="D524" s="5" t="s">
        <v>16</v>
      </c>
      <c r="E524" s="5" t="s">
        <v>110</v>
      </c>
      <c r="F524" s="6" t="n">
        <v>16.89</v>
      </c>
    </row>
    <row r="525" customFormat="false" ht="15.75" hidden="false" customHeight="false" outlineLevel="0" collapsed="false">
      <c r="A525" s="3" t="n">
        <v>524</v>
      </c>
      <c r="B525" s="5" t="s">
        <v>16</v>
      </c>
      <c r="C525" s="5" t="s">
        <v>110</v>
      </c>
      <c r="D525" s="5" t="s">
        <v>16</v>
      </c>
      <c r="E525" s="5" t="s">
        <v>31</v>
      </c>
      <c r="F525" s="6" t="n">
        <v>9.4</v>
      </c>
    </row>
    <row r="526" customFormat="false" ht="15.75" hidden="false" customHeight="false" outlineLevel="0" collapsed="false">
      <c r="A526" s="3" t="n">
        <v>525</v>
      </c>
      <c r="B526" s="5" t="s">
        <v>16</v>
      </c>
      <c r="C526" s="5" t="s">
        <v>19</v>
      </c>
      <c r="D526" s="5" t="s">
        <v>16</v>
      </c>
      <c r="E526" s="5" t="s">
        <v>18</v>
      </c>
      <c r="F526" s="6" t="n">
        <v>3.44</v>
      </c>
    </row>
    <row r="527" customFormat="false" ht="15.75" hidden="false" customHeight="false" outlineLevel="0" collapsed="false">
      <c r="A527" s="3" t="n">
        <v>526</v>
      </c>
      <c r="B527" s="5" t="s">
        <v>21</v>
      </c>
      <c r="C527" s="5" t="s">
        <v>68</v>
      </c>
      <c r="D527" s="5" t="s">
        <v>16</v>
      </c>
      <c r="E527" s="5" t="s">
        <v>31</v>
      </c>
      <c r="F527" s="6" t="n">
        <v>9.8</v>
      </c>
    </row>
    <row r="528" customFormat="false" ht="15.75" hidden="false" customHeight="false" outlineLevel="0" collapsed="false">
      <c r="A528" s="3" t="n">
        <v>527</v>
      </c>
      <c r="B528" s="5" t="s">
        <v>16</v>
      </c>
      <c r="C528" s="5" t="s">
        <v>99</v>
      </c>
      <c r="D528" s="5" t="s">
        <v>21</v>
      </c>
      <c r="E528" s="5" t="s">
        <v>87</v>
      </c>
      <c r="F528" s="6" t="n">
        <v>9.65</v>
      </c>
    </row>
    <row r="529" customFormat="false" ht="15.75" hidden="false" customHeight="false" outlineLevel="0" collapsed="false">
      <c r="A529" s="3" t="n">
        <v>528</v>
      </c>
      <c r="B529" s="5" t="s">
        <v>16</v>
      </c>
      <c r="C529" s="5" t="s">
        <v>31</v>
      </c>
      <c r="D529" s="5" t="s">
        <v>16</v>
      </c>
      <c r="E529" s="5" t="s">
        <v>81</v>
      </c>
      <c r="F529" s="6" t="n">
        <v>8.07</v>
      </c>
    </row>
    <row r="530" customFormat="false" ht="15.75" hidden="false" customHeight="false" outlineLevel="0" collapsed="false">
      <c r="A530" s="3" t="n">
        <v>529</v>
      </c>
      <c r="B530" s="5" t="s">
        <v>16</v>
      </c>
      <c r="C530" s="5" t="s">
        <v>47</v>
      </c>
      <c r="D530" s="5" t="s">
        <v>21</v>
      </c>
      <c r="E530" s="5" t="s">
        <v>142</v>
      </c>
      <c r="F530" s="6" t="n">
        <v>8.19</v>
      </c>
    </row>
    <row r="531" customFormat="false" ht="15.75" hidden="false" customHeight="false" outlineLevel="0" collapsed="false">
      <c r="A531" s="3" t="n">
        <v>530</v>
      </c>
      <c r="B531" s="5" t="s">
        <v>21</v>
      </c>
      <c r="C531" s="5" t="s">
        <v>27</v>
      </c>
      <c r="D531" s="5" t="s">
        <v>16</v>
      </c>
      <c r="E531" s="5" t="s">
        <v>28</v>
      </c>
      <c r="F531" s="6" t="n">
        <v>11.37</v>
      </c>
    </row>
    <row r="532" customFormat="false" ht="15.75" hidden="false" customHeight="false" outlineLevel="0" collapsed="false">
      <c r="A532" s="3" t="n">
        <v>531</v>
      </c>
      <c r="B532" s="5" t="s">
        <v>16</v>
      </c>
      <c r="C532" s="5" t="s">
        <v>28</v>
      </c>
      <c r="D532" s="5" t="s">
        <v>16</v>
      </c>
      <c r="E532" s="5" t="s">
        <v>30</v>
      </c>
      <c r="F532" s="6" t="n">
        <v>5.24</v>
      </c>
    </row>
    <row r="533" customFormat="false" ht="15.75" hidden="false" customHeight="false" outlineLevel="0" collapsed="false">
      <c r="A533" s="3" t="n">
        <v>532</v>
      </c>
      <c r="B533" s="5" t="s">
        <v>16</v>
      </c>
      <c r="C533" s="5" t="s">
        <v>30</v>
      </c>
      <c r="D533" s="5" t="s">
        <v>16</v>
      </c>
      <c r="E533" s="5" t="s">
        <v>31</v>
      </c>
      <c r="F533" s="6" t="n">
        <v>1.77</v>
      </c>
    </row>
    <row r="534" customFormat="false" ht="15.75" hidden="false" customHeight="false" outlineLevel="0" collapsed="false">
      <c r="A534" s="3" t="n">
        <v>533</v>
      </c>
      <c r="B534" s="5" t="s">
        <v>21</v>
      </c>
      <c r="C534" s="5" t="s">
        <v>27</v>
      </c>
      <c r="D534" s="5" t="s">
        <v>16</v>
      </c>
      <c r="E534" s="5" t="s">
        <v>118</v>
      </c>
      <c r="F534" s="6" t="n">
        <v>7.06</v>
      </c>
    </row>
    <row r="535" customFormat="false" ht="15.75" hidden="false" customHeight="false" outlineLevel="0" collapsed="false">
      <c r="A535" s="3" t="n">
        <v>534</v>
      </c>
      <c r="B535" s="5" t="s">
        <v>16</v>
      </c>
      <c r="C535" s="5" t="s">
        <v>19</v>
      </c>
      <c r="D535" s="5" t="s">
        <v>16</v>
      </c>
      <c r="E535" s="5" t="s">
        <v>108</v>
      </c>
      <c r="F535" s="6" t="n">
        <v>7.64</v>
      </c>
    </row>
    <row r="536" customFormat="false" ht="15.75" hidden="false" customHeight="false" outlineLevel="0" collapsed="false">
      <c r="A536" s="3" t="n">
        <v>535</v>
      </c>
      <c r="B536" s="5" t="s">
        <v>16</v>
      </c>
      <c r="C536" s="5" t="s">
        <v>41</v>
      </c>
      <c r="D536" s="5" t="s">
        <v>21</v>
      </c>
      <c r="E536" s="5" t="s">
        <v>20</v>
      </c>
      <c r="F536" s="6" t="n">
        <v>11.33</v>
      </c>
    </row>
    <row r="537" customFormat="false" ht="15.75" hidden="false" customHeight="false" outlineLevel="0" collapsed="false">
      <c r="A537" s="3" t="n">
        <v>536</v>
      </c>
      <c r="B537" s="5" t="s">
        <v>16</v>
      </c>
      <c r="C537" s="5" t="s">
        <v>31</v>
      </c>
      <c r="D537" s="5" t="s">
        <v>16</v>
      </c>
      <c r="E537" s="5" t="s">
        <v>33</v>
      </c>
      <c r="F537" s="6" t="n">
        <v>7.35</v>
      </c>
    </row>
    <row r="538" customFormat="false" ht="15.75" hidden="false" customHeight="false" outlineLevel="0" collapsed="false">
      <c r="A538" s="3" t="n">
        <v>537</v>
      </c>
      <c r="B538" s="5" t="s">
        <v>16</v>
      </c>
      <c r="C538" s="5" t="s">
        <v>26</v>
      </c>
      <c r="D538" s="5" t="s">
        <v>16</v>
      </c>
      <c r="E538" s="5" t="s">
        <v>19</v>
      </c>
      <c r="F538" s="6" t="n">
        <v>9.63</v>
      </c>
    </row>
    <row r="539" customFormat="false" ht="15.75" hidden="false" customHeight="false" outlineLevel="0" collapsed="false">
      <c r="A539" s="3" t="n">
        <v>538</v>
      </c>
      <c r="B539" s="5" t="s">
        <v>16</v>
      </c>
      <c r="C539" s="5" t="s">
        <v>19</v>
      </c>
      <c r="D539" s="5" t="s">
        <v>16</v>
      </c>
      <c r="E539" s="5" t="s">
        <v>19</v>
      </c>
      <c r="F539" s="6" t="n">
        <v>1.2</v>
      </c>
    </row>
    <row r="540" customFormat="false" ht="15.75" hidden="false" customHeight="false" outlineLevel="0" collapsed="false">
      <c r="A540" s="3" t="n">
        <v>539</v>
      </c>
      <c r="B540" s="5" t="s">
        <v>16</v>
      </c>
      <c r="C540" s="5" t="s">
        <v>19</v>
      </c>
      <c r="D540" s="5" t="s">
        <v>16</v>
      </c>
      <c r="E540" s="5" t="s">
        <v>19</v>
      </c>
      <c r="F540" s="6" t="n">
        <v>1.07</v>
      </c>
    </row>
    <row r="541" customFormat="false" ht="15.75" hidden="false" customHeight="false" outlineLevel="0" collapsed="false">
      <c r="A541" s="7" t="n">
        <v>540</v>
      </c>
      <c r="B541" s="7" t="s">
        <v>16</v>
      </c>
      <c r="C541" s="7" t="s">
        <v>85</v>
      </c>
      <c r="D541" s="7" t="s">
        <v>16</v>
      </c>
      <c r="E541" s="7" t="s">
        <v>19</v>
      </c>
      <c r="F541" s="8" t="n">
        <v>3.05</v>
      </c>
    </row>
    <row r="542" customFormat="false" ht="15.75" hidden="false" customHeight="false" outlineLevel="0" collapsed="false">
      <c r="A542" s="7" t="n">
        <v>541</v>
      </c>
      <c r="B542" s="7" t="s">
        <v>16</v>
      </c>
      <c r="C542" s="7" t="s">
        <v>34</v>
      </c>
      <c r="D542" s="7" t="s">
        <v>16</v>
      </c>
      <c r="E542" s="7" t="s">
        <v>18</v>
      </c>
      <c r="F542" s="8" t="n">
        <v>4.46</v>
      </c>
    </row>
    <row r="543" customFormat="false" ht="15.75" hidden="false" customHeight="false" outlineLevel="0" collapsed="false">
      <c r="A543" s="7" t="n">
        <v>542</v>
      </c>
      <c r="B543" s="7" t="s">
        <v>16</v>
      </c>
      <c r="C543" s="7" t="s">
        <v>34</v>
      </c>
      <c r="D543" s="7" t="s">
        <v>16</v>
      </c>
      <c r="E543" s="7" t="s">
        <v>143</v>
      </c>
      <c r="F543" s="8" t="n">
        <v>4.4</v>
      </c>
    </row>
    <row r="544" customFormat="false" ht="15.75" hidden="false" customHeight="false" outlineLevel="0" collapsed="false">
      <c r="A544" s="7" t="n">
        <v>543</v>
      </c>
      <c r="B544" s="7" t="s">
        <v>16</v>
      </c>
      <c r="C544" s="7" t="s">
        <v>34</v>
      </c>
      <c r="D544" s="7" t="s">
        <v>16</v>
      </c>
      <c r="E544" s="7" t="s">
        <v>19</v>
      </c>
      <c r="F544" s="8" t="n">
        <v>3.1</v>
      </c>
    </row>
    <row r="545" customFormat="false" ht="15.75" hidden="false" customHeight="false" outlineLevel="0" collapsed="false">
      <c r="A545" s="7" t="n">
        <v>544</v>
      </c>
      <c r="B545" s="7" t="s">
        <v>16</v>
      </c>
      <c r="C545" s="7" t="s">
        <v>19</v>
      </c>
      <c r="D545" s="7" t="s">
        <v>16</v>
      </c>
      <c r="E545" s="7" t="s">
        <v>19</v>
      </c>
      <c r="F545" s="8" t="n">
        <v>3.31</v>
      </c>
    </row>
    <row r="546" customFormat="false" ht="15.75" hidden="false" customHeight="false" outlineLevel="0" collapsed="false">
      <c r="A546" s="7" t="n">
        <v>545</v>
      </c>
      <c r="B546" s="7" t="s">
        <v>16</v>
      </c>
      <c r="C546" s="7" t="s">
        <v>19</v>
      </c>
      <c r="D546" s="7" t="s">
        <v>16</v>
      </c>
      <c r="E546" s="7" t="s">
        <v>37</v>
      </c>
      <c r="F546" s="8" t="n">
        <v>3.47</v>
      </c>
    </row>
    <row r="547" customFormat="false" ht="15.75" hidden="false" customHeight="false" outlineLevel="0" collapsed="false">
      <c r="A547" s="7" t="n">
        <v>546</v>
      </c>
      <c r="B547" s="7" t="s">
        <v>16</v>
      </c>
      <c r="C547" s="7" t="s">
        <v>17</v>
      </c>
      <c r="D547" s="7" t="s">
        <v>21</v>
      </c>
      <c r="E547" s="7" t="s">
        <v>27</v>
      </c>
      <c r="F547" s="8" t="n">
        <v>17.65</v>
      </c>
    </row>
    <row r="548" customFormat="false" ht="15.75" hidden="false" customHeight="false" outlineLevel="0" collapsed="false">
      <c r="A548" s="7" t="n">
        <v>547</v>
      </c>
      <c r="B548" s="7" t="s">
        <v>21</v>
      </c>
      <c r="C548" s="7" t="s">
        <v>27</v>
      </c>
      <c r="D548" s="7" t="s">
        <v>16</v>
      </c>
      <c r="E548" s="7" t="s">
        <v>40</v>
      </c>
      <c r="F548" s="8" t="n">
        <v>6.69</v>
      </c>
    </row>
    <row r="549" customFormat="false" ht="15.75" hidden="false" customHeight="false" outlineLevel="0" collapsed="false">
      <c r="A549" s="7" t="n">
        <v>548</v>
      </c>
      <c r="B549" s="7" t="s">
        <v>16</v>
      </c>
      <c r="C549" s="7" t="s">
        <v>40</v>
      </c>
      <c r="D549" s="7" t="s">
        <v>16</v>
      </c>
      <c r="E549" s="7" t="s">
        <v>33</v>
      </c>
      <c r="F549" s="8" t="n">
        <v>9.25</v>
      </c>
    </row>
    <row r="550" customFormat="false" ht="15.75" hidden="false" customHeight="false" outlineLevel="0" collapsed="false">
      <c r="A550" s="7" t="n">
        <v>549</v>
      </c>
      <c r="B550" s="7" t="s">
        <v>16</v>
      </c>
      <c r="C550" s="7" t="s">
        <v>33</v>
      </c>
      <c r="D550" s="7" t="s">
        <v>21</v>
      </c>
      <c r="E550" s="7" t="s">
        <v>44</v>
      </c>
      <c r="F550" s="8" t="n">
        <v>12.93</v>
      </c>
    </row>
    <row r="551" customFormat="false" ht="15.75" hidden="false" customHeight="false" outlineLevel="0" collapsed="false">
      <c r="A551" s="7" t="n">
        <v>550</v>
      </c>
      <c r="B551" s="7" t="s">
        <v>21</v>
      </c>
      <c r="C551" s="7" t="s">
        <v>64</v>
      </c>
      <c r="D551" s="7" t="s">
        <v>21</v>
      </c>
      <c r="E551" s="7" t="s">
        <v>20</v>
      </c>
      <c r="F551" s="8" t="n">
        <v>4.36</v>
      </c>
    </row>
    <row r="552" customFormat="false" ht="15.75" hidden="false" customHeight="false" outlineLevel="0" collapsed="false">
      <c r="A552" s="7" t="n">
        <v>551</v>
      </c>
      <c r="B552" s="7" t="s">
        <v>16</v>
      </c>
      <c r="C552" s="7" t="s">
        <v>42</v>
      </c>
      <c r="D552" s="7" t="s">
        <v>16</v>
      </c>
      <c r="E552" s="7" t="s">
        <v>28</v>
      </c>
      <c r="F552" s="8" t="n">
        <v>3.76</v>
      </c>
    </row>
    <row r="553" customFormat="false" ht="15.75" hidden="false" customHeight="false" outlineLevel="0" collapsed="false">
      <c r="A553" s="7" t="n">
        <v>552</v>
      </c>
      <c r="B553" s="7" t="s">
        <v>16</v>
      </c>
      <c r="C553" s="7" t="s">
        <v>28</v>
      </c>
      <c r="D553" s="7" t="s">
        <v>16</v>
      </c>
      <c r="E553" s="7" t="s">
        <v>86</v>
      </c>
      <c r="F553" s="8" t="n">
        <v>3.88</v>
      </c>
    </row>
    <row r="554" customFormat="false" ht="15.75" hidden="false" customHeight="false" outlineLevel="0" collapsed="false">
      <c r="A554" s="7" t="n">
        <v>553</v>
      </c>
      <c r="B554" s="7" t="s">
        <v>16</v>
      </c>
      <c r="C554" s="7" t="s">
        <v>86</v>
      </c>
      <c r="D554" s="7" t="s">
        <v>16</v>
      </c>
      <c r="E554" s="7" t="s">
        <v>42</v>
      </c>
      <c r="F554" s="8" t="n">
        <v>3.53</v>
      </c>
    </row>
    <row r="555" customFormat="false" ht="15.75" hidden="false" customHeight="false" outlineLevel="0" collapsed="false">
      <c r="A555" s="7" t="n">
        <v>554</v>
      </c>
      <c r="B555" s="7" t="s">
        <v>16</v>
      </c>
      <c r="C555" s="7" t="s">
        <v>42</v>
      </c>
      <c r="D555" s="7" t="s">
        <v>16</v>
      </c>
      <c r="E555" s="7" t="s">
        <v>107</v>
      </c>
      <c r="F555" s="8" t="n">
        <v>4.65</v>
      </c>
    </row>
    <row r="556" customFormat="false" ht="15.75" hidden="false" customHeight="false" outlineLevel="0" collapsed="false">
      <c r="A556" s="7" t="n">
        <v>555</v>
      </c>
      <c r="B556" s="7" t="s">
        <v>16</v>
      </c>
      <c r="C556" s="7" t="s">
        <v>28</v>
      </c>
      <c r="D556" s="7" t="s">
        <v>16</v>
      </c>
      <c r="E556" s="7" t="s">
        <v>28</v>
      </c>
      <c r="F556" s="8" t="n">
        <v>1.34</v>
      </c>
    </row>
    <row r="557" customFormat="false" ht="15.75" hidden="false" customHeight="false" outlineLevel="0" collapsed="false">
      <c r="A557" s="7" t="n">
        <v>556</v>
      </c>
      <c r="B557" s="7" t="s">
        <v>16</v>
      </c>
      <c r="C557" s="7" t="s">
        <v>85</v>
      </c>
      <c r="D557" s="7" t="s">
        <v>21</v>
      </c>
      <c r="E557" s="7" t="s">
        <v>27</v>
      </c>
      <c r="F557" s="8" t="n">
        <v>16.46</v>
      </c>
    </row>
    <row r="558" customFormat="false" ht="15.75" hidden="false" customHeight="false" outlineLevel="0" collapsed="false">
      <c r="A558" s="7" t="n">
        <v>557</v>
      </c>
      <c r="B558" s="7" t="s">
        <v>21</v>
      </c>
      <c r="C558" s="7" t="s">
        <v>27</v>
      </c>
      <c r="D558" s="7" t="s">
        <v>21</v>
      </c>
      <c r="E558" s="7" t="s">
        <v>144</v>
      </c>
      <c r="F558" s="8" t="n">
        <v>10.8</v>
      </c>
    </row>
    <row r="559" customFormat="false" ht="15.75" hidden="false" customHeight="false" outlineLevel="0" collapsed="false">
      <c r="A559" s="7" t="n">
        <v>558</v>
      </c>
      <c r="B559" s="7" t="s">
        <v>21</v>
      </c>
      <c r="C559" s="7" t="s">
        <v>139</v>
      </c>
      <c r="D559" s="7" t="s">
        <v>16</v>
      </c>
      <c r="E559" s="7" t="s">
        <v>34</v>
      </c>
      <c r="F559" s="8" t="n">
        <v>9.47</v>
      </c>
    </row>
    <row r="560" customFormat="false" ht="15.75" hidden="false" customHeight="false" outlineLevel="0" collapsed="false">
      <c r="A560" s="7" t="n">
        <v>559</v>
      </c>
      <c r="B560" s="7" t="s">
        <v>16</v>
      </c>
      <c r="C560" s="7" t="s">
        <v>34</v>
      </c>
      <c r="D560" s="7" t="s">
        <v>16</v>
      </c>
      <c r="E560" s="7" t="s">
        <v>34</v>
      </c>
      <c r="F560" s="8" t="n">
        <v>2.67</v>
      </c>
    </row>
    <row r="561" customFormat="false" ht="15.75" hidden="false" customHeight="false" outlineLevel="0" collapsed="false">
      <c r="A561" s="7" t="n">
        <v>560</v>
      </c>
      <c r="B561" s="7" t="s">
        <v>16</v>
      </c>
      <c r="C561" s="7" t="s">
        <v>34</v>
      </c>
      <c r="D561" s="7" t="s">
        <v>16</v>
      </c>
      <c r="E561" s="7" t="s">
        <v>19</v>
      </c>
      <c r="F561" s="8" t="n">
        <v>4.38</v>
      </c>
    </row>
    <row r="562" customFormat="false" ht="15.75" hidden="false" customHeight="false" outlineLevel="0" collapsed="false">
      <c r="A562" s="7" t="n">
        <v>561</v>
      </c>
      <c r="B562" s="7" t="s">
        <v>16</v>
      </c>
      <c r="C562" s="7" t="s">
        <v>94</v>
      </c>
      <c r="D562" s="7" t="s">
        <v>16</v>
      </c>
      <c r="E562" s="7" t="s">
        <v>37</v>
      </c>
      <c r="F562" s="8" t="n">
        <v>1.6</v>
      </c>
    </row>
    <row r="563" customFormat="false" ht="15.75" hidden="false" customHeight="false" outlineLevel="0" collapsed="false">
      <c r="A563" s="7" t="n">
        <v>562</v>
      </c>
      <c r="B563" s="7" t="s">
        <v>16</v>
      </c>
      <c r="C563" s="7" t="s">
        <v>30</v>
      </c>
      <c r="D563" s="7" t="s">
        <v>16</v>
      </c>
      <c r="E563" s="7" t="s">
        <v>31</v>
      </c>
      <c r="F563" s="8" t="n">
        <v>2.07</v>
      </c>
    </row>
    <row r="564" customFormat="false" ht="15.75" hidden="false" customHeight="false" outlineLevel="0" collapsed="false">
      <c r="A564" s="7"/>
      <c r="B564" s="7"/>
      <c r="C564" s="7"/>
      <c r="D564" s="7"/>
      <c r="E564" s="7"/>
      <c r="F564" s="8"/>
    </row>
    <row r="565" customFormat="false" ht="15.75" hidden="false" customHeight="false" outlineLevel="0" collapsed="false">
      <c r="A565" s="7"/>
      <c r="B565" s="7"/>
      <c r="C565" s="7"/>
      <c r="D565" s="7"/>
      <c r="E565" s="7"/>
      <c r="F565" s="8"/>
    </row>
    <row r="566" customFormat="false" ht="15.75" hidden="false" customHeight="false" outlineLevel="0" collapsed="false">
      <c r="A566" s="7"/>
      <c r="B566" s="7"/>
      <c r="C566" s="7"/>
      <c r="D566" s="7"/>
      <c r="E566" s="7"/>
      <c r="F566" s="8"/>
    </row>
    <row r="567" customFormat="false" ht="15.75" hidden="false" customHeight="false" outlineLevel="0" collapsed="false">
      <c r="A567" s="7"/>
      <c r="B567" s="7"/>
      <c r="C567" s="7"/>
      <c r="D567" s="7"/>
      <c r="E567" s="7"/>
      <c r="F567" s="8"/>
    </row>
    <row r="568" customFormat="false" ht="15.75" hidden="false" customHeight="false" outlineLevel="0" collapsed="false">
      <c r="A568" s="7"/>
      <c r="B568" s="7"/>
      <c r="C568" s="7"/>
      <c r="D568" s="7"/>
      <c r="E568" s="7"/>
      <c r="F568" s="8"/>
    </row>
    <row r="569" customFormat="false" ht="15.75" hidden="false" customHeight="false" outlineLevel="0" collapsed="false">
      <c r="A569" s="7"/>
      <c r="B569" s="7"/>
      <c r="C569" s="7"/>
      <c r="D569" s="7"/>
      <c r="E569" s="7"/>
      <c r="F569" s="8"/>
    </row>
    <row r="570" customFormat="false" ht="15.75" hidden="false" customHeight="false" outlineLevel="0" collapsed="false">
      <c r="A570" s="7"/>
      <c r="B570" s="7"/>
      <c r="C570" s="7"/>
      <c r="D570" s="7"/>
      <c r="E570" s="7"/>
      <c r="F570" s="8"/>
    </row>
    <row r="571" customFormat="false" ht="15.75" hidden="false" customHeight="false" outlineLevel="0" collapsed="false">
      <c r="A571" s="7"/>
      <c r="B571" s="7"/>
      <c r="C571" s="7"/>
      <c r="D571" s="7"/>
      <c r="E571" s="7"/>
      <c r="F571" s="8"/>
    </row>
    <row r="572" customFormat="false" ht="15.75" hidden="false" customHeight="false" outlineLevel="0" collapsed="false">
      <c r="A572" s="7"/>
      <c r="B572" s="7"/>
      <c r="C572" s="7"/>
      <c r="D572" s="7"/>
      <c r="E572" s="7"/>
      <c r="F572" s="8"/>
    </row>
    <row r="573" customFormat="false" ht="15.75" hidden="false" customHeight="false" outlineLevel="0" collapsed="false">
      <c r="A573" s="7"/>
      <c r="B573" s="7"/>
      <c r="C573" s="7"/>
      <c r="D573" s="7"/>
      <c r="E573" s="7"/>
      <c r="F573" s="8"/>
    </row>
    <row r="574" customFormat="false" ht="15.75" hidden="false" customHeight="false" outlineLevel="0" collapsed="false">
      <c r="A574" s="7"/>
      <c r="B574" s="7"/>
      <c r="C574" s="7"/>
      <c r="D574" s="7"/>
      <c r="E574" s="7"/>
      <c r="F574" s="8"/>
    </row>
    <row r="575" customFormat="false" ht="15.75" hidden="false" customHeight="false" outlineLevel="0" collapsed="false">
      <c r="A575" s="7"/>
      <c r="B575" s="7"/>
      <c r="C575" s="7"/>
      <c r="D575" s="7"/>
      <c r="E575" s="7"/>
      <c r="F575" s="8"/>
    </row>
    <row r="576" customFormat="false" ht="15.75" hidden="false" customHeight="false" outlineLevel="0" collapsed="false">
      <c r="A576" s="7"/>
      <c r="B576" s="7"/>
      <c r="C576" s="7"/>
      <c r="D576" s="7"/>
      <c r="E576" s="7"/>
      <c r="F576" s="8"/>
    </row>
    <row r="577" customFormat="false" ht="15.75" hidden="false" customHeight="false" outlineLevel="0" collapsed="false">
      <c r="A577" s="7"/>
      <c r="B577" s="7"/>
      <c r="C577" s="7"/>
      <c r="D577" s="7"/>
      <c r="E577" s="7"/>
      <c r="F577" s="8"/>
    </row>
    <row r="578" customFormat="false" ht="15.75" hidden="false" customHeight="false" outlineLevel="0" collapsed="false">
      <c r="A578" s="7"/>
      <c r="B578" s="7"/>
      <c r="C578" s="7"/>
      <c r="D578" s="7"/>
      <c r="E578" s="7"/>
      <c r="F578" s="8"/>
    </row>
    <row r="579" customFormat="false" ht="15.75" hidden="false" customHeight="false" outlineLevel="0" collapsed="false">
      <c r="A579" s="7"/>
      <c r="B579" s="7"/>
      <c r="C579" s="7"/>
      <c r="D579" s="7"/>
      <c r="E579" s="7"/>
      <c r="F579" s="8"/>
    </row>
    <row r="580" customFormat="false" ht="15.75" hidden="false" customHeight="false" outlineLevel="0" collapsed="false">
      <c r="A580" s="7"/>
      <c r="B580" s="7"/>
      <c r="C580" s="7"/>
      <c r="D580" s="7"/>
      <c r="E580" s="7"/>
      <c r="F580" s="8"/>
    </row>
    <row r="581" customFormat="false" ht="15.75" hidden="false" customHeight="false" outlineLevel="0" collapsed="false">
      <c r="A581" s="7"/>
      <c r="B581" s="7"/>
      <c r="C581" s="7"/>
      <c r="D581" s="7"/>
      <c r="E581" s="7"/>
      <c r="F581" s="8"/>
    </row>
    <row r="582" customFormat="false" ht="15.75" hidden="false" customHeight="false" outlineLevel="0" collapsed="false">
      <c r="A582" s="7"/>
      <c r="B582" s="7"/>
      <c r="C582" s="7"/>
      <c r="D582" s="7"/>
      <c r="E582" s="7"/>
      <c r="F582" s="8"/>
    </row>
    <row r="583" customFormat="false" ht="15.75" hidden="false" customHeight="false" outlineLevel="0" collapsed="false">
      <c r="A583" s="7"/>
      <c r="B583" s="7"/>
      <c r="C583" s="7"/>
      <c r="D583" s="7"/>
      <c r="E583" s="7"/>
      <c r="F583" s="8"/>
    </row>
    <row r="584" customFormat="false" ht="15.75" hidden="false" customHeight="false" outlineLevel="0" collapsed="false">
      <c r="A584" s="7"/>
      <c r="B584" s="7"/>
      <c r="C584" s="7"/>
      <c r="D584" s="7"/>
      <c r="E584" s="7"/>
      <c r="F584" s="8"/>
    </row>
    <row r="585" customFormat="false" ht="15.75" hidden="false" customHeight="false" outlineLevel="0" collapsed="false">
      <c r="A585" s="7"/>
      <c r="B585" s="7"/>
      <c r="C585" s="7"/>
      <c r="D585" s="7"/>
      <c r="E585" s="7"/>
      <c r="F585" s="8"/>
    </row>
    <row r="586" customFormat="false" ht="15.75" hidden="false" customHeight="false" outlineLevel="0" collapsed="false">
      <c r="A586" s="7"/>
      <c r="B586" s="7"/>
      <c r="C586" s="7"/>
      <c r="D586" s="7"/>
      <c r="E586" s="7"/>
      <c r="F586" s="8"/>
    </row>
    <row r="587" customFormat="false" ht="15.75" hidden="false" customHeight="false" outlineLevel="0" collapsed="false">
      <c r="A587" s="7"/>
      <c r="B587" s="7"/>
      <c r="C587" s="7"/>
      <c r="D587" s="7"/>
      <c r="E587" s="7"/>
      <c r="F587" s="8"/>
    </row>
    <row r="588" customFormat="false" ht="15.75" hidden="false" customHeight="false" outlineLevel="0" collapsed="false">
      <c r="A588" s="7"/>
      <c r="B588" s="7"/>
      <c r="C588" s="7"/>
      <c r="D588" s="7"/>
      <c r="E588" s="7"/>
      <c r="F588" s="8"/>
    </row>
    <row r="589" customFormat="false" ht="15.75" hidden="false" customHeight="false" outlineLevel="0" collapsed="false">
      <c r="A589" s="7"/>
      <c r="B589" s="7"/>
      <c r="C589" s="7"/>
      <c r="D589" s="7"/>
      <c r="E589" s="7"/>
      <c r="F589" s="8"/>
    </row>
    <row r="590" customFormat="false" ht="15.75" hidden="false" customHeight="false" outlineLevel="0" collapsed="false">
      <c r="A590" s="7"/>
      <c r="B590" s="7"/>
      <c r="C590" s="7"/>
      <c r="D590" s="7"/>
      <c r="E590" s="7"/>
      <c r="F590" s="8"/>
    </row>
    <row r="591" customFormat="false" ht="15.75" hidden="false" customHeight="false" outlineLevel="0" collapsed="false">
      <c r="A591" s="7"/>
      <c r="B591" s="7"/>
      <c r="C591" s="7"/>
      <c r="D591" s="7"/>
      <c r="E591" s="7"/>
      <c r="F591" s="8"/>
    </row>
    <row r="592" customFormat="false" ht="15.75" hidden="false" customHeight="false" outlineLevel="0" collapsed="false">
      <c r="A592" s="7"/>
      <c r="B592" s="7"/>
      <c r="C592" s="7"/>
      <c r="D592" s="7"/>
      <c r="E592" s="7"/>
      <c r="F592" s="8"/>
    </row>
    <row r="593" customFormat="false" ht="15.75" hidden="false" customHeight="false" outlineLevel="0" collapsed="false">
      <c r="A593" s="7"/>
      <c r="B593" s="7"/>
      <c r="C593" s="7"/>
      <c r="D593" s="7"/>
      <c r="E593" s="7"/>
      <c r="F593" s="8"/>
    </row>
    <row r="594" customFormat="false" ht="15.75" hidden="false" customHeight="false" outlineLevel="0" collapsed="false">
      <c r="A594" s="7"/>
      <c r="B594" s="7"/>
      <c r="C594" s="7"/>
      <c r="D594" s="7"/>
      <c r="E594" s="7"/>
      <c r="F594" s="8"/>
    </row>
    <row r="595" customFormat="false" ht="15.75" hidden="false" customHeight="false" outlineLevel="0" collapsed="false">
      <c r="A595" s="7"/>
      <c r="B595" s="7"/>
      <c r="C595" s="7"/>
      <c r="D595" s="7"/>
      <c r="E595" s="7"/>
      <c r="F595" s="8"/>
    </row>
    <row r="596" customFormat="false" ht="15.75" hidden="false" customHeight="false" outlineLevel="0" collapsed="false">
      <c r="A596" s="7"/>
      <c r="B596" s="7"/>
      <c r="C596" s="7"/>
      <c r="D596" s="7"/>
      <c r="E596" s="7"/>
      <c r="F596" s="8"/>
    </row>
    <row r="597" customFormat="false" ht="15.75" hidden="false" customHeight="false" outlineLevel="0" collapsed="false">
      <c r="A597" s="7"/>
      <c r="B597" s="7"/>
      <c r="C597" s="7"/>
      <c r="D597" s="7"/>
      <c r="E597" s="7"/>
      <c r="F597" s="8"/>
    </row>
    <row r="598" customFormat="false" ht="15.75" hidden="false" customHeight="false" outlineLevel="0" collapsed="false">
      <c r="A598" s="7"/>
      <c r="B598" s="7"/>
      <c r="C598" s="7"/>
      <c r="D598" s="7"/>
      <c r="E598" s="7"/>
      <c r="F598" s="8"/>
    </row>
    <row r="599" customFormat="false" ht="15.75" hidden="false" customHeight="false" outlineLevel="0" collapsed="false">
      <c r="A599" s="7"/>
      <c r="B599" s="7"/>
      <c r="C599" s="7"/>
      <c r="D599" s="7"/>
      <c r="E599" s="7"/>
      <c r="F599" s="8"/>
    </row>
    <row r="600" customFormat="false" ht="15.75" hidden="false" customHeight="false" outlineLevel="0" collapsed="false">
      <c r="A600" s="7"/>
      <c r="B600" s="7"/>
      <c r="C600" s="7"/>
      <c r="D600" s="7"/>
      <c r="E600" s="7"/>
      <c r="F600" s="8"/>
    </row>
    <row r="601" customFormat="false" ht="15.75" hidden="false" customHeight="false" outlineLevel="0" collapsed="false">
      <c r="A601" s="7"/>
      <c r="B601" s="7"/>
      <c r="C601" s="7"/>
      <c r="D601" s="7"/>
      <c r="E601" s="7"/>
      <c r="F601" s="8"/>
    </row>
    <row r="602" customFormat="false" ht="15.75" hidden="false" customHeight="false" outlineLevel="0" collapsed="false">
      <c r="A602" s="7"/>
      <c r="B602" s="7"/>
      <c r="C602" s="7"/>
      <c r="D602" s="7"/>
      <c r="E602" s="7"/>
      <c r="F602" s="8"/>
    </row>
    <row r="603" customFormat="false" ht="15.75" hidden="false" customHeight="false" outlineLevel="0" collapsed="false">
      <c r="A603" s="7"/>
      <c r="B603" s="7"/>
      <c r="C603" s="7"/>
      <c r="D603" s="7"/>
      <c r="E603" s="7"/>
      <c r="F603" s="8"/>
    </row>
    <row r="604" customFormat="false" ht="15.75" hidden="false" customHeight="false" outlineLevel="0" collapsed="false">
      <c r="A604" s="7"/>
      <c r="B604" s="7"/>
      <c r="C604" s="7"/>
      <c r="D604" s="7"/>
      <c r="E604" s="7"/>
      <c r="F604" s="8"/>
    </row>
    <row r="605" customFormat="false" ht="15.75" hidden="false" customHeight="false" outlineLevel="0" collapsed="false">
      <c r="A605" s="7"/>
      <c r="B605" s="7"/>
      <c r="C605" s="7"/>
      <c r="D605" s="7"/>
      <c r="E605" s="7"/>
      <c r="F605" s="8"/>
    </row>
    <row r="606" customFormat="false" ht="15.75" hidden="false" customHeight="false" outlineLevel="0" collapsed="false">
      <c r="A606" s="7"/>
      <c r="B606" s="7"/>
      <c r="C606" s="7"/>
      <c r="D606" s="7"/>
      <c r="E606" s="7"/>
      <c r="F606" s="8"/>
    </row>
    <row r="607" customFormat="false" ht="15.75" hidden="false" customHeight="false" outlineLevel="0" collapsed="false">
      <c r="A607" s="7"/>
      <c r="B607" s="7"/>
      <c r="C607" s="7"/>
      <c r="D607" s="7"/>
      <c r="E607" s="7"/>
      <c r="F607" s="8"/>
    </row>
    <row r="608" customFormat="false" ht="15.75" hidden="false" customHeight="false" outlineLevel="0" collapsed="false">
      <c r="A608" s="7"/>
      <c r="B608" s="7"/>
      <c r="C608" s="7"/>
      <c r="D608" s="7"/>
      <c r="E608" s="7"/>
      <c r="F608" s="8"/>
    </row>
    <row r="609" customFormat="false" ht="15.75" hidden="false" customHeight="false" outlineLevel="0" collapsed="false">
      <c r="A609" s="7"/>
      <c r="B609" s="7"/>
      <c r="C609" s="7"/>
      <c r="D609" s="7"/>
      <c r="E609" s="7"/>
      <c r="F609" s="8"/>
    </row>
    <row r="610" customFormat="false" ht="15.75" hidden="false" customHeight="false" outlineLevel="0" collapsed="false">
      <c r="A610" s="7"/>
      <c r="B610" s="7"/>
      <c r="C610" s="7"/>
      <c r="D610" s="7"/>
      <c r="E610" s="7"/>
      <c r="F610" s="8"/>
    </row>
    <row r="611" customFormat="false" ht="15.75" hidden="false" customHeight="false" outlineLevel="0" collapsed="false">
      <c r="A611" s="7"/>
      <c r="B611" s="7"/>
      <c r="C611" s="7"/>
      <c r="D611" s="7"/>
      <c r="E611" s="7"/>
      <c r="F611" s="8"/>
    </row>
    <row r="612" customFormat="false" ht="15.75" hidden="false" customHeight="false" outlineLevel="0" collapsed="false">
      <c r="A612" s="7"/>
      <c r="B612" s="7"/>
      <c r="C612" s="7"/>
      <c r="D612" s="7"/>
      <c r="E612" s="7"/>
      <c r="F612" s="8"/>
    </row>
    <row r="613" customFormat="false" ht="15.75" hidden="false" customHeight="false" outlineLevel="0" collapsed="false">
      <c r="A613" s="7"/>
      <c r="B613" s="7"/>
      <c r="C613" s="7"/>
      <c r="D613" s="7"/>
      <c r="E613" s="7"/>
      <c r="F613" s="8"/>
    </row>
    <row r="614" customFormat="false" ht="15.75" hidden="false" customHeight="false" outlineLevel="0" collapsed="false">
      <c r="A614" s="7"/>
      <c r="B614" s="7"/>
      <c r="C614" s="7"/>
      <c r="D614" s="7"/>
      <c r="E614" s="7"/>
      <c r="F614" s="8"/>
    </row>
    <row r="615" customFormat="false" ht="15.75" hidden="false" customHeight="false" outlineLevel="0" collapsed="false">
      <c r="A615" s="7"/>
      <c r="B615" s="7"/>
      <c r="C615" s="7"/>
      <c r="D615" s="7"/>
      <c r="E615" s="7"/>
      <c r="F615" s="8"/>
    </row>
    <row r="616" customFormat="false" ht="15.75" hidden="false" customHeight="false" outlineLevel="0" collapsed="false">
      <c r="A616" s="7"/>
      <c r="B616" s="7"/>
      <c r="C616" s="7"/>
      <c r="D616" s="7"/>
      <c r="E616" s="7"/>
      <c r="F616" s="8"/>
    </row>
    <row r="617" customFormat="false" ht="15.75" hidden="false" customHeight="false" outlineLevel="0" collapsed="false">
      <c r="A617" s="7"/>
      <c r="B617" s="7"/>
      <c r="C617" s="7"/>
      <c r="D617" s="7"/>
      <c r="E617" s="7"/>
      <c r="F617" s="8"/>
    </row>
    <row r="618" customFormat="false" ht="15.75" hidden="false" customHeight="false" outlineLevel="0" collapsed="false">
      <c r="A618" s="7"/>
      <c r="B618" s="7"/>
      <c r="C618" s="7"/>
      <c r="D618" s="7"/>
      <c r="E618" s="7"/>
      <c r="F618" s="8"/>
    </row>
    <row r="619" customFormat="false" ht="15.75" hidden="false" customHeight="false" outlineLevel="0" collapsed="false">
      <c r="A619" s="7"/>
      <c r="B619" s="7"/>
      <c r="C619" s="7"/>
      <c r="D619" s="7"/>
      <c r="E619" s="7"/>
      <c r="F619" s="8"/>
    </row>
    <row r="620" customFormat="false" ht="15.75" hidden="false" customHeight="false" outlineLevel="0" collapsed="false">
      <c r="A620" s="7"/>
      <c r="B620" s="7"/>
      <c r="C620" s="7"/>
      <c r="D620" s="7"/>
      <c r="E620" s="7"/>
      <c r="F620" s="8"/>
    </row>
    <row r="621" customFormat="false" ht="15.75" hidden="false" customHeight="false" outlineLevel="0" collapsed="false">
      <c r="A621" s="7"/>
      <c r="B621" s="7"/>
      <c r="C621" s="7"/>
      <c r="D621" s="7"/>
      <c r="E621" s="7"/>
      <c r="F621" s="8"/>
    </row>
    <row r="622" customFormat="false" ht="15.75" hidden="false" customHeight="false" outlineLevel="0" collapsed="false">
      <c r="A622" s="7"/>
      <c r="B622" s="7"/>
      <c r="C622" s="7"/>
      <c r="D622" s="7"/>
      <c r="E622" s="7"/>
      <c r="F622" s="8"/>
    </row>
    <row r="623" customFormat="false" ht="15.75" hidden="false" customHeight="false" outlineLevel="0" collapsed="false">
      <c r="A623" s="7"/>
      <c r="B623" s="7"/>
      <c r="C623" s="7"/>
      <c r="D623" s="7"/>
      <c r="E623" s="7"/>
      <c r="F623" s="8"/>
    </row>
    <row r="624" customFormat="false" ht="15.75" hidden="false" customHeight="false" outlineLevel="0" collapsed="false">
      <c r="A624" s="7"/>
      <c r="B624" s="7"/>
      <c r="C624" s="7"/>
      <c r="D624" s="7"/>
      <c r="E624" s="7"/>
      <c r="F624" s="8"/>
    </row>
    <row r="625" customFormat="false" ht="15.75" hidden="false" customHeight="false" outlineLevel="0" collapsed="false">
      <c r="A625" s="7"/>
      <c r="B625" s="7"/>
      <c r="C625" s="7"/>
      <c r="D625" s="7"/>
      <c r="E625" s="7"/>
      <c r="F625" s="8"/>
    </row>
    <row r="626" customFormat="false" ht="15.75" hidden="false" customHeight="false" outlineLevel="0" collapsed="false">
      <c r="A626" s="7"/>
      <c r="B626" s="7"/>
      <c r="C626" s="7"/>
      <c r="D626" s="7"/>
      <c r="E626" s="7"/>
      <c r="F626" s="8"/>
    </row>
    <row r="627" customFormat="false" ht="15.75" hidden="false" customHeight="false" outlineLevel="0" collapsed="false">
      <c r="A627" s="7"/>
      <c r="B627" s="7"/>
      <c r="C627" s="7"/>
      <c r="D627" s="7"/>
      <c r="E627" s="7"/>
      <c r="F627" s="8"/>
    </row>
    <row r="628" customFormat="false" ht="15.75" hidden="false" customHeight="false" outlineLevel="0" collapsed="false">
      <c r="A628" s="7"/>
      <c r="B628" s="7"/>
      <c r="C628" s="7"/>
      <c r="D628" s="7"/>
      <c r="E628" s="7"/>
      <c r="F628" s="8"/>
    </row>
    <row r="629" customFormat="false" ht="15.75" hidden="false" customHeight="false" outlineLevel="0" collapsed="false">
      <c r="A629" s="7"/>
      <c r="B629" s="7"/>
      <c r="C629" s="7"/>
      <c r="D629" s="7"/>
      <c r="E629" s="7"/>
      <c r="F629" s="8"/>
    </row>
    <row r="630" customFormat="false" ht="15.75" hidden="false" customHeight="false" outlineLevel="0" collapsed="false">
      <c r="A630" s="7"/>
      <c r="B630" s="7"/>
      <c r="C630" s="7"/>
      <c r="D630" s="7"/>
      <c r="E630" s="7"/>
      <c r="F630" s="8"/>
    </row>
    <row r="631" customFormat="false" ht="15.75" hidden="false" customHeight="false" outlineLevel="0" collapsed="false">
      <c r="A631" s="7"/>
      <c r="B631" s="7"/>
      <c r="C631" s="7"/>
      <c r="D631" s="7"/>
      <c r="E631" s="7"/>
      <c r="F631" s="8"/>
    </row>
    <row r="632" customFormat="false" ht="15.75" hidden="false" customHeight="false" outlineLevel="0" collapsed="false">
      <c r="A632" s="7"/>
      <c r="B632" s="7"/>
      <c r="C632" s="7"/>
      <c r="D632" s="7"/>
      <c r="E632" s="7"/>
      <c r="F632" s="8"/>
    </row>
    <row r="633" customFormat="false" ht="15.75" hidden="false" customHeight="false" outlineLevel="0" collapsed="false">
      <c r="A633" s="7"/>
      <c r="B633" s="7"/>
      <c r="C633" s="7"/>
      <c r="D633" s="7"/>
      <c r="E633" s="7"/>
      <c r="F633" s="8"/>
    </row>
    <row r="634" customFormat="false" ht="15.75" hidden="false" customHeight="false" outlineLevel="0" collapsed="false">
      <c r="A634" s="7"/>
      <c r="B634" s="7"/>
      <c r="C634" s="7"/>
      <c r="D634" s="7"/>
      <c r="E634" s="7"/>
      <c r="F634" s="8"/>
    </row>
    <row r="635" customFormat="false" ht="15.75" hidden="false" customHeight="false" outlineLevel="0" collapsed="false">
      <c r="A635" s="7"/>
      <c r="B635" s="7"/>
      <c r="C635" s="7"/>
      <c r="D635" s="7"/>
      <c r="E635" s="7"/>
      <c r="F635" s="8"/>
    </row>
    <row r="636" customFormat="false" ht="15.75" hidden="false" customHeight="false" outlineLevel="0" collapsed="false">
      <c r="A636" s="7"/>
      <c r="B636" s="7"/>
      <c r="C636" s="7"/>
      <c r="D636" s="7"/>
      <c r="E636" s="7"/>
      <c r="F636" s="8"/>
    </row>
    <row r="637" customFormat="false" ht="15.75" hidden="false" customHeight="false" outlineLevel="0" collapsed="false">
      <c r="A637" s="7"/>
      <c r="B637" s="7"/>
      <c r="C637" s="7"/>
      <c r="D637" s="7"/>
      <c r="E637" s="7"/>
      <c r="F637" s="8"/>
    </row>
    <row r="638" customFormat="false" ht="15.75" hidden="false" customHeight="false" outlineLevel="0" collapsed="false">
      <c r="A638" s="7"/>
      <c r="B638" s="7"/>
      <c r="C638" s="7"/>
      <c r="D638" s="7"/>
      <c r="E638" s="7"/>
      <c r="F638" s="8"/>
    </row>
    <row r="639" customFormat="false" ht="15.75" hidden="false" customHeight="false" outlineLevel="0" collapsed="false">
      <c r="A639" s="7"/>
      <c r="B639" s="7"/>
      <c r="C639" s="7"/>
      <c r="D639" s="7"/>
      <c r="E639" s="7"/>
      <c r="F639" s="8"/>
    </row>
    <row r="640" customFormat="false" ht="15.75" hidden="false" customHeight="false" outlineLevel="0" collapsed="false">
      <c r="A640" s="7"/>
      <c r="B640" s="7"/>
      <c r="C640" s="7"/>
      <c r="D640" s="7"/>
      <c r="E640" s="7"/>
      <c r="F640" s="8"/>
    </row>
    <row r="641" customFormat="false" ht="15.75" hidden="false" customHeight="false" outlineLevel="0" collapsed="false">
      <c r="A641" s="7"/>
      <c r="B641" s="7"/>
      <c r="C641" s="7"/>
      <c r="D641" s="7"/>
      <c r="E641" s="7"/>
      <c r="F641" s="8"/>
    </row>
    <row r="642" customFormat="false" ht="15.75" hidden="false" customHeight="false" outlineLevel="0" collapsed="false">
      <c r="A642" s="7"/>
      <c r="B642" s="7"/>
      <c r="C642" s="7"/>
      <c r="D642" s="7"/>
      <c r="E642" s="7"/>
      <c r="F642" s="8"/>
    </row>
    <row r="643" customFormat="false" ht="15.75" hidden="false" customHeight="false" outlineLevel="0" collapsed="false">
      <c r="A643" s="7"/>
      <c r="B643" s="7"/>
      <c r="C643" s="7"/>
      <c r="D643" s="7"/>
      <c r="E643" s="7"/>
      <c r="F643" s="8"/>
    </row>
    <row r="644" customFormat="false" ht="15.75" hidden="false" customHeight="false" outlineLevel="0" collapsed="false">
      <c r="A644" s="7"/>
      <c r="B644" s="7"/>
      <c r="C644" s="7"/>
      <c r="D644" s="7"/>
      <c r="E644" s="7"/>
      <c r="F644" s="8"/>
    </row>
    <row r="645" customFormat="false" ht="15.75" hidden="false" customHeight="false" outlineLevel="0" collapsed="false">
      <c r="A645" s="7"/>
      <c r="B645" s="7"/>
      <c r="C645" s="7"/>
      <c r="D645" s="7"/>
      <c r="E645" s="7"/>
      <c r="F645" s="8"/>
    </row>
    <row r="646" customFormat="false" ht="15.75" hidden="false" customHeight="false" outlineLevel="0" collapsed="false">
      <c r="A646" s="7"/>
      <c r="B646" s="7"/>
      <c r="C646" s="7"/>
      <c r="D646" s="7"/>
      <c r="E646" s="7"/>
      <c r="F646" s="8"/>
    </row>
    <row r="647" customFormat="false" ht="15.75" hidden="false" customHeight="false" outlineLevel="0" collapsed="false">
      <c r="A647" s="7"/>
      <c r="B647" s="7"/>
      <c r="C647" s="7"/>
      <c r="D647" s="7"/>
      <c r="E647" s="7"/>
      <c r="F647" s="8"/>
    </row>
    <row r="648" customFormat="false" ht="15.75" hidden="false" customHeight="false" outlineLevel="0" collapsed="false">
      <c r="A648" s="7"/>
      <c r="B648" s="7"/>
      <c r="C648" s="7"/>
      <c r="D648" s="7"/>
      <c r="E648" s="7"/>
      <c r="F648" s="8"/>
    </row>
    <row r="649" customFormat="false" ht="15.75" hidden="false" customHeight="false" outlineLevel="0" collapsed="false">
      <c r="A649" s="7"/>
      <c r="B649" s="7"/>
      <c r="C649" s="7"/>
      <c r="D649" s="7"/>
      <c r="E649" s="7"/>
      <c r="F649" s="8"/>
    </row>
    <row r="650" customFormat="false" ht="15.75" hidden="false" customHeight="false" outlineLevel="0" collapsed="false">
      <c r="A650" s="7"/>
      <c r="B650" s="7"/>
      <c r="C650" s="7"/>
      <c r="D650" s="7"/>
      <c r="E650" s="7"/>
      <c r="F650" s="8"/>
    </row>
    <row r="651" customFormat="false" ht="15.75" hidden="false" customHeight="false" outlineLevel="0" collapsed="false">
      <c r="A651" s="7"/>
      <c r="B651" s="7"/>
      <c r="C651" s="7"/>
      <c r="D651" s="7"/>
      <c r="E651" s="7"/>
      <c r="F651" s="8"/>
    </row>
    <row r="652" customFormat="false" ht="15.75" hidden="false" customHeight="false" outlineLevel="0" collapsed="false">
      <c r="A652" s="7"/>
      <c r="B652" s="7"/>
      <c r="C652" s="7"/>
      <c r="D652" s="7"/>
      <c r="E652" s="7"/>
      <c r="F652" s="8"/>
    </row>
    <row r="653" customFormat="false" ht="15.75" hidden="false" customHeight="false" outlineLevel="0" collapsed="false">
      <c r="A653" s="7"/>
      <c r="B653" s="7"/>
      <c r="C653" s="7"/>
      <c r="D653" s="7"/>
      <c r="E653" s="7"/>
      <c r="F653" s="8"/>
    </row>
    <row r="654" customFormat="false" ht="15.75" hidden="false" customHeight="false" outlineLevel="0" collapsed="false">
      <c r="A654" s="7"/>
      <c r="B654" s="7"/>
      <c r="C654" s="7"/>
      <c r="D654" s="7"/>
      <c r="E654" s="7"/>
      <c r="F654" s="8"/>
    </row>
    <row r="655" customFormat="false" ht="15.75" hidden="false" customHeight="false" outlineLevel="0" collapsed="false">
      <c r="A655" s="7"/>
      <c r="B655" s="7"/>
      <c r="C655" s="7"/>
      <c r="D655" s="7"/>
      <c r="E655" s="7"/>
      <c r="F655" s="8"/>
    </row>
    <row r="656" customFormat="false" ht="15.75" hidden="false" customHeight="false" outlineLevel="0" collapsed="false">
      <c r="A656" s="7"/>
      <c r="B656" s="7"/>
      <c r="C656" s="7"/>
      <c r="D656" s="7"/>
      <c r="E656" s="7"/>
      <c r="F656" s="8"/>
    </row>
    <row r="657" customFormat="false" ht="15.75" hidden="false" customHeight="false" outlineLevel="0" collapsed="false">
      <c r="A657" s="7"/>
      <c r="B657" s="7"/>
      <c r="C657" s="7"/>
      <c r="D657" s="7"/>
      <c r="E657" s="7"/>
      <c r="F657" s="8"/>
    </row>
    <row r="658" customFormat="false" ht="15.75" hidden="false" customHeight="false" outlineLevel="0" collapsed="false">
      <c r="A658" s="7"/>
      <c r="B658" s="7"/>
      <c r="C658" s="7"/>
      <c r="D658" s="7"/>
      <c r="E658" s="7"/>
      <c r="F658" s="8"/>
    </row>
    <row r="659" customFormat="false" ht="15.75" hidden="false" customHeight="false" outlineLevel="0" collapsed="false">
      <c r="A659" s="7"/>
      <c r="B659" s="7"/>
      <c r="C659" s="7"/>
      <c r="D659" s="7"/>
      <c r="E659" s="7"/>
      <c r="F659" s="8"/>
    </row>
    <row r="660" customFormat="false" ht="15.75" hidden="false" customHeight="false" outlineLevel="0" collapsed="false">
      <c r="A660" s="7"/>
      <c r="B660" s="7"/>
      <c r="C660" s="7"/>
      <c r="D660" s="7"/>
      <c r="E660" s="7"/>
      <c r="F660" s="8"/>
    </row>
    <row r="661" customFormat="false" ht="15.75" hidden="false" customHeight="false" outlineLevel="0" collapsed="false">
      <c r="A661" s="7"/>
      <c r="B661" s="7"/>
      <c r="C661" s="7"/>
      <c r="D661" s="7"/>
      <c r="E661" s="7"/>
      <c r="F661" s="8"/>
    </row>
    <row r="662" customFormat="false" ht="15.75" hidden="false" customHeight="false" outlineLevel="0" collapsed="false">
      <c r="A662" s="7"/>
      <c r="B662" s="7"/>
      <c r="C662" s="7"/>
      <c r="D662" s="7"/>
      <c r="E662" s="7"/>
      <c r="F662" s="8"/>
    </row>
    <row r="663" customFormat="false" ht="15.75" hidden="false" customHeight="false" outlineLevel="0" collapsed="false">
      <c r="A663" s="7"/>
      <c r="B663" s="7"/>
      <c r="C663" s="7"/>
      <c r="D663" s="7"/>
      <c r="E663" s="7"/>
      <c r="F663" s="8"/>
    </row>
    <row r="664" customFormat="false" ht="15.75" hidden="false" customHeight="false" outlineLevel="0" collapsed="false">
      <c r="A664" s="7"/>
      <c r="B664" s="7"/>
      <c r="C664" s="7"/>
      <c r="D664" s="7"/>
      <c r="E664" s="7"/>
      <c r="F664" s="8"/>
    </row>
    <row r="665" customFormat="false" ht="15.75" hidden="false" customHeight="false" outlineLevel="0" collapsed="false">
      <c r="A665" s="7"/>
      <c r="B665" s="7"/>
      <c r="C665" s="7"/>
      <c r="D665" s="7"/>
      <c r="E665" s="7"/>
      <c r="F665" s="8"/>
    </row>
    <row r="666" customFormat="false" ht="15.75" hidden="false" customHeight="false" outlineLevel="0" collapsed="false">
      <c r="A666" s="7"/>
      <c r="B666" s="7"/>
      <c r="C666" s="7"/>
      <c r="D666" s="7"/>
      <c r="E666" s="7"/>
      <c r="F666" s="8"/>
    </row>
    <row r="667" customFormat="false" ht="15.75" hidden="false" customHeight="false" outlineLevel="0" collapsed="false">
      <c r="A667" s="7"/>
      <c r="B667" s="7"/>
      <c r="C667" s="7"/>
      <c r="D667" s="7"/>
      <c r="E667" s="7"/>
      <c r="F667" s="8"/>
    </row>
    <row r="668" customFormat="false" ht="15.75" hidden="false" customHeight="false" outlineLevel="0" collapsed="false">
      <c r="A668" s="7"/>
      <c r="B668" s="7"/>
      <c r="C668" s="7"/>
      <c r="D668" s="7"/>
      <c r="E668" s="7"/>
      <c r="F668" s="8"/>
    </row>
    <row r="669" customFormat="false" ht="15.75" hidden="false" customHeight="false" outlineLevel="0" collapsed="false">
      <c r="A669" s="7"/>
      <c r="B669" s="7"/>
      <c r="C669" s="7"/>
      <c r="D669" s="7"/>
      <c r="E669" s="7"/>
      <c r="F669" s="8"/>
    </row>
    <row r="670" customFormat="false" ht="15.75" hidden="false" customHeight="false" outlineLevel="0" collapsed="false">
      <c r="A670" s="7"/>
      <c r="B670" s="7"/>
      <c r="C670" s="7"/>
      <c r="D670" s="7"/>
      <c r="E670" s="7"/>
      <c r="F670" s="8"/>
    </row>
    <row r="671" customFormat="false" ht="15.75" hidden="false" customHeight="false" outlineLevel="0" collapsed="false">
      <c r="A671" s="7"/>
      <c r="B671" s="7"/>
      <c r="C671" s="7"/>
      <c r="D671" s="7"/>
      <c r="E671" s="7"/>
      <c r="F671" s="8"/>
    </row>
    <row r="672" customFormat="false" ht="15.75" hidden="false" customHeight="false" outlineLevel="0" collapsed="false">
      <c r="A672" s="7"/>
      <c r="B672" s="7"/>
      <c r="C672" s="7"/>
      <c r="D672" s="7"/>
      <c r="E672" s="7"/>
      <c r="F672" s="8"/>
    </row>
    <row r="673" customFormat="false" ht="15.75" hidden="false" customHeight="false" outlineLevel="0" collapsed="false">
      <c r="A673" s="7"/>
      <c r="B673" s="7"/>
      <c r="C673" s="7"/>
      <c r="D673" s="7"/>
      <c r="E673" s="7"/>
      <c r="F673" s="8"/>
    </row>
    <row r="674" customFormat="false" ht="15.75" hidden="false" customHeight="false" outlineLevel="0" collapsed="false">
      <c r="A674" s="7"/>
      <c r="B674" s="7"/>
      <c r="C674" s="7"/>
      <c r="D674" s="7"/>
      <c r="E674" s="7"/>
      <c r="F674" s="8"/>
    </row>
    <row r="675" customFormat="false" ht="15.75" hidden="false" customHeight="false" outlineLevel="0" collapsed="false">
      <c r="A675" s="7"/>
      <c r="B675" s="7"/>
      <c r="C675" s="7"/>
      <c r="D675" s="7"/>
      <c r="E675" s="7"/>
      <c r="F675" s="8"/>
    </row>
    <row r="676" customFormat="false" ht="15.75" hidden="false" customHeight="false" outlineLevel="0" collapsed="false">
      <c r="A676" s="7"/>
      <c r="B676" s="7"/>
      <c r="C676" s="7"/>
      <c r="D676" s="7"/>
      <c r="E676" s="7"/>
      <c r="F676" s="8"/>
    </row>
    <row r="677" customFormat="false" ht="15.75" hidden="false" customHeight="false" outlineLevel="0" collapsed="false">
      <c r="A677" s="7"/>
      <c r="B677" s="7"/>
      <c r="C677" s="7"/>
      <c r="D677" s="7"/>
      <c r="E677" s="7"/>
      <c r="F677" s="8"/>
    </row>
    <row r="678" customFormat="false" ht="15.75" hidden="false" customHeight="false" outlineLevel="0" collapsed="false">
      <c r="A678" s="7"/>
      <c r="B678" s="7"/>
      <c r="C678" s="7"/>
      <c r="D678" s="7"/>
      <c r="E678" s="7"/>
      <c r="F678" s="8"/>
    </row>
    <row r="679" customFormat="false" ht="15.75" hidden="false" customHeight="false" outlineLevel="0" collapsed="false">
      <c r="A679" s="7"/>
      <c r="B679" s="7"/>
      <c r="C679" s="7"/>
      <c r="D679" s="7"/>
      <c r="E679" s="7"/>
      <c r="F679" s="8"/>
    </row>
    <row r="680" customFormat="false" ht="15.75" hidden="false" customHeight="false" outlineLevel="0" collapsed="false">
      <c r="A680" s="7"/>
      <c r="B680" s="7"/>
      <c r="C680" s="7"/>
      <c r="D680" s="7"/>
      <c r="E680" s="7"/>
      <c r="F680" s="8"/>
    </row>
    <row r="681" customFormat="false" ht="15.75" hidden="false" customHeight="false" outlineLevel="0" collapsed="false">
      <c r="A681" s="7"/>
      <c r="B681" s="7"/>
      <c r="C681" s="7"/>
      <c r="D681" s="7"/>
      <c r="E681" s="7"/>
      <c r="F681" s="8"/>
    </row>
    <row r="682" customFormat="false" ht="15.75" hidden="false" customHeight="false" outlineLevel="0" collapsed="false">
      <c r="A682" s="7"/>
      <c r="B682" s="7"/>
      <c r="C682" s="7"/>
      <c r="D682" s="7"/>
      <c r="E682" s="7"/>
      <c r="F682" s="8"/>
    </row>
    <row r="683" customFormat="false" ht="15.75" hidden="false" customHeight="false" outlineLevel="0" collapsed="false">
      <c r="A683" s="7"/>
      <c r="B683" s="7"/>
      <c r="C683" s="7"/>
      <c r="D683" s="7"/>
      <c r="E683" s="7"/>
      <c r="F683" s="8"/>
    </row>
    <row r="684" customFormat="false" ht="15.75" hidden="false" customHeight="false" outlineLevel="0" collapsed="false">
      <c r="A684" s="7"/>
      <c r="B684" s="7"/>
      <c r="C684" s="7"/>
      <c r="D684" s="7"/>
      <c r="E684" s="7"/>
      <c r="F684" s="8"/>
    </row>
    <row r="685" customFormat="false" ht="15.75" hidden="false" customHeight="false" outlineLevel="0" collapsed="false">
      <c r="A685" s="7"/>
      <c r="B685" s="7"/>
      <c r="C685" s="7"/>
      <c r="D685" s="7"/>
      <c r="E685" s="7"/>
      <c r="F685" s="8"/>
    </row>
    <row r="686" customFormat="false" ht="15.75" hidden="false" customHeight="false" outlineLevel="0" collapsed="false">
      <c r="A686" s="7"/>
      <c r="B686" s="7"/>
      <c r="C686" s="7"/>
      <c r="D686" s="7"/>
      <c r="E686" s="7"/>
      <c r="F686" s="8"/>
    </row>
    <row r="687" customFormat="false" ht="15.75" hidden="false" customHeight="false" outlineLevel="0" collapsed="false">
      <c r="A687" s="7"/>
      <c r="B687" s="7"/>
      <c r="C687" s="7"/>
      <c r="D687" s="7"/>
      <c r="E687" s="7"/>
      <c r="F687" s="8"/>
    </row>
    <row r="688" customFormat="false" ht="15.75" hidden="false" customHeight="false" outlineLevel="0" collapsed="false">
      <c r="A688" s="7"/>
      <c r="B688" s="7"/>
      <c r="C688" s="7"/>
      <c r="D688" s="7"/>
      <c r="E688" s="7"/>
      <c r="F688" s="8"/>
    </row>
    <row r="689" customFormat="false" ht="15.75" hidden="false" customHeight="false" outlineLevel="0" collapsed="false">
      <c r="A689" s="7"/>
      <c r="B689" s="7"/>
      <c r="C689" s="7"/>
      <c r="D689" s="7"/>
      <c r="E689" s="7"/>
      <c r="F689" s="8"/>
    </row>
    <row r="690" customFormat="false" ht="15.75" hidden="false" customHeight="false" outlineLevel="0" collapsed="false">
      <c r="A690" s="7"/>
      <c r="B690" s="7"/>
      <c r="C690" s="7"/>
      <c r="D690" s="7"/>
      <c r="E690" s="7"/>
      <c r="F690" s="8"/>
    </row>
    <row r="691" customFormat="false" ht="15.75" hidden="false" customHeight="false" outlineLevel="0" collapsed="false">
      <c r="A691" s="7"/>
      <c r="B691" s="7"/>
      <c r="C691" s="7"/>
      <c r="D691" s="7"/>
      <c r="E691" s="7"/>
      <c r="F691" s="8"/>
    </row>
    <row r="692" customFormat="false" ht="15.75" hidden="false" customHeight="false" outlineLevel="0" collapsed="false">
      <c r="A692" s="7"/>
      <c r="B692" s="7"/>
      <c r="C692" s="7"/>
      <c r="D692" s="7"/>
      <c r="E692" s="7"/>
      <c r="F692" s="8"/>
    </row>
    <row r="693" customFormat="false" ht="15.75" hidden="false" customHeight="false" outlineLevel="0" collapsed="false">
      <c r="A693" s="7"/>
      <c r="B693" s="7"/>
      <c r="C693" s="7"/>
      <c r="D693" s="7"/>
      <c r="E693" s="7"/>
      <c r="F693" s="8"/>
    </row>
    <row r="694" customFormat="false" ht="15.75" hidden="false" customHeight="false" outlineLevel="0" collapsed="false">
      <c r="A694" s="7"/>
      <c r="B694" s="7"/>
      <c r="C694" s="7"/>
      <c r="D694" s="7"/>
      <c r="E694" s="7"/>
      <c r="F694" s="8"/>
    </row>
    <row r="695" customFormat="false" ht="15.75" hidden="false" customHeight="false" outlineLevel="0" collapsed="false">
      <c r="A695" s="7"/>
      <c r="B695" s="7"/>
      <c r="C695" s="7"/>
      <c r="D695" s="7"/>
      <c r="E695" s="7"/>
      <c r="F695" s="8"/>
    </row>
    <row r="696" customFormat="false" ht="15.75" hidden="false" customHeight="false" outlineLevel="0" collapsed="false">
      <c r="A696" s="7"/>
      <c r="B696" s="7"/>
      <c r="C696" s="7"/>
      <c r="D696" s="7"/>
      <c r="E696" s="7"/>
      <c r="F696" s="8"/>
    </row>
    <row r="697" customFormat="false" ht="15.75" hidden="false" customHeight="false" outlineLevel="0" collapsed="false">
      <c r="A697" s="7"/>
      <c r="B697" s="7"/>
      <c r="C697" s="7"/>
      <c r="D697" s="7"/>
      <c r="E697" s="7"/>
      <c r="F697" s="8"/>
    </row>
    <row r="698" customFormat="false" ht="15.75" hidden="false" customHeight="false" outlineLevel="0" collapsed="false">
      <c r="A698" s="7"/>
      <c r="B698" s="7"/>
      <c r="C698" s="7"/>
      <c r="D698" s="7"/>
      <c r="E698" s="7"/>
      <c r="F698" s="8"/>
    </row>
    <row r="699" customFormat="false" ht="15.75" hidden="false" customHeight="false" outlineLevel="0" collapsed="false">
      <c r="A699" s="7"/>
      <c r="B699" s="7"/>
      <c r="C699" s="7"/>
      <c r="D699" s="7"/>
      <c r="E699" s="7"/>
      <c r="F699" s="8"/>
    </row>
    <row r="700" customFormat="false" ht="15.75" hidden="false" customHeight="false" outlineLevel="0" collapsed="false">
      <c r="A700" s="7"/>
      <c r="B700" s="7"/>
      <c r="C700" s="7"/>
      <c r="D700" s="7"/>
      <c r="E700" s="7"/>
      <c r="F700" s="8"/>
    </row>
    <row r="701" customFormat="false" ht="15.75" hidden="false" customHeight="false" outlineLevel="0" collapsed="false">
      <c r="A701" s="7"/>
      <c r="B701" s="7"/>
      <c r="C701" s="7"/>
      <c r="D701" s="7"/>
      <c r="E701" s="7"/>
      <c r="F701" s="8"/>
    </row>
    <row r="702" customFormat="false" ht="15.75" hidden="false" customHeight="false" outlineLevel="0" collapsed="false">
      <c r="A702" s="7"/>
      <c r="B702" s="7"/>
      <c r="C702" s="7"/>
      <c r="D702" s="7"/>
      <c r="E702" s="7"/>
      <c r="F702" s="8"/>
    </row>
    <row r="703" customFormat="false" ht="15.75" hidden="false" customHeight="false" outlineLevel="0" collapsed="false">
      <c r="A703" s="7"/>
      <c r="B703" s="7"/>
      <c r="C703" s="7"/>
      <c r="D703" s="7"/>
      <c r="E703" s="7"/>
      <c r="F703" s="8"/>
    </row>
    <row r="704" customFormat="false" ht="15.75" hidden="false" customHeight="false" outlineLevel="0" collapsed="false">
      <c r="A704" s="7"/>
      <c r="B704" s="7"/>
      <c r="C704" s="7"/>
      <c r="D704" s="7"/>
      <c r="E704" s="7"/>
      <c r="F704" s="8"/>
    </row>
    <row r="705" customFormat="false" ht="15.75" hidden="false" customHeight="false" outlineLevel="0" collapsed="false">
      <c r="A705" s="7"/>
      <c r="B705" s="7"/>
      <c r="C705" s="7"/>
      <c r="D705" s="7"/>
      <c r="E705" s="7"/>
      <c r="F705" s="8"/>
    </row>
    <row r="706" customFormat="false" ht="15.75" hidden="false" customHeight="false" outlineLevel="0" collapsed="false">
      <c r="A706" s="7"/>
      <c r="B706" s="7"/>
      <c r="C706" s="7"/>
      <c r="D706" s="7"/>
      <c r="E706" s="7"/>
      <c r="F706" s="8"/>
    </row>
    <row r="707" customFormat="false" ht="15.75" hidden="false" customHeight="false" outlineLevel="0" collapsed="false">
      <c r="A707" s="7"/>
      <c r="B707" s="7"/>
      <c r="C707" s="7"/>
      <c r="D707" s="7"/>
      <c r="E707" s="7"/>
      <c r="F707" s="8"/>
    </row>
    <row r="708" customFormat="false" ht="15.75" hidden="false" customHeight="false" outlineLevel="0" collapsed="false">
      <c r="A708" s="7"/>
      <c r="B708" s="7"/>
      <c r="C708" s="7"/>
      <c r="D708" s="7"/>
      <c r="E708" s="7"/>
      <c r="F708" s="8"/>
    </row>
    <row r="709" customFormat="false" ht="15.75" hidden="false" customHeight="false" outlineLevel="0" collapsed="false">
      <c r="A709" s="7"/>
      <c r="B709" s="7"/>
      <c r="C709" s="7"/>
      <c r="D709" s="7"/>
      <c r="E709" s="7"/>
      <c r="F709" s="8"/>
    </row>
    <row r="710" customFormat="false" ht="15.75" hidden="false" customHeight="false" outlineLevel="0" collapsed="false">
      <c r="A710" s="7"/>
      <c r="B710" s="7"/>
      <c r="C710" s="7"/>
      <c r="D710" s="7"/>
      <c r="E710" s="7"/>
      <c r="F710" s="8"/>
    </row>
    <row r="711" customFormat="false" ht="15.75" hidden="false" customHeight="false" outlineLevel="0" collapsed="false">
      <c r="A711" s="7"/>
      <c r="B711" s="7"/>
      <c r="C711" s="7"/>
      <c r="D711" s="7"/>
      <c r="E711" s="7"/>
      <c r="F711" s="8"/>
    </row>
    <row r="712" customFormat="false" ht="15.75" hidden="false" customHeight="false" outlineLevel="0" collapsed="false">
      <c r="A712" s="7"/>
      <c r="B712" s="7"/>
      <c r="C712" s="7"/>
      <c r="D712" s="7"/>
      <c r="E712" s="7"/>
      <c r="F712" s="8"/>
    </row>
    <row r="713" customFormat="false" ht="15.75" hidden="false" customHeight="false" outlineLevel="0" collapsed="false">
      <c r="A713" s="7"/>
      <c r="B713" s="7"/>
      <c r="C713" s="7"/>
      <c r="D713" s="7"/>
      <c r="E713" s="7"/>
      <c r="F713" s="8"/>
    </row>
    <row r="714" customFormat="false" ht="15.75" hidden="false" customHeight="false" outlineLevel="0" collapsed="false">
      <c r="A714" s="7"/>
      <c r="B714" s="7"/>
      <c r="C714" s="7"/>
      <c r="D714" s="7"/>
      <c r="E714" s="7"/>
      <c r="F714" s="8"/>
    </row>
    <row r="715" customFormat="false" ht="15.75" hidden="false" customHeight="false" outlineLevel="0" collapsed="false">
      <c r="A715" s="7"/>
      <c r="B715" s="7"/>
      <c r="C715" s="7"/>
      <c r="D715" s="7"/>
      <c r="E715" s="7"/>
      <c r="F715" s="8"/>
    </row>
    <row r="716" customFormat="false" ht="15.75" hidden="false" customHeight="false" outlineLevel="0" collapsed="false">
      <c r="A716" s="7"/>
      <c r="B716" s="7"/>
      <c r="C716" s="7"/>
      <c r="D716" s="7"/>
      <c r="E716" s="7"/>
      <c r="F716" s="8"/>
    </row>
    <row r="717" customFormat="false" ht="15.75" hidden="false" customHeight="false" outlineLevel="0" collapsed="false">
      <c r="A717" s="7"/>
      <c r="B717" s="7"/>
      <c r="C717" s="7"/>
      <c r="D717" s="7"/>
      <c r="E717" s="7"/>
      <c r="F717" s="8"/>
    </row>
    <row r="718" customFormat="false" ht="15.75" hidden="false" customHeight="false" outlineLevel="0" collapsed="false">
      <c r="A718" s="7"/>
      <c r="B718" s="7"/>
      <c r="C718" s="7"/>
      <c r="D718" s="7"/>
      <c r="E718" s="7"/>
      <c r="F718" s="8"/>
    </row>
    <row r="719" customFormat="false" ht="15.75" hidden="false" customHeight="false" outlineLevel="0" collapsed="false">
      <c r="A719" s="7"/>
      <c r="B719" s="7"/>
      <c r="C719" s="7"/>
      <c r="D719" s="7"/>
      <c r="E719" s="7"/>
      <c r="F719" s="8"/>
    </row>
    <row r="720" customFormat="false" ht="15.75" hidden="false" customHeight="false" outlineLevel="0" collapsed="false">
      <c r="A720" s="7"/>
      <c r="B720" s="7"/>
      <c r="C720" s="7"/>
      <c r="D720" s="7"/>
      <c r="E720" s="7"/>
      <c r="F720" s="8"/>
    </row>
    <row r="721" customFormat="false" ht="15.75" hidden="false" customHeight="false" outlineLevel="0" collapsed="false">
      <c r="A721" s="7"/>
      <c r="B721" s="7"/>
      <c r="C721" s="7"/>
      <c r="D721" s="7"/>
      <c r="E721" s="7"/>
      <c r="F721" s="8"/>
    </row>
    <row r="722" customFormat="false" ht="15.75" hidden="false" customHeight="false" outlineLevel="0" collapsed="false">
      <c r="A722" s="7"/>
      <c r="B722" s="7"/>
      <c r="C722" s="7"/>
      <c r="D722" s="7"/>
      <c r="E722" s="7"/>
      <c r="F722" s="8"/>
    </row>
    <row r="723" customFormat="false" ht="15.75" hidden="false" customHeight="false" outlineLevel="0" collapsed="false">
      <c r="A723" s="7"/>
      <c r="B723" s="7"/>
      <c r="C723" s="7"/>
      <c r="D723" s="7"/>
      <c r="E723" s="7"/>
      <c r="F723" s="8"/>
    </row>
    <row r="724" customFormat="false" ht="15.75" hidden="false" customHeight="false" outlineLevel="0" collapsed="false">
      <c r="A724" s="7"/>
      <c r="B724" s="7"/>
      <c r="C724" s="7"/>
      <c r="D724" s="7"/>
      <c r="E724" s="7"/>
      <c r="F724" s="8"/>
    </row>
    <row r="725" customFormat="false" ht="15.75" hidden="false" customHeight="false" outlineLevel="0" collapsed="false">
      <c r="A725" s="7"/>
      <c r="B725" s="7"/>
      <c r="C725" s="7"/>
      <c r="D725" s="7"/>
      <c r="E725" s="7"/>
      <c r="F725" s="8"/>
    </row>
    <row r="726" customFormat="false" ht="15.75" hidden="false" customHeight="false" outlineLevel="0" collapsed="false">
      <c r="A726" s="7"/>
      <c r="B726" s="7"/>
      <c r="C726" s="7"/>
      <c r="D726" s="7"/>
      <c r="E726" s="7"/>
      <c r="F726" s="8"/>
    </row>
    <row r="727" customFormat="false" ht="15.75" hidden="false" customHeight="false" outlineLevel="0" collapsed="false">
      <c r="A727" s="7"/>
      <c r="B727" s="7"/>
      <c r="C727" s="7"/>
      <c r="D727" s="7"/>
      <c r="E727" s="7"/>
      <c r="F727" s="8"/>
    </row>
    <row r="728" customFormat="false" ht="15.75" hidden="false" customHeight="false" outlineLevel="0" collapsed="false">
      <c r="A728" s="7"/>
      <c r="B728" s="7"/>
      <c r="C728" s="7"/>
      <c r="D728" s="7"/>
      <c r="E728" s="7"/>
      <c r="F728" s="8"/>
    </row>
    <row r="729" customFormat="false" ht="15.75" hidden="false" customHeight="false" outlineLevel="0" collapsed="false">
      <c r="A729" s="7"/>
      <c r="B729" s="7"/>
      <c r="C729" s="7"/>
      <c r="D729" s="7"/>
      <c r="E729" s="7"/>
      <c r="F729" s="8"/>
    </row>
    <row r="730" customFormat="false" ht="15.75" hidden="false" customHeight="false" outlineLevel="0" collapsed="false">
      <c r="A730" s="7"/>
      <c r="B730" s="7"/>
      <c r="C730" s="7"/>
      <c r="D730" s="7"/>
      <c r="E730" s="7"/>
      <c r="F730" s="8"/>
    </row>
    <row r="731" customFormat="false" ht="15.75" hidden="false" customHeight="false" outlineLevel="0" collapsed="false">
      <c r="A731" s="7"/>
      <c r="B731" s="7"/>
      <c r="C731" s="7"/>
      <c r="D731" s="7"/>
      <c r="E731" s="7"/>
      <c r="F731" s="8"/>
    </row>
    <row r="732" customFormat="false" ht="15.75" hidden="false" customHeight="false" outlineLevel="0" collapsed="false">
      <c r="A732" s="7"/>
      <c r="B732" s="7"/>
      <c r="C732" s="7"/>
      <c r="D732" s="7"/>
      <c r="E732" s="7"/>
      <c r="F732" s="8"/>
    </row>
    <row r="733" customFormat="false" ht="15.75" hidden="false" customHeight="false" outlineLevel="0" collapsed="false">
      <c r="A733" s="7"/>
      <c r="B733" s="7"/>
      <c r="C733" s="7"/>
      <c r="D733" s="7"/>
      <c r="E733" s="7"/>
      <c r="F733" s="8"/>
    </row>
    <row r="734" customFormat="false" ht="15.75" hidden="false" customHeight="false" outlineLevel="0" collapsed="false">
      <c r="A734" s="7"/>
      <c r="B734" s="7"/>
      <c r="C734" s="7"/>
      <c r="D734" s="7"/>
      <c r="E734" s="7"/>
      <c r="F734" s="8"/>
    </row>
    <row r="735" customFormat="false" ht="15.75" hidden="false" customHeight="false" outlineLevel="0" collapsed="false">
      <c r="A735" s="7"/>
      <c r="B735" s="7"/>
      <c r="C735" s="7"/>
      <c r="D735" s="7"/>
      <c r="E735" s="7"/>
      <c r="F735" s="8"/>
    </row>
    <row r="736" customFormat="false" ht="15.75" hidden="false" customHeight="false" outlineLevel="0" collapsed="false">
      <c r="A736" s="7"/>
      <c r="B736" s="7"/>
      <c r="C736" s="7"/>
      <c r="D736" s="7"/>
      <c r="E736" s="7"/>
      <c r="F736" s="8"/>
    </row>
    <row r="737" customFormat="false" ht="15.75" hidden="false" customHeight="false" outlineLevel="0" collapsed="false">
      <c r="A737" s="7"/>
      <c r="B737" s="7"/>
      <c r="C737" s="7"/>
      <c r="D737" s="7"/>
      <c r="E737" s="7"/>
      <c r="F737" s="8"/>
    </row>
    <row r="738" customFormat="false" ht="15.75" hidden="false" customHeight="false" outlineLevel="0" collapsed="false">
      <c r="A738" s="7"/>
      <c r="B738" s="7"/>
      <c r="C738" s="7"/>
      <c r="D738" s="7"/>
      <c r="E738" s="7"/>
      <c r="F738" s="8"/>
    </row>
    <row r="739" customFormat="false" ht="15.75" hidden="false" customHeight="false" outlineLevel="0" collapsed="false">
      <c r="A739" s="7"/>
      <c r="B739" s="7"/>
      <c r="C739" s="7"/>
      <c r="D739" s="7"/>
      <c r="E739" s="7"/>
      <c r="F739" s="8"/>
    </row>
    <row r="740" customFormat="false" ht="15.75" hidden="false" customHeight="false" outlineLevel="0" collapsed="false">
      <c r="A740" s="7"/>
      <c r="B740" s="7"/>
      <c r="C740" s="7"/>
      <c r="D740" s="7"/>
      <c r="E740" s="7"/>
      <c r="F740" s="8"/>
    </row>
    <row r="741" customFormat="false" ht="15.75" hidden="false" customHeight="false" outlineLevel="0" collapsed="false">
      <c r="A741" s="7"/>
      <c r="B741" s="7"/>
      <c r="C741" s="7"/>
      <c r="D741" s="7"/>
      <c r="E741" s="7"/>
      <c r="F741" s="8"/>
    </row>
    <row r="742" customFormat="false" ht="15.75" hidden="false" customHeight="false" outlineLevel="0" collapsed="false">
      <c r="A742" s="7"/>
      <c r="B742" s="7"/>
      <c r="C742" s="7"/>
      <c r="D742" s="7"/>
      <c r="E742" s="7"/>
      <c r="F742" s="8"/>
    </row>
    <row r="743" customFormat="false" ht="15.75" hidden="false" customHeight="false" outlineLevel="0" collapsed="false">
      <c r="A743" s="7"/>
      <c r="B743" s="7"/>
      <c r="C743" s="7"/>
      <c r="D743" s="7"/>
      <c r="E743" s="7"/>
      <c r="F743" s="8"/>
    </row>
    <row r="744" customFormat="false" ht="15.75" hidden="false" customHeight="false" outlineLevel="0" collapsed="false">
      <c r="A744" s="7"/>
      <c r="B744" s="7"/>
      <c r="C744" s="7"/>
      <c r="D744" s="7"/>
      <c r="E744" s="7"/>
      <c r="F744" s="8"/>
    </row>
    <row r="745" customFormat="false" ht="15.75" hidden="false" customHeight="false" outlineLevel="0" collapsed="false">
      <c r="A745" s="7"/>
      <c r="B745" s="7"/>
      <c r="C745" s="7"/>
      <c r="D745" s="7"/>
      <c r="E745" s="7"/>
      <c r="F745" s="8"/>
    </row>
    <row r="746" customFormat="false" ht="15.75" hidden="false" customHeight="false" outlineLevel="0" collapsed="false">
      <c r="A746" s="7"/>
      <c r="B746" s="7"/>
      <c r="C746" s="7"/>
      <c r="D746" s="7"/>
      <c r="E746" s="7"/>
      <c r="F746" s="8"/>
    </row>
    <row r="747" customFormat="false" ht="15.75" hidden="false" customHeight="false" outlineLevel="0" collapsed="false">
      <c r="A747" s="7"/>
      <c r="B747" s="7"/>
      <c r="C747" s="7"/>
      <c r="D747" s="7"/>
      <c r="E747" s="7"/>
      <c r="F747" s="8"/>
    </row>
    <row r="748" customFormat="false" ht="15.75" hidden="false" customHeight="false" outlineLevel="0" collapsed="false">
      <c r="A748" s="7"/>
      <c r="B748" s="7"/>
      <c r="C748" s="7"/>
      <c r="D748" s="7"/>
      <c r="E748" s="7"/>
      <c r="F748" s="8"/>
    </row>
    <row r="749" customFormat="false" ht="15.75" hidden="false" customHeight="false" outlineLevel="0" collapsed="false">
      <c r="A749" s="7"/>
      <c r="B749" s="7"/>
      <c r="C749" s="7"/>
      <c r="D749" s="7"/>
      <c r="E749" s="7"/>
      <c r="F749" s="8"/>
    </row>
    <row r="750" customFormat="false" ht="15.75" hidden="false" customHeight="false" outlineLevel="0" collapsed="false">
      <c r="A750" s="7"/>
      <c r="B750" s="7"/>
      <c r="C750" s="7"/>
      <c r="D750" s="7"/>
      <c r="E750" s="7"/>
      <c r="F750" s="8"/>
    </row>
    <row r="751" customFormat="false" ht="15.75" hidden="false" customHeight="false" outlineLevel="0" collapsed="false">
      <c r="A751" s="7"/>
      <c r="B751" s="7"/>
      <c r="C751" s="7"/>
      <c r="D751" s="7"/>
      <c r="E751" s="7"/>
      <c r="F751" s="8"/>
    </row>
    <row r="752" customFormat="false" ht="15.75" hidden="false" customHeight="false" outlineLevel="0" collapsed="false">
      <c r="A752" s="7"/>
      <c r="B752" s="7"/>
      <c r="C752" s="7"/>
      <c r="D752" s="7"/>
      <c r="E752" s="7"/>
      <c r="F752" s="8"/>
    </row>
    <row r="753" customFormat="false" ht="15.75" hidden="false" customHeight="false" outlineLevel="0" collapsed="false">
      <c r="A753" s="7"/>
      <c r="B753" s="7"/>
      <c r="C753" s="7"/>
      <c r="D753" s="7"/>
      <c r="E753" s="7"/>
      <c r="F753" s="8"/>
    </row>
    <row r="754" customFormat="false" ht="15.75" hidden="false" customHeight="false" outlineLevel="0" collapsed="false">
      <c r="A754" s="7"/>
      <c r="B754" s="7"/>
      <c r="C754" s="7"/>
      <c r="D754" s="7"/>
      <c r="E754" s="7"/>
      <c r="F754" s="8"/>
    </row>
    <row r="755" customFormat="false" ht="15.75" hidden="false" customHeight="false" outlineLevel="0" collapsed="false">
      <c r="A755" s="7"/>
      <c r="B755" s="7"/>
      <c r="C755" s="7"/>
      <c r="D755" s="7"/>
      <c r="E755" s="7"/>
      <c r="F755" s="8"/>
    </row>
    <row r="756" customFormat="false" ht="15.75" hidden="false" customHeight="false" outlineLevel="0" collapsed="false">
      <c r="A756" s="7"/>
      <c r="B756" s="7"/>
      <c r="C756" s="7"/>
      <c r="D756" s="7"/>
      <c r="E756" s="7"/>
      <c r="F756" s="8"/>
    </row>
    <row r="757" customFormat="false" ht="15.75" hidden="false" customHeight="false" outlineLevel="0" collapsed="false">
      <c r="A757" s="7"/>
      <c r="B757" s="7"/>
      <c r="C757" s="7"/>
      <c r="D757" s="7"/>
      <c r="E757" s="7"/>
      <c r="F757" s="8"/>
    </row>
    <row r="758" customFormat="false" ht="15.75" hidden="false" customHeight="false" outlineLevel="0" collapsed="false">
      <c r="A758" s="7"/>
      <c r="B758" s="7"/>
      <c r="C758" s="7"/>
      <c r="D758" s="7"/>
      <c r="E758" s="7"/>
      <c r="F758" s="8"/>
    </row>
    <row r="759" customFormat="false" ht="15.75" hidden="false" customHeight="false" outlineLevel="0" collapsed="false">
      <c r="A759" s="7"/>
      <c r="B759" s="7"/>
      <c r="C759" s="7"/>
      <c r="D759" s="7"/>
      <c r="E759" s="7"/>
      <c r="F759" s="8"/>
    </row>
    <row r="760" customFormat="false" ht="15.75" hidden="false" customHeight="false" outlineLevel="0" collapsed="false">
      <c r="A760" s="7"/>
      <c r="B760" s="7"/>
      <c r="C760" s="7"/>
      <c r="D760" s="7"/>
      <c r="E760" s="7"/>
      <c r="F760" s="8"/>
    </row>
    <row r="761" customFormat="false" ht="15.75" hidden="false" customHeight="false" outlineLevel="0" collapsed="false">
      <c r="A761" s="7"/>
      <c r="B761" s="7"/>
      <c r="C761" s="7"/>
      <c r="D761" s="7"/>
      <c r="E761" s="7"/>
      <c r="F761" s="8"/>
    </row>
    <row r="762" customFormat="false" ht="15.75" hidden="false" customHeight="false" outlineLevel="0" collapsed="false">
      <c r="A762" s="7"/>
      <c r="B762" s="7"/>
      <c r="C762" s="7"/>
      <c r="D762" s="7"/>
      <c r="E762" s="7"/>
      <c r="F762" s="8"/>
    </row>
    <row r="763" customFormat="false" ht="15.75" hidden="false" customHeight="false" outlineLevel="0" collapsed="false">
      <c r="A763" s="7"/>
      <c r="B763" s="7"/>
      <c r="C763" s="7"/>
      <c r="D763" s="7"/>
      <c r="E763" s="7"/>
      <c r="F763" s="8"/>
    </row>
    <row r="764" customFormat="false" ht="15.75" hidden="false" customHeight="false" outlineLevel="0" collapsed="false">
      <c r="A764" s="7"/>
      <c r="B764" s="7"/>
      <c r="C764" s="7"/>
      <c r="D764" s="7"/>
      <c r="E764" s="7"/>
      <c r="F764" s="8"/>
    </row>
    <row r="765" customFormat="false" ht="15.75" hidden="false" customHeight="false" outlineLevel="0" collapsed="false">
      <c r="A765" s="7"/>
      <c r="B765" s="7"/>
      <c r="C765" s="7"/>
      <c r="D765" s="7"/>
      <c r="E765" s="7"/>
      <c r="F765" s="8"/>
    </row>
    <row r="766" customFormat="false" ht="15.75" hidden="false" customHeight="false" outlineLevel="0" collapsed="false">
      <c r="A766" s="7"/>
      <c r="B766" s="7"/>
      <c r="C766" s="7"/>
      <c r="D766" s="7"/>
      <c r="E766" s="7"/>
      <c r="F766" s="8"/>
    </row>
    <row r="767" customFormat="false" ht="15.75" hidden="false" customHeight="false" outlineLevel="0" collapsed="false">
      <c r="A767" s="7"/>
      <c r="B767" s="7"/>
      <c r="C767" s="7"/>
      <c r="D767" s="7"/>
      <c r="E767" s="7"/>
      <c r="F767" s="8"/>
    </row>
    <row r="768" customFormat="false" ht="15.75" hidden="false" customHeight="false" outlineLevel="0" collapsed="false">
      <c r="A768" s="7"/>
      <c r="B768" s="7"/>
      <c r="C768" s="7"/>
      <c r="D768" s="7"/>
      <c r="E768" s="7"/>
      <c r="F768" s="8"/>
    </row>
    <row r="769" customFormat="false" ht="15.75" hidden="false" customHeight="false" outlineLevel="0" collapsed="false">
      <c r="A769" s="7"/>
      <c r="B769" s="7"/>
      <c r="C769" s="7"/>
      <c r="D769" s="7"/>
      <c r="E769" s="7"/>
      <c r="F769" s="8"/>
    </row>
    <row r="770" customFormat="false" ht="15.75" hidden="false" customHeight="false" outlineLevel="0" collapsed="false">
      <c r="A770" s="7"/>
      <c r="B770" s="7"/>
      <c r="C770" s="7"/>
      <c r="D770" s="7"/>
      <c r="E770" s="7"/>
      <c r="F770" s="8"/>
    </row>
    <row r="771" customFormat="false" ht="15.75" hidden="false" customHeight="false" outlineLevel="0" collapsed="false">
      <c r="A771" s="7"/>
      <c r="B771" s="7"/>
      <c r="C771" s="7"/>
      <c r="D771" s="7"/>
      <c r="E771" s="7"/>
      <c r="F771" s="8"/>
    </row>
    <row r="772" customFormat="false" ht="15.75" hidden="false" customHeight="false" outlineLevel="0" collapsed="false">
      <c r="A772" s="7"/>
      <c r="B772" s="7"/>
      <c r="C772" s="7"/>
      <c r="D772" s="7"/>
      <c r="E772" s="7"/>
      <c r="F772" s="8"/>
    </row>
    <row r="773" customFormat="false" ht="15.75" hidden="false" customHeight="false" outlineLevel="0" collapsed="false">
      <c r="A773" s="7"/>
      <c r="B773" s="7"/>
      <c r="C773" s="7"/>
      <c r="D773" s="7"/>
      <c r="E773" s="7"/>
      <c r="F773" s="8"/>
    </row>
    <row r="774" customFormat="false" ht="15.75" hidden="false" customHeight="false" outlineLevel="0" collapsed="false">
      <c r="A774" s="7"/>
      <c r="B774" s="7"/>
      <c r="C774" s="7"/>
      <c r="D774" s="7"/>
      <c r="E774" s="7"/>
      <c r="F774" s="8"/>
    </row>
    <row r="775" customFormat="false" ht="15.75" hidden="false" customHeight="false" outlineLevel="0" collapsed="false">
      <c r="A775" s="7"/>
      <c r="B775" s="7"/>
      <c r="C775" s="7"/>
      <c r="D775" s="7"/>
      <c r="E775" s="7"/>
      <c r="F775" s="8"/>
    </row>
    <row r="776" customFormat="false" ht="15.75" hidden="false" customHeight="false" outlineLevel="0" collapsed="false">
      <c r="A776" s="7"/>
      <c r="B776" s="7"/>
      <c r="C776" s="7"/>
      <c r="D776" s="7"/>
      <c r="E776" s="7"/>
      <c r="F776" s="8"/>
    </row>
    <row r="777" customFormat="false" ht="15.75" hidden="false" customHeight="false" outlineLevel="0" collapsed="false">
      <c r="A777" s="7"/>
      <c r="B777" s="7"/>
      <c r="C777" s="7"/>
      <c r="D777" s="7"/>
      <c r="E777" s="7"/>
      <c r="F777" s="8"/>
    </row>
    <row r="778" customFormat="false" ht="15.75" hidden="false" customHeight="false" outlineLevel="0" collapsed="false">
      <c r="A778" s="7"/>
      <c r="B778" s="7"/>
      <c r="C778" s="7"/>
      <c r="D778" s="7"/>
      <c r="E778" s="7"/>
      <c r="F778" s="8"/>
    </row>
    <row r="779" customFormat="false" ht="15.75" hidden="false" customHeight="false" outlineLevel="0" collapsed="false">
      <c r="A779" s="7"/>
      <c r="B779" s="7"/>
      <c r="C779" s="7"/>
      <c r="D779" s="7"/>
      <c r="E779" s="7"/>
      <c r="F779" s="8"/>
    </row>
    <row r="780" customFormat="false" ht="15.75" hidden="false" customHeight="false" outlineLevel="0" collapsed="false">
      <c r="A780" s="7"/>
      <c r="B780" s="7"/>
      <c r="C780" s="7"/>
      <c r="D780" s="7"/>
      <c r="E780" s="7"/>
      <c r="F780" s="8"/>
    </row>
    <row r="781" customFormat="false" ht="15.75" hidden="false" customHeight="false" outlineLevel="0" collapsed="false">
      <c r="A781" s="7"/>
      <c r="B781" s="7"/>
      <c r="C781" s="7"/>
      <c r="D781" s="7"/>
      <c r="E781" s="7"/>
      <c r="F781" s="8"/>
    </row>
    <row r="782" customFormat="false" ht="15.75" hidden="false" customHeight="false" outlineLevel="0" collapsed="false">
      <c r="A782" s="7"/>
      <c r="B782" s="7"/>
      <c r="C782" s="7"/>
      <c r="D782" s="7"/>
      <c r="E782" s="7"/>
      <c r="F782" s="8"/>
    </row>
    <row r="783" customFormat="false" ht="15.75" hidden="false" customHeight="false" outlineLevel="0" collapsed="false">
      <c r="A783" s="7"/>
      <c r="B783" s="7"/>
      <c r="C783" s="7"/>
      <c r="D783" s="7"/>
      <c r="E783" s="7"/>
      <c r="F783" s="8"/>
    </row>
    <row r="784" customFormat="false" ht="15.75" hidden="false" customHeight="false" outlineLevel="0" collapsed="false">
      <c r="A784" s="7"/>
      <c r="B784" s="7"/>
      <c r="C784" s="7"/>
      <c r="D784" s="7"/>
      <c r="E784" s="7"/>
      <c r="F784" s="8"/>
    </row>
    <row r="785" customFormat="false" ht="15.75" hidden="false" customHeight="false" outlineLevel="0" collapsed="false">
      <c r="A785" s="7"/>
      <c r="B785" s="7"/>
      <c r="C785" s="7"/>
      <c r="D785" s="7"/>
      <c r="E785" s="7"/>
      <c r="F785" s="8"/>
    </row>
    <row r="786" customFormat="false" ht="15.75" hidden="false" customHeight="false" outlineLevel="0" collapsed="false">
      <c r="A786" s="7"/>
      <c r="B786" s="7"/>
      <c r="C786" s="7"/>
      <c r="D786" s="7"/>
      <c r="E786" s="7"/>
      <c r="F786" s="8"/>
    </row>
    <row r="787" customFormat="false" ht="15.75" hidden="false" customHeight="false" outlineLevel="0" collapsed="false">
      <c r="A787" s="7"/>
      <c r="B787" s="7"/>
      <c r="C787" s="7"/>
      <c r="D787" s="7"/>
      <c r="E787" s="7"/>
      <c r="F787" s="8"/>
    </row>
    <row r="788" customFormat="false" ht="15.75" hidden="false" customHeight="false" outlineLevel="0" collapsed="false">
      <c r="A788" s="7"/>
      <c r="B788" s="7"/>
      <c r="C788" s="7"/>
      <c r="D788" s="7"/>
      <c r="E788" s="7"/>
      <c r="F788" s="8"/>
    </row>
    <row r="789" customFormat="false" ht="15.75" hidden="false" customHeight="false" outlineLevel="0" collapsed="false">
      <c r="A789" s="7"/>
      <c r="B789" s="7"/>
      <c r="C789" s="7"/>
      <c r="D789" s="7"/>
      <c r="E789" s="7"/>
      <c r="F789" s="8"/>
    </row>
    <row r="790" customFormat="false" ht="15.75" hidden="false" customHeight="false" outlineLevel="0" collapsed="false">
      <c r="A790" s="7"/>
      <c r="B790" s="7"/>
      <c r="C790" s="7"/>
      <c r="D790" s="7"/>
      <c r="E790" s="7"/>
      <c r="F790" s="8"/>
    </row>
    <row r="791" customFormat="false" ht="15.75" hidden="false" customHeight="false" outlineLevel="0" collapsed="false">
      <c r="A791" s="7"/>
      <c r="B791" s="7"/>
      <c r="C791" s="7"/>
      <c r="D791" s="7"/>
      <c r="E791" s="7"/>
      <c r="F791" s="8"/>
    </row>
    <row r="792" customFormat="false" ht="15.75" hidden="false" customHeight="false" outlineLevel="0" collapsed="false">
      <c r="A792" s="7"/>
      <c r="B792" s="7"/>
      <c r="C792" s="7"/>
      <c r="D792" s="7"/>
      <c r="E792" s="7"/>
      <c r="F792" s="8"/>
    </row>
    <row r="793" customFormat="false" ht="15.75" hidden="false" customHeight="false" outlineLevel="0" collapsed="false">
      <c r="A793" s="7"/>
      <c r="B793" s="7"/>
      <c r="C793" s="7"/>
      <c r="D793" s="7"/>
      <c r="E793" s="7"/>
      <c r="F793" s="8"/>
    </row>
    <row r="794" customFormat="false" ht="15.75" hidden="false" customHeight="false" outlineLevel="0" collapsed="false">
      <c r="A794" s="7"/>
      <c r="B794" s="7"/>
      <c r="C794" s="7"/>
      <c r="D794" s="7"/>
      <c r="E794" s="7"/>
      <c r="F794" s="8"/>
    </row>
    <row r="795" customFormat="false" ht="15.75" hidden="false" customHeight="false" outlineLevel="0" collapsed="false">
      <c r="A795" s="7"/>
      <c r="B795" s="7"/>
      <c r="C795" s="7"/>
      <c r="D795" s="7"/>
      <c r="E795" s="7"/>
      <c r="F795" s="8"/>
    </row>
    <row r="796" customFormat="false" ht="15.75" hidden="false" customHeight="false" outlineLevel="0" collapsed="false">
      <c r="A796" s="7"/>
      <c r="B796" s="7"/>
      <c r="C796" s="7"/>
      <c r="D796" s="7"/>
      <c r="E796" s="7"/>
      <c r="F796" s="8"/>
    </row>
    <row r="797" customFormat="false" ht="15.75" hidden="false" customHeight="false" outlineLevel="0" collapsed="false">
      <c r="A797" s="7"/>
      <c r="B797" s="7"/>
      <c r="C797" s="7"/>
      <c r="D797" s="7"/>
      <c r="E797" s="7"/>
      <c r="F797" s="8"/>
    </row>
    <row r="798" customFormat="false" ht="15.75" hidden="false" customHeight="false" outlineLevel="0" collapsed="false">
      <c r="A798" s="7"/>
      <c r="B798" s="7"/>
      <c r="C798" s="7"/>
      <c r="D798" s="7"/>
      <c r="E798" s="7"/>
      <c r="F798" s="8"/>
    </row>
    <row r="799" customFormat="false" ht="15.75" hidden="false" customHeight="false" outlineLevel="0" collapsed="false">
      <c r="A799" s="7"/>
      <c r="B799" s="7"/>
      <c r="C799" s="7"/>
      <c r="D799" s="7"/>
      <c r="E799" s="7"/>
      <c r="F799" s="8"/>
    </row>
    <row r="800" customFormat="false" ht="15.75" hidden="false" customHeight="false" outlineLevel="0" collapsed="false">
      <c r="A800" s="7"/>
      <c r="B800" s="7"/>
      <c r="C800" s="7"/>
      <c r="D800" s="7"/>
      <c r="E800" s="7"/>
      <c r="F800" s="8"/>
    </row>
    <row r="801" customFormat="false" ht="15.75" hidden="false" customHeight="false" outlineLevel="0" collapsed="false">
      <c r="A801" s="7"/>
      <c r="B801" s="7"/>
      <c r="C801" s="7"/>
      <c r="D801" s="7"/>
      <c r="E801" s="7"/>
      <c r="F801" s="8"/>
    </row>
    <row r="802" customFormat="false" ht="15.75" hidden="false" customHeight="false" outlineLevel="0" collapsed="false">
      <c r="A802" s="7"/>
      <c r="B802" s="7"/>
      <c r="C802" s="7"/>
      <c r="D802" s="7"/>
      <c r="E802" s="7"/>
      <c r="F802" s="8"/>
    </row>
    <row r="803" customFormat="false" ht="15.75" hidden="false" customHeight="false" outlineLevel="0" collapsed="false">
      <c r="A803" s="7"/>
      <c r="B803" s="7"/>
      <c r="C803" s="7"/>
      <c r="D803" s="7"/>
      <c r="E803" s="7"/>
      <c r="F803" s="8"/>
    </row>
    <row r="804" customFormat="false" ht="15.75" hidden="false" customHeight="false" outlineLevel="0" collapsed="false">
      <c r="A804" s="7"/>
      <c r="B804" s="7"/>
      <c r="C804" s="7"/>
      <c r="D804" s="7"/>
      <c r="E804" s="7"/>
      <c r="F804" s="8"/>
    </row>
    <row r="805" customFormat="false" ht="15.75" hidden="false" customHeight="false" outlineLevel="0" collapsed="false">
      <c r="A805" s="7"/>
      <c r="B805" s="7"/>
      <c r="C805" s="7"/>
      <c r="D805" s="7"/>
      <c r="E805" s="7"/>
      <c r="F805" s="8"/>
    </row>
    <row r="806" customFormat="false" ht="15.75" hidden="false" customHeight="false" outlineLevel="0" collapsed="false">
      <c r="A806" s="7"/>
      <c r="B806" s="7"/>
      <c r="C806" s="7"/>
      <c r="D806" s="7"/>
      <c r="E806" s="7"/>
      <c r="F806" s="8"/>
    </row>
    <row r="807" customFormat="false" ht="15.75" hidden="false" customHeight="false" outlineLevel="0" collapsed="false">
      <c r="A807" s="7"/>
      <c r="B807" s="7"/>
      <c r="C807" s="7"/>
      <c r="D807" s="7"/>
      <c r="E807" s="7"/>
      <c r="F807" s="8"/>
    </row>
    <row r="808" customFormat="false" ht="15.75" hidden="false" customHeight="false" outlineLevel="0" collapsed="false">
      <c r="A808" s="7"/>
      <c r="B808" s="7"/>
      <c r="C808" s="7"/>
      <c r="D808" s="7"/>
      <c r="E808" s="7"/>
      <c r="F808" s="8"/>
    </row>
    <row r="809" customFormat="false" ht="15.75" hidden="false" customHeight="false" outlineLevel="0" collapsed="false">
      <c r="A809" s="7"/>
      <c r="B809" s="7"/>
      <c r="C809" s="7"/>
      <c r="D809" s="7"/>
      <c r="E809" s="7"/>
      <c r="F809" s="8"/>
    </row>
    <row r="810" customFormat="false" ht="15.75" hidden="false" customHeight="false" outlineLevel="0" collapsed="false">
      <c r="A810" s="7"/>
      <c r="B810" s="7"/>
      <c r="C810" s="7"/>
      <c r="D810" s="7"/>
      <c r="E810" s="7"/>
      <c r="F810" s="8"/>
    </row>
    <row r="811" customFormat="false" ht="15.75" hidden="false" customHeight="false" outlineLevel="0" collapsed="false">
      <c r="A811" s="7"/>
      <c r="B811" s="7"/>
      <c r="C811" s="7"/>
      <c r="D811" s="7"/>
      <c r="E811" s="7"/>
      <c r="F811" s="8"/>
    </row>
    <row r="812" customFormat="false" ht="15.75" hidden="false" customHeight="false" outlineLevel="0" collapsed="false">
      <c r="A812" s="7"/>
      <c r="B812" s="7"/>
      <c r="C812" s="7"/>
      <c r="D812" s="7"/>
      <c r="E812" s="7"/>
      <c r="F812" s="8"/>
    </row>
    <row r="813" customFormat="false" ht="15.75" hidden="false" customHeight="false" outlineLevel="0" collapsed="false">
      <c r="A813" s="7"/>
      <c r="B813" s="7"/>
      <c r="C813" s="7"/>
      <c r="D813" s="7"/>
      <c r="E813" s="7"/>
      <c r="F813" s="8"/>
    </row>
    <row r="814" customFormat="false" ht="15.75" hidden="false" customHeight="false" outlineLevel="0" collapsed="false">
      <c r="A814" s="7"/>
      <c r="B814" s="7"/>
      <c r="C814" s="7"/>
      <c r="D814" s="7"/>
      <c r="E814" s="7"/>
      <c r="F814" s="8"/>
    </row>
    <row r="815" customFormat="false" ht="15.75" hidden="false" customHeight="false" outlineLevel="0" collapsed="false">
      <c r="A815" s="7"/>
      <c r="B815" s="7"/>
      <c r="C815" s="7"/>
      <c r="D815" s="7"/>
      <c r="E815" s="7"/>
      <c r="F815" s="8"/>
    </row>
    <row r="816" customFormat="false" ht="15.75" hidden="false" customHeight="false" outlineLevel="0" collapsed="false">
      <c r="B816" s="7"/>
      <c r="C816" s="7"/>
      <c r="D816" s="7"/>
      <c r="E816" s="7"/>
      <c r="F816" s="8"/>
    </row>
    <row r="817" customFormat="false" ht="15.75" hidden="false" customHeight="false" outlineLevel="0" collapsed="false">
      <c r="B817" s="7"/>
      <c r="C817" s="7"/>
      <c r="D817" s="7"/>
      <c r="E817" s="7"/>
      <c r="F817" s="8"/>
    </row>
    <row r="818" customFormat="false" ht="15.75" hidden="false" customHeight="false" outlineLevel="0" collapsed="false">
      <c r="B818" s="7"/>
      <c r="C818" s="7"/>
      <c r="D818" s="7"/>
      <c r="E818" s="7"/>
      <c r="F818" s="8"/>
    </row>
    <row r="819" customFormat="false" ht="15.75" hidden="false" customHeight="false" outlineLevel="0" collapsed="false">
      <c r="B819" s="7"/>
      <c r="C819" s="7"/>
      <c r="D819" s="7"/>
      <c r="E819" s="7"/>
      <c r="F819" s="8"/>
    </row>
    <row r="820" customFormat="false" ht="15.75" hidden="false" customHeight="false" outlineLevel="0" collapsed="false">
      <c r="B820" s="7"/>
      <c r="C820" s="7"/>
      <c r="D820" s="7"/>
      <c r="E820" s="7"/>
      <c r="F820" s="8"/>
    </row>
    <row r="821" customFormat="false" ht="15.75" hidden="false" customHeight="false" outlineLevel="0" collapsed="false">
      <c r="B821" s="7"/>
      <c r="C821" s="7"/>
      <c r="D821" s="7"/>
      <c r="E821" s="7"/>
      <c r="F821" s="8"/>
    </row>
    <row r="822" customFormat="false" ht="15.75" hidden="false" customHeight="false" outlineLevel="0" collapsed="false">
      <c r="B822" s="7"/>
      <c r="C822" s="7"/>
      <c r="D822" s="7"/>
      <c r="E822" s="7"/>
      <c r="F822" s="8"/>
    </row>
    <row r="823" customFormat="false" ht="15.75" hidden="false" customHeight="false" outlineLevel="0" collapsed="false">
      <c r="B823" s="7"/>
      <c r="C823" s="7"/>
      <c r="D823" s="7"/>
      <c r="E823" s="7"/>
      <c r="F823" s="8"/>
    </row>
    <row r="824" customFormat="false" ht="15.75" hidden="false" customHeight="false" outlineLevel="0" collapsed="false">
      <c r="B824" s="7"/>
      <c r="C824" s="7"/>
      <c r="D824" s="7"/>
      <c r="E824" s="7"/>
      <c r="F824" s="8"/>
    </row>
    <row r="825" customFormat="false" ht="15.75" hidden="false" customHeight="false" outlineLevel="0" collapsed="false">
      <c r="B825" s="7"/>
      <c r="C825" s="7"/>
      <c r="D825" s="7"/>
      <c r="E825" s="7"/>
      <c r="F825" s="8"/>
    </row>
    <row r="826" customFormat="false" ht="15.75" hidden="false" customHeight="false" outlineLevel="0" collapsed="false">
      <c r="B826" s="7"/>
      <c r="C826" s="7"/>
      <c r="D826" s="7"/>
      <c r="E826" s="7"/>
      <c r="F826" s="8"/>
    </row>
    <row r="827" customFormat="false" ht="15.75" hidden="false" customHeight="false" outlineLevel="0" collapsed="false">
      <c r="B827" s="7"/>
      <c r="C827" s="7"/>
      <c r="D827" s="7"/>
      <c r="E827" s="7"/>
      <c r="F827" s="8"/>
    </row>
    <row r="828" customFormat="false" ht="15.75" hidden="false" customHeight="false" outlineLevel="0" collapsed="false">
      <c r="B828" s="7"/>
      <c r="C828" s="7"/>
      <c r="D828" s="7"/>
      <c r="E828" s="7"/>
      <c r="F828" s="8"/>
    </row>
    <row r="829" customFormat="false" ht="15.75" hidden="false" customHeight="false" outlineLevel="0" collapsed="false">
      <c r="B829" s="7"/>
      <c r="C829" s="7"/>
      <c r="D829" s="7"/>
      <c r="E829" s="7"/>
      <c r="F829" s="8"/>
    </row>
    <row r="830" customFormat="false" ht="15.75" hidden="false" customHeight="false" outlineLevel="0" collapsed="false">
      <c r="B830" s="7"/>
      <c r="C830" s="7"/>
      <c r="D830" s="7"/>
      <c r="E830" s="7"/>
      <c r="F830" s="8"/>
    </row>
    <row r="831" customFormat="false" ht="15.75" hidden="false" customHeight="false" outlineLevel="0" collapsed="false">
      <c r="B831" s="7"/>
      <c r="C831" s="7"/>
      <c r="D831" s="7"/>
      <c r="E831" s="7"/>
      <c r="F831" s="8"/>
    </row>
    <row r="832" customFormat="false" ht="15.75" hidden="false" customHeight="false" outlineLevel="0" collapsed="false">
      <c r="B832" s="7"/>
      <c r="C832" s="7"/>
      <c r="D832" s="7"/>
      <c r="E832" s="7"/>
      <c r="F832" s="8"/>
    </row>
    <row r="833" customFormat="false" ht="15.75" hidden="false" customHeight="false" outlineLevel="0" collapsed="false">
      <c r="B833" s="7"/>
      <c r="C833" s="7"/>
      <c r="D833" s="7"/>
      <c r="E833" s="7"/>
      <c r="F833" s="8"/>
    </row>
    <row r="834" customFormat="false" ht="15.75" hidden="false" customHeight="false" outlineLevel="0" collapsed="false">
      <c r="B834" s="7"/>
      <c r="C834" s="7"/>
      <c r="D834" s="7"/>
      <c r="E834" s="7"/>
      <c r="F834" s="8"/>
    </row>
    <row r="835" customFormat="false" ht="15.75" hidden="false" customHeight="false" outlineLevel="0" collapsed="false">
      <c r="B835" s="7"/>
      <c r="C835" s="7"/>
      <c r="D835" s="7"/>
      <c r="E835" s="7"/>
      <c r="F835" s="8"/>
    </row>
    <row r="836" customFormat="false" ht="15.75" hidden="false" customHeight="false" outlineLevel="0" collapsed="false">
      <c r="B836" s="7"/>
      <c r="C836" s="7"/>
      <c r="D836" s="7"/>
      <c r="E836" s="7"/>
      <c r="F836" s="8"/>
    </row>
    <row r="837" customFormat="false" ht="15.75" hidden="false" customHeight="false" outlineLevel="0" collapsed="false">
      <c r="B837" s="7"/>
      <c r="C837" s="7"/>
      <c r="D837" s="7"/>
      <c r="E837" s="7"/>
      <c r="F837" s="8"/>
    </row>
    <row r="838" customFormat="false" ht="15.75" hidden="false" customHeight="false" outlineLevel="0" collapsed="false">
      <c r="B838" s="7"/>
      <c r="C838" s="7"/>
      <c r="D838" s="7"/>
      <c r="E838" s="7"/>
      <c r="F838" s="8"/>
    </row>
    <row r="839" customFormat="false" ht="15.75" hidden="false" customHeight="false" outlineLevel="0" collapsed="false">
      <c r="B839" s="7"/>
      <c r="C839" s="7"/>
      <c r="D839" s="7"/>
      <c r="E839" s="7"/>
      <c r="F839" s="8"/>
    </row>
    <row r="840" customFormat="false" ht="15.75" hidden="false" customHeight="false" outlineLevel="0" collapsed="false">
      <c r="B840" s="7"/>
      <c r="C840" s="7"/>
      <c r="D840" s="7"/>
      <c r="E840" s="7"/>
      <c r="F840" s="8"/>
    </row>
    <row r="841" customFormat="false" ht="15.75" hidden="false" customHeight="false" outlineLevel="0" collapsed="false">
      <c r="B841" s="7"/>
      <c r="C841" s="7"/>
      <c r="D841" s="7"/>
      <c r="E841" s="7"/>
      <c r="F841" s="8"/>
    </row>
    <row r="842" customFormat="false" ht="15.75" hidden="false" customHeight="false" outlineLevel="0" collapsed="false">
      <c r="B842" s="7"/>
      <c r="C842" s="7"/>
      <c r="D842" s="7"/>
      <c r="E842" s="7"/>
      <c r="F842" s="8"/>
    </row>
    <row r="843" customFormat="false" ht="15.75" hidden="false" customHeight="false" outlineLevel="0" collapsed="false">
      <c r="B843" s="7"/>
      <c r="C843" s="7"/>
      <c r="D843" s="7"/>
      <c r="E843" s="7"/>
      <c r="F843" s="8"/>
    </row>
    <row r="844" customFormat="false" ht="15.75" hidden="false" customHeight="false" outlineLevel="0" collapsed="false">
      <c r="B844" s="7"/>
      <c r="C844" s="7"/>
      <c r="D844" s="7"/>
      <c r="E844" s="7"/>
      <c r="F844" s="8"/>
    </row>
    <row r="845" customFormat="false" ht="15.75" hidden="false" customHeight="false" outlineLevel="0" collapsed="false">
      <c r="B845" s="7"/>
      <c r="C845" s="7"/>
      <c r="D845" s="7"/>
      <c r="E845" s="7"/>
      <c r="F845" s="8"/>
    </row>
    <row r="846" customFormat="false" ht="15.75" hidden="false" customHeight="false" outlineLevel="0" collapsed="false">
      <c r="B846" s="7"/>
      <c r="C846" s="7"/>
      <c r="D846" s="7"/>
      <c r="E846" s="7"/>
      <c r="F846" s="8"/>
    </row>
    <row r="847" customFormat="false" ht="15.75" hidden="false" customHeight="false" outlineLevel="0" collapsed="false">
      <c r="B847" s="7"/>
      <c r="C847" s="7"/>
      <c r="D847" s="7"/>
      <c r="E847" s="7"/>
      <c r="F847" s="8"/>
    </row>
    <row r="848" customFormat="false" ht="15.75" hidden="false" customHeight="false" outlineLevel="0" collapsed="false">
      <c r="B848" s="7"/>
      <c r="C848" s="7"/>
      <c r="D848" s="7"/>
      <c r="E848" s="7"/>
      <c r="F848" s="8"/>
    </row>
    <row r="849" customFormat="false" ht="15.75" hidden="false" customHeight="false" outlineLevel="0" collapsed="false">
      <c r="B849" s="7"/>
      <c r="C849" s="7"/>
      <c r="D849" s="7"/>
      <c r="E849" s="7"/>
      <c r="F849" s="8"/>
    </row>
    <row r="850" customFormat="false" ht="15.75" hidden="false" customHeight="false" outlineLevel="0" collapsed="false">
      <c r="B850" s="7"/>
      <c r="C850" s="7"/>
      <c r="D850" s="7"/>
      <c r="E850" s="7"/>
      <c r="F850" s="8"/>
    </row>
    <row r="851" customFormat="false" ht="15.75" hidden="false" customHeight="false" outlineLevel="0" collapsed="false">
      <c r="B851" s="7"/>
      <c r="C851" s="7"/>
      <c r="D851" s="7"/>
      <c r="E851" s="7"/>
      <c r="F851" s="8"/>
    </row>
    <row r="852" customFormat="false" ht="15.75" hidden="false" customHeight="false" outlineLevel="0" collapsed="false">
      <c r="B852" s="7"/>
      <c r="C852" s="7"/>
      <c r="D852" s="7"/>
      <c r="E852" s="7"/>
      <c r="F852" s="8"/>
    </row>
    <row r="853" customFormat="false" ht="15.75" hidden="false" customHeight="false" outlineLevel="0" collapsed="false">
      <c r="B853" s="7"/>
      <c r="C853" s="7"/>
      <c r="D853" s="7"/>
      <c r="E853" s="7"/>
      <c r="F853" s="8"/>
    </row>
    <row r="854" customFormat="false" ht="15.75" hidden="false" customHeight="false" outlineLevel="0" collapsed="false">
      <c r="B854" s="7"/>
      <c r="C854" s="7"/>
      <c r="D854" s="7"/>
      <c r="E854" s="7"/>
      <c r="F854" s="8"/>
    </row>
    <row r="855" customFormat="false" ht="15.75" hidden="false" customHeight="false" outlineLevel="0" collapsed="false">
      <c r="B855" s="7"/>
      <c r="C855" s="7"/>
      <c r="D855" s="7"/>
      <c r="E855" s="7"/>
      <c r="F855" s="8"/>
    </row>
    <row r="856" customFormat="false" ht="15.75" hidden="false" customHeight="false" outlineLevel="0" collapsed="false">
      <c r="B856" s="7"/>
      <c r="C856" s="7"/>
      <c r="D856" s="7"/>
      <c r="E856" s="7"/>
      <c r="F856" s="8"/>
    </row>
    <row r="857" customFormat="false" ht="15.75" hidden="false" customHeight="false" outlineLevel="0" collapsed="false">
      <c r="B857" s="7"/>
      <c r="C857" s="7"/>
      <c r="D857" s="7"/>
      <c r="E857" s="7"/>
      <c r="F857" s="8"/>
    </row>
    <row r="858" customFormat="false" ht="15.75" hidden="false" customHeight="false" outlineLevel="0" collapsed="false">
      <c r="B858" s="7"/>
      <c r="C858" s="7"/>
      <c r="D858" s="7"/>
      <c r="E858" s="7"/>
      <c r="F858" s="8"/>
    </row>
    <row r="859" customFormat="false" ht="15.75" hidden="false" customHeight="false" outlineLevel="0" collapsed="false">
      <c r="B859" s="7"/>
      <c r="C859" s="7"/>
      <c r="D859" s="7"/>
      <c r="E859" s="7"/>
      <c r="F859" s="8"/>
    </row>
    <row r="860" customFormat="false" ht="15.75" hidden="false" customHeight="false" outlineLevel="0" collapsed="false">
      <c r="B860" s="7"/>
      <c r="C860" s="7"/>
      <c r="D860" s="7"/>
      <c r="E860" s="7"/>
      <c r="F860" s="8"/>
    </row>
    <row r="861" customFormat="false" ht="15.75" hidden="false" customHeight="false" outlineLevel="0" collapsed="false">
      <c r="B861" s="7"/>
      <c r="C861" s="7"/>
      <c r="D861" s="7"/>
      <c r="E861" s="7"/>
      <c r="F861" s="8"/>
    </row>
    <row r="862" customFormat="false" ht="15.75" hidden="false" customHeight="false" outlineLevel="0" collapsed="false">
      <c r="B862" s="7"/>
      <c r="C862" s="7"/>
      <c r="D862" s="7"/>
      <c r="E862" s="7"/>
      <c r="F862" s="8"/>
    </row>
    <row r="863" customFormat="false" ht="15.75" hidden="false" customHeight="false" outlineLevel="0" collapsed="false">
      <c r="B863" s="7"/>
      <c r="C863" s="7"/>
      <c r="D863" s="7"/>
      <c r="E863" s="7"/>
      <c r="F863" s="8"/>
    </row>
    <row r="864" customFormat="false" ht="15.75" hidden="false" customHeight="false" outlineLevel="0" collapsed="false">
      <c r="B864" s="7"/>
      <c r="C864" s="7"/>
      <c r="D864" s="7"/>
      <c r="E864" s="7"/>
      <c r="F864" s="8"/>
    </row>
    <row r="865" customFormat="false" ht="15.75" hidden="false" customHeight="false" outlineLevel="0" collapsed="false">
      <c r="B865" s="7"/>
      <c r="C865" s="7"/>
      <c r="D865" s="7"/>
      <c r="E865" s="7"/>
      <c r="F865" s="8"/>
    </row>
    <row r="866" customFormat="false" ht="15.75" hidden="false" customHeight="false" outlineLevel="0" collapsed="false">
      <c r="B866" s="7"/>
      <c r="C866" s="7"/>
      <c r="D866" s="7"/>
      <c r="E866" s="7"/>
      <c r="F866" s="8"/>
    </row>
    <row r="867" customFormat="false" ht="15.75" hidden="false" customHeight="false" outlineLevel="0" collapsed="false">
      <c r="B867" s="7"/>
      <c r="C867" s="7"/>
      <c r="D867" s="7"/>
      <c r="E867" s="7"/>
      <c r="F867" s="8"/>
    </row>
    <row r="868" customFormat="false" ht="15.75" hidden="false" customHeight="false" outlineLevel="0" collapsed="false">
      <c r="B868" s="7"/>
      <c r="C868" s="7"/>
      <c r="D868" s="7"/>
      <c r="E868" s="7"/>
      <c r="F868" s="8"/>
    </row>
    <row r="869" customFormat="false" ht="15.75" hidden="false" customHeight="false" outlineLevel="0" collapsed="false">
      <c r="B869" s="7"/>
      <c r="C869" s="7"/>
      <c r="D869" s="7"/>
      <c r="E869" s="7"/>
      <c r="F869" s="8"/>
    </row>
    <row r="870" customFormat="false" ht="15.75" hidden="false" customHeight="false" outlineLevel="0" collapsed="false">
      <c r="B870" s="7"/>
      <c r="C870" s="7"/>
      <c r="D870" s="7"/>
      <c r="E870" s="7"/>
      <c r="F870" s="8"/>
    </row>
    <row r="871" customFormat="false" ht="15.75" hidden="false" customHeight="false" outlineLevel="0" collapsed="false">
      <c r="B871" s="7"/>
      <c r="C871" s="7"/>
      <c r="D871" s="7"/>
      <c r="E871" s="7"/>
      <c r="F871" s="8"/>
    </row>
    <row r="872" customFormat="false" ht="15.75" hidden="false" customHeight="false" outlineLevel="0" collapsed="false">
      <c r="B872" s="7"/>
      <c r="C872" s="7"/>
      <c r="D872" s="7"/>
      <c r="E872" s="7"/>
      <c r="F872" s="8"/>
    </row>
    <row r="873" customFormat="false" ht="15.75" hidden="false" customHeight="false" outlineLevel="0" collapsed="false">
      <c r="B873" s="7"/>
      <c r="C873" s="7"/>
      <c r="D873" s="7"/>
      <c r="E873" s="7"/>
      <c r="F873" s="8"/>
    </row>
    <row r="874" customFormat="false" ht="15.75" hidden="false" customHeight="false" outlineLevel="0" collapsed="false">
      <c r="B874" s="7"/>
      <c r="C874" s="7"/>
      <c r="D874" s="7"/>
      <c r="E874" s="7"/>
      <c r="F874" s="8"/>
    </row>
    <row r="875" customFormat="false" ht="15.75" hidden="false" customHeight="false" outlineLevel="0" collapsed="false">
      <c r="B875" s="7"/>
      <c r="C875" s="7"/>
      <c r="D875" s="7"/>
      <c r="E875" s="7"/>
      <c r="F875" s="8"/>
    </row>
    <row r="876" customFormat="false" ht="15.75" hidden="false" customHeight="false" outlineLevel="0" collapsed="false">
      <c r="B876" s="7"/>
      <c r="C876" s="7"/>
      <c r="D876" s="7"/>
      <c r="E876" s="7"/>
      <c r="F876" s="8"/>
    </row>
    <row r="877" customFormat="false" ht="15.75" hidden="false" customHeight="false" outlineLevel="0" collapsed="false">
      <c r="B877" s="7"/>
      <c r="C877" s="7"/>
      <c r="D877" s="7"/>
      <c r="E877" s="7"/>
      <c r="F877" s="8"/>
    </row>
    <row r="878" customFormat="false" ht="15.75" hidden="false" customHeight="false" outlineLevel="0" collapsed="false">
      <c r="B878" s="7"/>
      <c r="C878" s="7"/>
      <c r="D878" s="7"/>
      <c r="E878" s="7"/>
      <c r="F878" s="8"/>
    </row>
    <row r="879" customFormat="false" ht="15.75" hidden="false" customHeight="false" outlineLevel="0" collapsed="false">
      <c r="B879" s="7"/>
      <c r="C879" s="7"/>
      <c r="D879" s="7"/>
      <c r="E879" s="7"/>
      <c r="F879" s="8"/>
    </row>
    <row r="880" customFormat="false" ht="15.75" hidden="false" customHeight="false" outlineLevel="0" collapsed="false">
      <c r="B880" s="7"/>
      <c r="C880" s="7"/>
      <c r="D880" s="7"/>
      <c r="E880" s="7"/>
      <c r="F880" s="8"/>
    </row>
    <row r="881" customFormat="false" ht="15.75" hidden="false" customHeight="false" outlineLevel="0" collapsed="false">
      <c r="B881" s="7"/>
      <c r="C881" s="7"/>
      <c r="D881" s="7"/>
      <c r="E881" s="7"/>
      <c r="F881" s="8"/>
    </row>
    <row r="882" customFormat="false" ht="15.75" hidden="false" customHeight="false" outlineLevel="0" collapsed="false">
      <c r="B882" s="7"/>
      <c r="C882" s="7"/>
      <c r="D882" s="7"/>
      <c r="E882" s="7"/>
      <c r="F882" s="8"/>
    </row>
    <row r="883" customFormat="false" ht="15.75" hidden="false" customHeight="false" outlineLevel="0" collapsed="false">
      <c r="B883" s="7"/>
      <c r="C883" s="7"/>
      <c r="D883" s="7"/>
      <c r="E883" s="7"/>
      <c r="F883" s="8"/>
    </row>
    <row r="884" customFormat="false" ht="15.75" hidden="false" customHeight="false" outlineLevel="0" collapsed="false">
      <c r="B884" s="7"/>
      <c r="C884" s="7"/>
      <c r="D884" s="7"/>
      <c r="E884" s="7"/>
      <c r="F884" s="8"/>
    </row>
    <row r="885" customFormat="false" ht="15.75" hidden="false" customHeight="false" outlineLevel="0" collapsed="false">
      <c r="B885" s="7"/>
      <c r="C885" s="7"/>
      <c r="D885" s="7"/>
      <c r="E885" s="7"/>
      <c r="F885" s="8"/>
    </row>
    <row r="886" customFormat="false" ht="15.75" hidden="false" customHeight="false" outlineLevel="0" collapsed="false">
      <c r="B886" s="7"/>
      <c r="C886" s="7"/>
      <c r="D886" s="7"/>
      <c r="E886" s="7"/>
      <c r="F886" s="8"/>
    </row>
    <row r="887" customFormat="false" ht="15.75" hidden="false" customHeight="false" outlineLevel="0" collapsed="false">
      <c r="B887" s="7"/>
      <c r="C887" s="7"/>
      <c r="D887" s="7"/>
      <c r="E887" s="7"/>
      <c r="F887" s="8"/>
    </row>
    <row r="888" customFormat="false" ht="15.75" hidden="false" customHeight="false" outlineLevel="0" collapsed="false">
      <c r="B888" s="7"/>
      <c r="C888" s="7"/>
      <c r="D888" s="7"/>
      <c r="E888" s="7"/>
      <c r="F888" s="8"/>
    </row>
    <row r="889" customFormat="false" ht="15.75" hidden="false" customHeight="false" outlineLevel="0" collapsed="false">
      <c r="B889" s="7"/>
      <c r="C889" s="7"/>
      <c r="D889" s="7"/>
      <c r="E889" s="7"/>
      <c r="F889" s="8"/>
    </row>
    <row r="890" customFormat="false" ht="15.75" hidden="false" customHeight="false" outlineLevel="0" collapsed="false">
      <c r="B890" s="7"/>
      <c r="C890" s="7"/>
      <c r="D890" s="7"/>
      <c r="E890" s="7"/>
      <c r="F890" s="8"/>
    </row>
    <row r="891" customFormat="false" ht="15.75" hidden="false" customHeight="false" outlineLevel="0" collapsed="false">
      <c r="B891" s="7"/>
      <c r="C891" s="7"/>
      <c r="D891" s="7"/>
      <c r="E891" s="7"/>
      <c r="F891" s="8"/>
    </row>
    <row r="892" customFormat="false" ht="15.75" hidden="false" customHeight="false" outlineLevel="0" collapsed="false">
      <c r="B892" s="7"/>
      <c r="C892" s="7"/>
      <c r="D892" s="7"/>
      <c r="E892" s="7"/>
      <c r="F892" s="8"/>
    </row>
    <row r="893" customFormat="false" ht="15.75" hidden="false" customHeight="false" outlineLevel="0" collapsed="false">
      <c r="B893" s="7"/>
      <c r="C893" s="7"/>
      <c r="D893" s="7"/>
      <c r="E893" s="7"/>
      <c r="F893" s="8"/>
    </row>
    <row r="894" customFormat="false" ht="15.75" hidden="false" customHeight="false" outlineLevel="0" collapsed="false">
      <c r="B894" s="7"/>
      <c r="C894" s="7"/>
      <c r="D894" s="7"/>
      <c r="E894" s="7"/>
      <c r="F894" s="8"/>
    </row>
    <row r="895" customFormat="false" ht="15.75" hidden="false" customHeight="false" outlineLevel="0" collapsed="false">
      <c r="B895" s="7"/>
      <c r="C895" s="7"/>
      <c r="D895" s="7"/>
      <c r="E895" s="7"/>
      <c r="F895" s="8"/>
    </row>
    <row r="896" customFormat="false" ht="15.75" hidden="false" customHeight="false" outlineLevel="0" collapsed="false">
      <c r="B896" s="7"/>
      <c r="C896" s="7"/>
      <c r="D896" s="7"/>
      <c r="E896" s="7"/>
      <c r="F896" s="8"/>
    </row>
    <row r="897" customFormat="false" ht="15.75" hidden="false" customHeight="false" outlineLevel="0" collapsed="false">
      <c r="B897" s="7"/>
      <c r="C897" s="7"/>
      <c r="D897" s="7"/>
      <c r="E897" s="7"/>
      <c r="F897" s="8"/>
    </row>
    <row r="898" customFormat="false" ht="15.75" hidden="false" customHeight="false" outlineLevel="0" collapsed="false">
      <c r="B898" s="7"/>
      <c r="C898" s="7"/>
      <c r="D898" s="7"/>
      <c r="E898" s="7"/>
      <c r="F898" s="8"/>
    </row>
    <row r="899" customFormat="false" ht="15.75" hidden="false" customHeight="false" outlineLevel="0" collapsed="false">
      <c r="B899" s="7"/>
      <c r="C899" s="7"/>
      <c r="D899" s="7"/>
      <c r="E899" s="7"/>
      <c r="F899" s="8"/>
    </row>
    <row r="900" customFormat="false" ht="15.75" hidden="false" customHeight="false" outlineLevel="0" collapsed="false">
      <c r="B900" s="7"/>
      <c r="C900" s="7"/>
      <c r="D900" s="7"/>
      <c r="E900" s="7"/>
      <c r="F900" s="8"/>
    </row>
    <row r="901" customFormat="false" ht="15.75" hidden="false" customHeight="false" outlineLevel="0" collapsed="false">
      <c r="B901" s="7"/>
      <c r="C901" s="7"/>
      <c r="D901" s="7"/>
      <c r="E901" s="7"/>
      <c r="F901" s="8"/>
    </row>
    <row r="902" customFormat="false" ht="15.75" hidden="false" customHeight="false" outlineLevel="0" collapsed="false">
      <c r="B902" s="7"/>
      <c r="C902" s="7"/>
      <c r="D902" s="7"/>
      <c r="E902" s="7"/>
      <c r="F902" s="8"/>
    </row>
    <row r="903" customFormat="false" ht="15.75" hidden="false" customHeight="false" outlineLevel="0" collapsed="false">
      <c r="B903" s="7"/>
      <c r="C903" s="7"/>
      <c r="D903" s="7"/>
      <c r="E903" s="7"/>
      <c r="F903" s="8"/>
    </row>
    <row r="904" customFormat="false" ht="15.75" hidden="false" customHeight="false" outlineLevel="0" collapsed="false">
      <c r="B904" s="7"/>
      <c r="C904" s="7"/>
      <c r="D904" s="7"/>
      <c r="E904" s="7"/>
      <c r="F904" s="8"/>
    </row>
    <row r="905" customFormat="false" ht="15.75" hidden="false" customHeight="false" outlineLevel="0" collapsed="false">
      <c r="B905" s="7"/>
      <c r="C905" s="7"/>
      <c r="D905" s="7"/>
      <c r="E905" s="7"/>
      <c r="F905" s="8"/>
    </row>
    <row r="906" customFormat="false" ht="15.75" hidden="false" customHeight="false" outlineLevel="0" collapsed="false">
      <c r="B906" s="7"/>
      <c r="C906" s="7"/>
      <c r="D906" s="7"/>
      <c r="E906" s="7"/>
      <c r="F906" s="8"/>
    </row>
    <row r="907" customFormat="false" ht="15.75" hidden="false" customHeight="false" outlineLevel="0" collapsed="false">
      <c r="B907" s="7"/>
      <c r="C907" s="7"/>
      <c r="D907" s="7"/>
      <c r="E907" s="7"/>
      <c r="F907" s="8"/>
    </row>
    <row r="908" customFormat="false" ht="15.75" hidden="false" customHeight="false" outlineLevel="0" collapsed="false">
      <c r="B908" s="7"/>
      <c r="C908" s="7"/>
      <c r="D908" s="7"/>
      <c r="E908" s="7"/>
      <c r="F908" s="8"/>
    </row>
    <row r="909" customFormat="false" ht="15.75" hidden="false" customHeight="false" outlineLevel="0" collapsed="false">
      <c r="B909" s="7"/>
      <c r="C909" s="7"/>
      <c r="D909" s="7"/>
      <c r="E909" s="7"/>
      <c r="F909" s="8"/>
    </row>
    <row r="910" customFormat="false" ht="15.75" hidden="false" customHeight="false" outlineLevel="0" collapsed="false">
      <c r="B910" s="7"/>
      <c r="C910" s="7"/>
      <c r="D910" s="7"/>
      <c r="E910" s="7"/>
      <c r="F910" s="8"/>
    </row>
    <row r="911" customFormat="false" ht="15.75" hidden="false" customHeight="false" outlineLevel="0" collapsed="false">
      <c r="B911" s="7"/>
      <c r="C911" s="7"/>
      <c r="D911" s="7"/>
      <c r="E911" s="7"/>
      <c r="F911" s="8"/>
    </row>
    <row r="912" customFormat="false" ht="15.75" hidden="false" customHeight="false" outlineLevel="0" collapsed="false">
      <c r="B912" s="7"/>
      <c r="C912" s="7"/>
      <c r="D912" s="7"/>
      <c r="E912" s="7"/>
      <c r="F912" s="8"/>
    </row>
    <row r="913" customFormat="false" ht="15.75" hidden="false" customHeight="false" outlineLevel="0" collapsed="false">
      <c r="B913" s="7"/>
      <c r="C913" s="7"/>
      <c r="D913" s="7"/>
      <c r="E913" s="7"/>
      <c r="F913" s="8"/>
    </row>
    <row r="914" customFormat="false" ht="15.75" hidden="false" customHeight="false" outlineLevel="0" collapsed="false">
      <c r="B914" s="7"/>
      <c r="C914" s="7"/>
      <c r="D914" s="7"/>
      <c r="E914" s="7"/>
      <c r="F914" s="8"/>
    </row>
    <row r="915" customFormat="false" ht="15.75" hidden="false" customHeight="false" outlineLevel="0" collapsed="false">
      <c r="B915" s="7"/>
      <c r="C915" s="7"/>
      <c r="D915" s="7"/>
      <c r="E915" s="7"/>
      <c r="F915" s="8"/>
    </row>
    <row r="916" customFormat="false" ht="15.75" hidden="false" customHeight="false" outlineLevel="0" collapsed="false">
      <c r="B916" s="7"/>
      <c r="C916" s="7"/>
      <c r="D916" s="7"/>
      <c r="E916" s="7"/>
      <c r="F916" s="8"/>
    </row>
    <row r="917" customFormat="false" ht="15.75" hidden="false" customHeight="false" outlineLevel="0" collapsed="false">
      <c r="B917" s="7"/>
      <c r="C917" s="7"/>
      <c r="D917" s="7"/>
      <c r="E917" s="7"/>
      <c r="F917" s="8"/>
    </row>
    <row r="918" customFormat="false" ht="15.75" hidden="false" customHeight="false" outlineLevel="0" collapsed="false">
      <c r="B918" s="7"/>
      <c r="C918" s="7"/>
      <c r="D918" s="7"/>
      <c r="E918" s="7"/>
      <c r="F918" s="8"/>
    </row>
    <row r="919" customFormat="false" ht="15.75" hidden="false" customHeight="false" outlineLevel="0" collapsed="false">
      <c r="B919" s="7"/>
      <c r="C919" s="7"/>
      <c r="D919" s="7"/>
      <c r="E919" s="7"/>
      <c r="F919" s="8"/>
    </row>
    <row r="920" customFormat="false" ht="15.75" hidden="false" customHeight="false" outlineLevel="0" collapsed="false">
      <c r="B920" s="7"/>
      <c r="C920" s="7"/>
      <c r="D920" s="7"/>
      <c r="E920" s="7"/>
      <c r="F920" s="8"/>
    </row>
    <row r="921" customFormat="false" ht="15.75" hidden="false" customHeight="false" outlineLevel="0" collapsed="false">
      <c r="B921" s="7"/>
      <c r="C921" s="7"/>
      <c r="D921" s="7"/>
      <c r="E921" s="7"/>
      <c r="F921" s="8"/>
    </row>
    <row r="922" customFormat="false" ht="15.75" hidden="false" customHeight="false" outlineLevel="0" collapsed="false">
      <c r="B922" s="7"/>
      <c r="C922" s="7"/>
      <c r="D922" s="7"/>
      <c r="E922" s="7"/>
      <c r="F922" s="8"/>
    </row>
    <row r="923" customFormat="false" ht="15.75" hidden="false" customHeight="false" outlineLevel="0" collapsed="false">
      <c r="B923" s="7"/>
      <c r="C923" s="7"/>
      <c r="D923" s="7"/>
      <c r="E923" s="7"/>
      <c r="F923" s="8"/>
    </row>
    <row r="924" customFormat="false" ht="15.75" hidden="false" customHeight="false" outlineLevel="0" collapsed="false">
      <c r="B924" s="7"/>
      <c r="C924" s="7"/>
      <c r="D924" s="7"/>
      <c r="E924" s="7"/>
      <c r="F924" s="8"/>
    </row>
    <row r="925" customFormat="false" ht="15.75" hidden="false" customHeight="false" outlineLevel="0" collapsed="false">
      <c r="B925" s="7"/>
      <c r="C925" s="7"/>
      <c r="D925" s="7"/>
      <c r="E925" s="7"/>
      <c r="F925" s="8"/>
    </row>
    <row r="926" customFormat="false" ht="15.75" hidden="false" customHeight="false" outlineLevel="0" collapsed="false">
      <c r="B926" s="7"/>
      <c r="C926" s="7"/>
      <c r="D926" s="7"/>
      <c r="E926" s="7"/>
      <c r="F926" s="8"/>
    </row>
    <row r="927" customFormat="false" ht="15.75" hidden="false" customHeight="false" outlineLevel="0" collapsed="false">
      <c r="B927" s="7"/>
      <c r="C927" s="7"/>
      <c r="D927" s="7"/>
      <c r="E927" s="7"/>
      <c r="F927" s="8"/>
    </row>
    <row r="928" customFormat="false" ht="15.75" hidden="false" customHeight="false" outlineLevel="0" collapsed="false">
      <c r="B928" s="7"/>
      <c r="C928" s="7"/>
      <c r="D928" s="7"/>
      <c r="E928" s="7"/>
      <c r="F928" s="8"/>
    </row>
    <row r="929" customFormat="false" ht="15.75" hidden="false" customHeight="false" outlineLevel="0" collapsed="false">
      <c r="B929" s="7"/>
      <c r="C929" s="7"/>
      <c r="D929" s="7"/>
      <c r="E929" s="7"/>
      <c r="F929" s="8"/>
    </row>
    <row r="930" customFormat="false" ht="15.75" hidden="false" customHeight="false" outlineLevel="0" collapsed="false">
      <c r="B930" s="7"/>
      <c r="C930" s="7"/>
      <c r="D930" s="7"/>
      <c r="E930" s="7"/>
      <c r="F930" s="8"/>
    </row>
    <row r="931" customFormat="false" ht="15.75" hidden="false" customHeight="false" outlineLevel="0" collapsed="false">
      <c r="B931" s="7"/>
      <c r="C931" s="7"/>
      <c r="D931" s="7"/>
      <c r="E931" s="7"/>
      <c r="F931" s="8"/>
    </row>
    <row r="932" customFormat="false" ht="15.75" hidden="false" customHeight="false" outlineLevel="0" collapsed="false">
      <c r="B932" s="7"/>
      <c r="C932" s="7"/>
      <c r="D932" s="7"/>
      <c r="E932" s="7"/>
      <c r="F932" s="8"/>
    </row>
    <row r="933" customFormat="false" ht="15.75" hidden="false" customHeight="false" outlineLevel="0" collapsed="false">
      <c r="B933" s="7"/>
      <c r="C933" s="7"/>
      <c r="D933" s="7"/>
      <c r="E933" s="7"/>
      <c r="F933" s="8"/>
    </row>
    <row r="934" customFormat="false" ht="15.75" hidden="false" customHeight="false" outlineLevel="0" collapsed="false">
      <c r="B934" s="7"/>
      <c r="C934" s="7"/>
      <c r="D934" s="7"/>
      <c r="E934" s="7"/>
      <c r="F934" s="8"/>
    </row>
    <row r="935" customFormat="false" ht="15.75" hidden="false" customHeight="false" outlineLevel="0" collapsed="false">
      <c r="B935" s="7"/>
      <c r="C935" s="7"/>
      <c r="D935" s="7"/>
      <c r="E935" s="7"/>
      <c r="F935" s="8"/>
    </row>
    <row r="936" customFormat="false" ht="15.75" hidden="false" customHeight="false" outlineLevel="0" collapsed="false">
      <c r="B936" s="7"/>
      <c r="C936" s="7"/>
      <c r="D936" s="7"/>
      <c r="E936" s="7"/>
      <c r="F936" s="8"/>
    </row>
    <row r="937" customFormat="false" ht="15.75" hidden="false" customHeight="false" outlineLevel="0" collapsed="false">
      <c r="B937" s="7"/>
      <c r="C937" s="7"/>
      <c r="D937" s="7"/>
      <c r="E937" s="7"/>
      <c r="F937" s="8"/>
    </row>
    <row r="938" customFormat="false" ht="15.75" hidden="false" customHeight="false" outlineLevel="0" collapsed="false">
      <c r="B938" s="7"/>
      <c r="C938" s="7"/>
      <c r="D938" s="7"/>
      <c r="E938" s="7"/>
      <c r="F938" s="8"/>
    </row>
    <row r="939" customFormat="false" ht="15.75" hidden="false" customHeight="false" outlineLevel="0" collapsed="false">
      <c r="B939" s="7"/>
      <c r="C939" s="7"/>
      <c r="D939" s="7"/>
      <c r="E939" s="7"/>
      <c r="F939" s="8"/>
    </row>
    <row r="940" customFormat="false" ht="15.75" hidden="false" customHeight="false" outlineLevel="0" collapsed="false">
      <c r="B940" s="7"/>
      <c r="C940" s="7"/>
      <c r="D940" s="7"/>
      <c r="E940" s="7"/>
      <c r="F940" s="8"/>
    </row>
    <row r="941" customFormat="false" ht="15.75" hidden="false" customHeight="false" outlineLevel="0" collapsed="false">
      <c r="B941" s="7"/>
      <c r="C941" s="7"/>
      <c r="D941" s="7"/>
      <c r="E941" s="7"/>
      <c r="F941" s="8"/>
    </row>
    <row r="942" customFormat="false" ht="15.75" hidden="false" customHeight="false" outlineLevel="0" collapsed="false">
      <c r="B942" s="7"/>
      <c r="C942" s="7"/>
      <c r="D942" s="7"/>
      <c r="E942" s="7"/>
      <c r="F942" s="8"/>
    </row>
    <row r="943" customFormat="false" ht="15.75" hidden="false" customHeight="false" outlineLevel="0" collapsed="false">
      <c r="B943" s="7"/>
      <c r="C943" s="7"/>
      <c r="D943" s="7"/>
      <c r="E943" s="7"/>
      <c r="F943" s="8"/>
    </row>
    <row r="944" customFormat="false" ht="15.75" hidden="false" customHeight="false" outlineLevel="0" collapsed="false">
      <c r="B944" s="7"/>
      <c r="C944" s="7"/>
      <c r="D944" s="7"/>
      <c r="E944" s="7"/>
      <c r="F944" s="8"/>
    </row>
    <row r="945" customFormat="false" ht="15.75" hidden="false" customHeight="false" outlineLevel="0" collapsed="false">
      <c r="B945" s="7"/>
      <c r="C945" s="7"/>
      <c r="D945" s="7"/>
      <c r="E945" s="7"/>
      <c r="F945" s="8"/>
    </row>
    <row r="946" customFormat="false" ht="15.75" hidden="false" customHeight="false" outlineLevel="0" collapsed="false">
      <c r="B946" s="7"/>
      <c r="C946" s="7"/>
      <c r="D946" s="7"/>
      <c r="E946" s="7"/>
      <c r="F946" s="8"/>
    </row>
    <row r="947" customFormat="false" ht="15.75" hidden="false" customHeight="false" outlineLevel="0" collapsed="false">
      <c r="B947" s="7"/>
      <c r="C947" s="7"/>
      <c r="D947" s="7"/>
      <c r="E947" s="7"/>
      <c r="F947" s="8"/>
    </row>
    <row r="948" customFormat="false" ht="15.75" hidden="false" customHeight="false" outlineLevel="0" collapsed="false">
      <c r="B948" s="7"/>
      <c r="C948" s="7"/>
      <c r="D948" s="7"/>
      <c r="E948" s="7"/>
      <c r="F948" s="8"/>
    </row>
    <row r="949" customFormat="false" ht="15.75" hidden="false" customHeight="false" outlineLevel="0" collapsed="false">
      <c r="B949" s="7"/>
      <c r="C949" s="7"/>
      <c r="D949" s="7"/>
      <c r="E949" s="7"/>
      <c r="F949" s="8"/>
    </row>
    <row r="950" customFormat="false" ht="15.75" hidden="false" customHeight="false" outlineLevel="0" collapsed="false">
      <c r="B950" s="7"/>
      <c r="C950" s="7"/>
      <c r="D950" s="7"/>
      <c r="E950" s="7"/>
      <c r="F950" s="8"/>
    </row>
    <row r="951" customFormat="false" ht="15.75" hidden="false" customHeight="false" outlineLevel="0" collapsed="false">
      <c r="B951" s="7"/>
      <c r="C951" s="7"/>
      <c r="D951" s="7"/>
      <c r="E951" s="7"/>
      <c r="F951" s="8"/>
    </row>
    <row r="952" customFormat="false" ht="15.75" hidden="false" customHeight="false" outlineLevel="0" collapsed="false">
      <c r="B952" s="7"/>
      <c r="C952" s="7"/>
      <c r="D952" s="7"/>
      <c r="E952" s="7"/>
      <c r="F952" s="8"/>
    </row>
    <row r="953" customFormat="false" ht="15.75" hidden="false" customHeight="false" outlineLevel="0" collapsed="false">
      <c r="B953" s="7"/>
      <c r="C953" s="7"/>
      <c r="D953" s="7"/>
      <c r="E953" s="7"/>
      <c r="F953" s="8"/>
    </row>
    <row r="954" customFormat="false" ht="15.75" hidden="false" customHeight="false" outlineLevel="0" collapsed="false">
      <c r="B954" s="7"/>
      <c r="C954" s="7"/>
      <c r="D954" s="7"/>
      <c r="E954" s="7"/>
      <c r="F954" s="8"/>
    </row>
    <row r="955" customFormat="false" ht="15.75" hidden="false" customHeight="false" outlineLevel="0" collapsed="false">
      <c r="B955" s="7"/>
      <c r="C955" s="7"/>
      <c r="D955" s="7"/>
      <c r="E955" s="7"/>
      <c r="F955" s="8"/>
    </row>
    <row r="956" customFormat="false" ht="15.75" hidden="false" customHeight="false" outlineLevel="0" collapsed="false">
      <c r="B956" s="7"/>
      <c r="C956" s="7"/>
      <c r="D956" s="7"/>
      <c r="E956" s="7"/>
      <c r="F956" s="8"/>
    </row>
    <row r="957" customFormat="false" ht="15.75" hidden="false" customHeight="false" outlineLevel="0" collapsed="false">
      <c r="B957" s="7"/>
      <c r="C957" s="7"/>
      <c r="D957" s="7"/>
      <c r="E957" s="7"/>
      <c r="F957" s="8"/>
    </row>
    <row r="958" customFormat="false" ht="15.75" hidden="false" customHeight="false" outlineLevel="0" collapsed="false">
      <c r="B958" s="7"/>
      <c r="C958" s="7"/>
      <c r="D958" s="7"/>
      <c r="E958" s="7"/>
      <c r="F958" s="8"/>
    </row>
    <row r="959" customFormat="false" ht="15.75" hidden="false" customHeight="false" outlineLevel="0" collapsed="false">
      <c r="B959" s="7"/>
      <c r="C959" s="7"/>
      <c r="D959" s="7"/>
      <c r="E959" s="7"/>
      <c r="F959" s="8"/>
    </row>
    <row r="960" customFormat="false" ht="15.75" hidden="false" customHeight="false" outlineLevel="0" collapsed="false">
      <c r="B960" s="7"/>
      <c r="C960" s="7"/>
      <c r="D960" s="7"/>
      <c r="E960" s="7"/>
      <c r="F960" s="8"/>
    </row>
    <row r="961" customFormat="false" ht="15.75" hidden="false" customHeight="false" outlineLevel="0" collapsed="false">
      <c r="B961" s="7"/>
      <c r="C961" s="7"/>
      <c r="D961" s="7"/>
      <c r="E961" s="7"/>
      <c r="F961" s="8"/>
    </row>
    <row r="962" customFormat="false" ht="15.75" hidden="false" customHeight="false" outlineLevel="0" collapsed="false">
      <c r="B962" s="7"/>
      <c r="C962" s="7"/>
      <c r="D962" s="7"/>
      <c r="E962" s="7"/>
      <c r="F962" s="8"/>
    </row>
    <row r="963" customFormat="false" ht="15.75" hidden="false" customHeight="false" outlineLevel="0" collapsed="false">
      <c r="B963" s="7"/>
      <c r="C963" s="7"/>
      <c r="D963" s="7"/>
      <c r="E963" s="7"/>
      <c r="F963" s="8"/>
    </row>
    <row r="964" customFormat="false" ht="15.75" hidden="false" customHeight="false" outlineLevel="0" collapsed="false">
      <c r="B964" s="7"/>
      <c r="C964" s="7"/>
      <c r="D964" s="7"/>
      <c r="E964" s="7"/>
      <c r="F964" s="8"/>
    </row>
    <row r="965" customFormat="false" ht="15.75" hidden="false" customHeight="false" outlineLevel="0" collapsed="false">
      <c r="B965" s="7"/>
      <c r="C965" s="7"/>
      <c r="D965" s="7"/>
      <c r="E965" s="7"/>
      <c r="F965" s="8"/>
    </row>
    <row r="966" customFormat="false" ht="15.75" hidden="false" customHeight="false" outlineLevel="0" collapsed="false">
      <c r="B966" s="7"/>
      <c r="C966" s="7"/>
      <c r="D966" s="7"/>
      <c r="E966" s="7"/>
      <c r="F966" s="8"/>
    </row>
    <row r="967" customFormat="false" ht="15.75" hidden="false" customHeight="false" outlineLevel="0" collapsed="false">
      <c r="B967" s="7"/>
      <c r="C967" s="7"/>
      <c r="D967" s="7"/>
      <c r="E967" s="7"/>
      <c r="F967" s="8"/>
    </row>
    <row r="968" customFormat="false" ht="15.75" hidden="false" customHeight="false" outlineLevel="0" collapsed="false">
      <c r="B968" s="7"/>
      <c r="C968" s="7"/>
      <c r="D968" s="7"/>
      <c r="E968" s="7"/>
      <c r="F968" s="8"/>
    </row>
    <row r="969" customFormat="false" ht="15.75" hidden="false" customHeight="false" outlineLevel="0" collapsed="false">
      <c r="B969" s="7"/>
      <c r="C969" s="7"/>
      <c r="D969" s="7"/>
      <c r="E969" s="7"/>
      <c r="F969" s="8"/>
    </row>
    <row r="970" customFormat="false" ht="15.75" hidden="false" customHeight="false" outlineLevel="0" collapsed="false">
      <c r="B970" s="7"/>
      <c r="C970" s="7"/>
      <c r="D970" s="7"/>
      <c r="E970" s="7"/>
      <c r="F970" s="8"/>
    </row>
    <row r="971" customFormat="false" ht="15.75" hidden="false" customHeight="false" outlineLevel="0" collapsed="false">
      <c r="B971" s="7"/>
      <c r="C971" s="7"/>
      <c r="D971" s="7"/>
      <c r="E971" s="7"/>
      <c r="F971" s="8"/>
    </row>
    <row r="972" customFormat="false" ht="15.75" hidden="false" customHeight="false" outlineLevel="0" collapsed="false">
      <c r="B972" s="7"/>
      <c r="C972" s="7"/>
      <c r="D972" s="7"/>
      <c r="E972" s="7"/>
      <c r="F972" s="8"/>
    </row>
    <row r="973" customFormat="false" ht="15.75" hidden="false" customHeight="false" outlineLevel="0" collapsed="false">
      <c r="B973" s="7"/>
      <c r="C973" s="7"/>
      <c r="D973" s="7"/>
      <c r="E973" s="7"/>
      <c r="F973" s="8"/>
    </row>
    <row r="974" customFormat="false" ht="15.75" hidden="false" customHeight="false" outlineLevel="0" collapsed="false">
      <c r="B974" s="7"/>
      <c r="C974" s="7"/>
      <c r="D974" s="7"/>
      <c r="E974" s="7"/>
      <c r="F974" s="8"/>
    </row>
    <row r="975" customFormat="false" ht="15.75" hidden="false" customHeight="false" outlineLevel="0" collapsed="false">
      <c r="B975" s="7"/>
      <c r="C975" s="7"/>
      <c r="D975" s="7"/>
      <c r="E975" s="7"/>
      <c r="F975" s="8"/>
    </row>
    <row r="976" customFormat="false" ht="15.75" hidden="false" customHeight="false" outlineLevel="0" collapsed="false">
      <c r="B976" s="7"/>
      <c r="C976" s="7"/>
      <c r="D976" s="7"/>
      <c r="E976" s="7"/>
      <c r="F976" s="8"/>
    </row>
    <row r="977" customFormat="false" ht="15.75" hidden="false" customHeight="false" outlineLevel="0" collapsed="false">
      <c r="B977" s="7"/>
      <c r="C977" s="7"/>
      <c r="D977" s="7"/>
      <c r="E977" s="7"/>
      <c r="F977" s="8"/>
    </row>
    <row r="978" customFormat="false" ht="15.75" hidden="false" customHeight="false" outlineLevel="0" collapsed="false">
      <c r="B978" s="7"/>
      <c r="C978" s="7"/>
      <c r="D978" s="7"/>
      <c r="E978" s="7"/>
      <c r="F978" s="8"/>
    </row>
    <row r="979" customFormat="false" ht="15.75" hidden="false" customHeight="false" outlineLevel="0" collapsed="false">
      <c r="B979" s="7"/>
      <c r="C979" s="7"/>
      <c r="D979" s="7"/>
      <c r="E979" s="7"/>
      <c r="F979" s="8"/>
    </row>
    <row r="980" customFormat="false" ht="15.75" hidden="false" customHeight="false" outlineLevel="0" collapsed="false">
      <c r="B980" s="7"/>
      <c r="C980" s="7"/>
      <c r="D980" s="7"/>
      <c r="E980" s="7"/>
      <c r="F980" s="8"/>
    </row>
    <row r="981" customFormat="false" ht="15.75" hidden="false" customHeight="false" outlineLevel="0" collapsed="false">
      <c r="B981" s="7"/>
      <c r="C981" s="7"/>
      <c r="D981" s="7"/>
      <c r="E981" s="7"/>
      <c r="F981" s="8"/>
    </row>
    <row r="982" customFormat="false" ht="15.75" hidden="false" customHeight="false" outlineLevel="0" collapsed="false">
      <c r="B982" s="7"/>
      <c r="C982" s="7"/>
      <c r="D982" s="7"/>
      <c r="E982" s="7"/>
      <c r="F982" s="8"/>
    </row>
    <row r="983" customFormat="false" ht="15.75" hidden="false" customHeight="false" outlineLevel="0" collapsed="false">
      <c r="B983" s="7"/>
      <c r="C983" s="7"/>
      <c r="D983" s="7"/>
      <c r="E983" s="7"/>
      <c r="F983" s="8"/>
    </row>
    <row r="984" customFormat="false" ht="15.75" hidden="false" customHeight="false" outlineLevel="0" collapsed="false">
      <c r="B984" s="7"/>
      <c r="C984" s="7"/>
      <c r="D984" s="7"/>
      <c r="E984" s="7"/>
      <c r="F984" s="8"/>
    </row>
    <row r="985" customFormat="false" ht="15.75" hidden="false" customHeight="false" outlineLevel="0" collapsed="false">
      <c r="B985" s="7"/>
      <c r="C985" s="7"/>
      <c r="D985" s="7"/>
      <c r="E985" s="7"/>
      <c r="F985" s="8"/>
    </row>
    <row r="986" customFormat="false" ht="15.75" hidden="false" customHeight="false" outlineLevel="0" collapsed="false">
      <c r="B986" s="7"/>
      <c r="C986" s="7"/>
      <c r="D986" s="7"/>
      <c r="E986" s="7"/>
      <c r="F986" s="8"/>
    </row>
    <row r="987" customFormat="false" ht="15.75" hidden="false" customHeight="false" outlineLevel="0" collapsed="false">
      <c r="B987" s="7"/>
      <c r="C987" s="7"/>
      <c r="D987" s="7"/>
      <c r="E987" s="7"/>
      <c r="F987" s="8"/>
    </row>
    <row r="988" customFormat="false" ht="15.75" hidden="false" customHeight="false" outlineLevel="0" collapsed="false">
      <c r="B988" s="7"/>
      <c r="C988" s="7"/>
      <c r="D988" s="7"/>
      <c r="E988" s="7"/>
      <c r="F988" s="8"/>
    </row>
    <row r="989" customFormat="false" ht="15.75" hidden="false" customHeight="false" outlineLevel="0" collapsed="false">
      <c r="B989" s="7"/>
      <c r="C989" s="7"/>
      <c r="D989" s="7"/>
      <c r="E989" s="7"/>
      <c r="F989" s="8"/>
    </row>
    <row r="990" customFormat="false" ht="15.75" hidden="false" customHeight="false" outlineLevel="0" collapsed="false">
      <c r="B990" s="7"/>
      <c r="C990" s="7"/>
      <c r="D990" s="7"/>
      <c r="E990" s="7"/>
      <c r="F990" s="8"/>
    </row>
    <row r="991" customFormat="false" ht="15.75" hidden="false" customHeight="false" outlineLevel="0" collapsed="false">
      <c r="B991" s="7"/>
      <c r="C991" s="7"/>
      <c r="D991" s="7"/>
      <c r="E991" s="7"/>
      <c r="F991" s="8"/>
    </row>
    <row r="992" customFormat="false" ht="15.75" hidden="false" customHeight="false" outlineLevel="0" collapsed="false">
      <c r="B992" s="7"/>
      <c r="C992" s="7"/>
      <c r="D992" s="7"/>
      <c r="E992" s="7"/>
      <c r="F992" s="8"/>
    </row>
    <row r="993" customFormat="false" ht="15.75" hidden="false" customHeight="false" outlineLevel="0" collapsed="false">
      <c r="B993" s="7"/>
      <c r="C993" s="7"/>
      <c r="D993" s="7"/>
      <c r="E993" s="7"/>
      <c r="F993" s="8"/>
    </row>
    <row r="994" customFormat="false" ht="15.75" hidden="false" customHeight="false" outlineLevel="0" collapsed="false">
      <c r="B994" s="7"/>
      <c r="C994" s="7"/>
      <c r="D994" s="7"/>
      <c r="E994" s="7"/>
      <c r="F994" s="8"/>
    </row>
    <row r="995" customFormat="false" ht="15.75" hidden="false" customHeight="false" outlineLevel="0" collapsed="false">
      <c r="B995" s="7"/>
      <c r="C995" s="7"/>
      <c r="D995" s="7"/>
      <c r="E995" s="7"/>
      <c r="F995" s="8"/>
    </row>
    <row r="996" customFormat="false" ht="15.75" hidden="false" customHeight="false" outlineLevel="0" collapsed="false">
      <c r="B996" s="7"/>
      <c r="C996" s="7"/>
      <c r="D996" s="7"/>
      <c r="E996" s="7"/>
      <c r="F996" s="8"/>
    </row>
    <row r="997" customFormat="false" ht="15.75" hidden="false" customHeight="false" outlineLevel="0" collapsed="false">
      <c r="B997" s="7"/>
      <c r="C997" s="7"/>
      <c r="D997" s="7"/>
      <c r="E997" s="7"/>
      <c r="F997" s="8"/>
    </row>
    <row r="998" customFormat="false" ht="15.75" hidden="false" customHeight="false" outlineLevel="0" collapsed="false">
      <c r="B998" s="7"/>
      <c r="C998" s="7"/>
      <c r="D998" s="7"/>
      <c r="E998" s="7"/>
      <c r="F998" s="8"/>
    </row>
    <row r="999" customFormat="false" ht="15.75" hidden="false" customHeight="false" outlineLevel="0" collapsed="false">
      <c r="B999" s="7"/>
      <c r="C999" s="7"/>
      <c r="D999" s="7"/>
      <c r="E999" s="7"/>
      <c r="F999" s="8"/>
    </row>
    <row r="1000" customFormat="false" ht="15.75" hidden="false" customHeight="false" outlineLevel="0" collapsed="false">
      <c r="B1000" s="7"/>
      <c r="C1000" s="7"/>
      <c r="D1000" s="7"/>
      <c r="E1000" s="7"/>
      <c r="F1000" s="8"/>
    </row>
    <row r="1001" customFormat="false" ht="15.75" hidden="false" customHeight="false" outlineLevel="0" collapsed="false">
      <c r="B1001" s="7"/>
      <c r="C1001" s="7"/>
      <c r="D1001" s="7"/>
      <c r="E1001" s="7"/>
      <c r="F1001" s="8"/>
    </row>
    <row r="1002" customFormat="false" ht="15.75" hidden="false" customHeight="false" outlineLevel="0" collapsed="false">
      <c r="B1002" s="7"/>
      <c r="C1002" s="7"/>
      <c r="D1002" s="7"/>
      <c r="E1002" s="7"/>
      <c r="F1002" s="8"/>
    </row>
    <row r="1003" customFormat="false" ht="15.75" hidden="false" customHeight="false" outlineLevel="0" collapsed="false">
      <c r="B1003" s="7"/>
      <c r="C1003" s="7"/>
      <c r="D1003" s="7"/>
      <c r="E1003" s="7"/>
      <c r="F1003" s="8"/>
    </row>
    <row r="1004" customFormat="false" ht="15.75" hidden="false" customHeight="false" outlineLevel="0" collapsed="false">
      <c r="B1004" s="7"/>
      <c r="C1004" s="7"/>
      <c r="D1004" s="7"/>
      <c r="E1004" s="7"/>
      <c r="F1004" s="8"/>
    </row>
    <row r="1005" customFormat="false" ht="15.75" hidden="false" customHeight="false" outlineLevel="0" collapsed="false">
      <c r="B1005" s="7"/>
      <c r="C1005" s="7"/>
      <c r="D1005" s="7"/>
      <c r="E1005" s="7"/>
      <c r="F1005" s="8"/>
    </row>
    <row r="1006" customFormat="false" ht="15.75" hidden="false" customHeight="false" outlineLevel="0" collapsed="false">
      <c r="B1006" s="7"/>
      <c r="C1006" s="7"/>
      <c r="D1006" s="7"/>
      <c r="E1006" s="7"/>
      <c r="F1006" s="8"/>
    </row>
    <row r="1007" customFormat="false" ht="15.75" hidden="false" customHeight="false" outlineLevel="0" collapsed="false">
      <c r="B1007" s="7"/>
      <c r="C1007" s="7"/>
      <c r="D1007" s="7"/>
      <c r="E1007" s="7"/>
      <c r="F1007" s="8"/>
    </row>
    <row r="1008" customFormat="false" ht="15.75" hidden="false" customHeight="false" outlineLevel="0" collapsed="false">
      <c r="B1008" s="7"/>
      <c r="C1008" s="7"/>
      <c r="D1008" s="7"/>
      <c r="E1008" s="7"/>
      <c r="F1008" s="8"/>
    </row>
    <row r="1009" customFormat="false" ht="15.75" hidden="false" customHeight="false" outlineLevel="0" collapsed="false">
      <c r="B1009" s="7"/>
      <c r="C1009" s="7"/>
      <c r="D1009" s="7"/>
      <c r="E1009" s="7"/>
      <c r="F1009" s="8"/>
    </row>
    <row r="1010" customFormat="false" ht="15.75" hidden="false" customHeight="false" outlineLevel="0" collapsed="false">
      <c r="B1010" s="7"/>
      <c r="C1010" s="7"/>
      <c r="D1010" s="7"/>
      <c r="E1010" s="7"/>
      <c r="F1010" s="8"/>
    </row>
    <row r="1011" customFormat="false" ht="15.75" hidden="false" customHeight="false" outlineLevel="0" collapsed="false">
      <c r="B1011" s="7"/>
      <c r="C1011" s="7"/>
      <c r="D1011" s="7"/>
      <c r="E1011" s="7"/>
      <c r="F1011" s="8"/>
    </row>
    <row r="1012" customFormat="false" ht="15.75" hidden="false" customHeight="false" outlineLevel="0" collapsed="false">
      <c r="B1012" s="7"/>
      <c r="C1012" s="7"/>
      <c r="D1012" s="7"/>
      <c r="E1012" s="7"/>
      <c r="F1012" s="8"/>
    </row>
    <row r="1013" customFormat="false" ht="15.75" hidden="false" customHeight="false" outlineLevel="0" collapsed="false">
      <c r="B1013" s="7"/>
      <c r="C1013" s="7"/>
      <c r="D1013" s="7"/>
      <c r="E1013" s="7"/>
      <c r="F1013" s="8"/>
    </row>
    <row r="1014" customFormat="false" ht="15.75" hidden="false" customHeight="false" outlineLevel="0" collapsed="false">
      <c r="B1014" s="7"/>
      <c r="C1014" s="7"/>
      <c r="D1014" s="7"/>
      <c r="E1014" s="7"/>
      <c r="F1014" s="8"/>
    </row>
    <row r="1015" customFormat="false" ht="15.75" hidden="false" customHeight="false" outlineLevel="0" collapsed="false">
      <c r="B1015" s="7"/>
      <c r="C1015" s="7"/>
      <c r="D1015" s="7"/>
      <c r="E1015" s="7"/>
      <c r="F1015" s="8"/>
    </row>
    <row r="1016" customFormat="false" ht="15.75" hidden="false" customHeight="false" outlineLevel="0" collapsed="false">
      <c r="B1016" s="7"/>
      <c r="C1016" s="7"/>
      <c r="D1016" s="7"/>
      <c r="E1016" s="7"/>
      <c r="F1016" s="8"/>
    </row>
    <row r="1017" customFormat="false" ht="15.75" hidden="false" customHeight="false" outlineLevel="0" collapsed="false">
      <c r="B1017" s="7"/>
      <c r="C1017" s="7"/>
      <c r="D1017" s="7"/>
      <c r="E1017" s="7"/>
      <c r="F1017" s="8"/>
    </row>
    <row r="1018" customFormat="false" ht="15.75" hidden="false" customHeight="false" outlineLevel="0" collapsed="false">
      <c r="B1018" s="7"/>
      <c r="C1018" s="7"/>
      <c r="D1018" s="7"/>
      <c r="E1018" s="7"/>
      <c r="F1018" s="8"/>
    </row>
    <row r="1019" customFormat="false" ht="15.75" hidden="false" customHeight="false" outlineLevel="0" collapsed="false">
      <c r="B1019" s="7"/>
      <c r="C1019" s="7"/>
      <c r="D1019" s="7"/>
      <c r="E1019" s="7"/>
      <c r="F1019" s="8"/>
    </row>
    <row r="1020" customFormat="false" ht="15.75" hidden="false" customHeight="false" outlineLevel="0" collapsed="false">
      <c r="B1020" s="7"/>
      <c r="C1020" s="7"/>
      <c r="D1020" s="7"/>
      <c r="E1020" s="7"/>
      <c r="F1020" s="8"/>
    </row>
    <row r="1021" customFormat="false" ht="15.75" hidden="false" customHeight="false" outlineLevel="0" collapsed="false">
      <c r="B1021" s="7"/>
      <c r="C1021" s="7"/>
      <c r="D1021" s="7"/>
      <c r="E1021" s="7"/>
      <c r="F1021" s="8"/>
    </row>
    <row r="1022" customFormat="false" ht="15.75" hidden="false" customHeight="false" outlineLevel="0" collapsed="false">
      <c r="B1022" s="7"/>
      <c r="C1022" s="7"/>
      <c r="D1022" s="7"/>
      <c r="E1022" s="7"/>
      <c r="F1022" s="8"/>
    </row>
    <row r="1023" customFormat="false" ht="15.75" hidden="false" customHeight="false" outlineLevel="0" collapsed="false">
      <c r="B1023" s="7"/>
      <c r="C1023" s="7"/>
      <c r="D1023" s="7"/>
      <c r="E1023" s="7"/>
      <c r="F1023" s="8"/>
    </row>
    <row r="1024" customFormat="false" ht="15.75" hidden="false" customHeight="false" outlineLevel="0" collapsed="false">
      <c r="B1024" s="7"/>
      <c r="C1024" s="7"/>
      <c r="D1024" s="7"/>
      <c r="E1024" s="7"/>
      <c r="F1024" s="8"/>
    </row>
    <row r="1025" customFormat="false" ht="15.75" hidden="false" customHeight="false" outlineLevel="0" collapsed="false">
      <c r="B1025" s="7"/>
      <c r="C1025" s="7"/>
      <c r="D1025" s="7"/>
      <c r="E1025" s="7"/>
      <c r="F1025" s="8"/>
    </row>
    <row r="1026" customFormat="false" ht="15.75" hidden="false" customHeight="false" outlineLevel="0" collapsed="false">
      <c r="B1026" s="7"/>
      <c r="C1026" s="7"/>
      <c r="D1026" s="7"/>
      <c r="E1026" s="7"/>
      <c r="F1026" s="8"/>
    </row>
    <row r="1027" customFormat="false" ht="15.75" hidden="false" customHeight="false" outlineLevel="0" collapsed="false">
      <c r="B1027" s="7"/>
      <c r="C1027" s="7"/>
      <c r="D1027" s="7"/>
      <c r="E1027" s="7"/>
      <c r="F1027" s="8"/>
    </row>
    <row r="1028" customFormat="false" ht="15.75" hidden="false" customHeight="false" outlineLevel="0" collapsed="false">
      <c r="B1028" s="7"/>
      <c r="C1028" s="7"/>
      <c r="D1028" s="7"/>
      <c r="E1028" s="7"/>
      <c r="F1028" s="8"/>
    </row>
    <row r="1029" customFormat="false" ht="15.75" hidden="false" customHeight="false" outlineLevel="0" collapsed="false">
      <c r="B1029" s="7"/>
      <c r="C1029" s="7"/>
      <c r="D1029" s="7"/>
      <c r="E1029" s="7"/>
      <c r="F1029" s="8"/>
    </row>
    <row r="1030" customFormat="false" ht="15.75" hidden="false" customHeight="false" outlineLevel="0" collapsed="false">
      <c r="B1030" s="7"/>
      <c r="C1030" s="7"/>
      <c r="D1030" s="7"/>
      <c r="E1030" s="7"/>
      <c r="F1030" s="8"/>
    </row>
    <row r="1031" customFormat="false" ht="15.75" hidden="false" customHeight="false" outlineLevel="0" collapsed="false">
      <c r="B1031" s="7"/>
      <c r="C1031" s="7"/>
      <c r="D1031" s="7"/>
      <c r="E1031" s="7"/>
      <c r="F1031" s="8"/>
    </row>
    <row r="1032" customFormat="false" ht="15.75" hidden="false" customHeight="false" outlineLevel="0" collapsed="false">
      <c r="B1032" s="7"/>
      <c r="C1032" s="7"/>
      <c r="D1032" s="7"/>
      <c r="E1032" s="7"/>
      <c r="F1032" s="8"/>
    </row>
    <row r="1033" customFormat="false" ht="15.75" hidden="false" customHeight="false" outlineLevel="0" collapsed="false">
      <c r="B1033" s="7"/>
      <c r="C1033" s="7"/>
      <c r="D1033" s="7"/>
      <c r="E1033" s="7"/>
      <c r="F1033" s="8"/>
    </row>
    <row r="1034" customFormat="false" ht="15.75" hidden="false" customHeight="false" outlineLevel="0" collapsed="false">
      <c r="B1034" s="7"/>
      <c r="C1034" s="7"/>
      <c r="D1034" s="7"/>
      <c r="E1034" s="7"/>
      <c r="F1034" s="8"/>
    </row>
    <row r="1035" customFormat="false" ht="15.75" hidden="false" customHeight="false" outlineLevel="0" collapsed="false">
      <c r="B1035" s="7"/>
      <c r="C1035" s="7"/>
      <c r="D1035" s="7"/>
      <c r="E1035" s="7"/>
      <c r="F1035" s="8"/>
    </row>
    <row r="1036" customFormat="false" ht="15.75" hidden="false" customHeight="false" outlineLevel="0" collapsed="false">
      <c r="B1036" s="7"/>
      <c r="C1036" s="7"/>
      <c r="D1036" s="7"/>
      <c r="E1036" s="7"/>
      <c r="F1036" s="8"/>
    </row>
    <row r="1037" customFormat="false" ht="15.75" hidden="false" customHeight="false" outlineLevel="0" collapsed="false">
      <c r="B1037" s="7"/>
      <c r="C1037" s="7"/>
      <c r="D1037" s="7"/>
      <c r="E1037" s="7"/>
      <c r="F1037" s="8"/>
    </row>
    <row r="1038" customFormat="false" ht="15.75" hidden="false" customHeight="false" outlineLevel="0" collapsed="false">
      <c r="B1038" s="7"/>
      <c r="C1038" s="7"/>
      <c r="D1038" s="7"/>
      <c r="E1038" s="7"/>
      <c r="F1038" s="8"/>
    </row>
    <row r="1039" customFormat="false" ht="15.75" hidden="false" customHeight="false" outlineLevel="0" collapsed="false">
      <c r="B1039" s="7"/>
      <c r="C1039" s="7"/>
      <c r="D1039" s="7"/>
      <c r="E1039" s="7"/>
      <c r="F1039" s="8"/>
    </row>
    <row r="1040" customFormat="false" ht="15.75" hidden="false" customHeight="false" outlineLevel="0" collapsed="false">
      <c r="B1040" s="7"/>
      <c r="C1040" s="7"/>
      <c r="D1040" s="7"/>
      <c r="E1040" s="7"/>
      <c r="F1040" s="8"/>
    </row>
    <row r="1041" customFormat="false" ht="15.75" hidden="false" customHeight="false" outlineLevel="0" collapsed="false">
      <c r="B1041" s="7"/>
      <c r="C1041" s="7"/>
      <c r="D1041" s="7"/>
      <c r="E1041" s="7"/>
      <c r="F1041" s="8"/>
    </row>
    <row r="1042" customFormat="false" ht="15.75" hidden="false" customHeight="false" outlineLevel="0" collapsed="false">
      <c r="B1042" s="7"/>
      <c r="C1042" s="7"/>
      <c r="D1042" s="7"/>
      <c r="E1042" s="7"/>
      <c r="F1042" s="8"/>
    </row>
    <row r="1043" customFormat="false" ht="15.75" hidden="false" customHeight="false" outlineLevel="0" collapsed="false">
      <c r="B1043" s="7"/>
      <c r="C1043" s="7"/>
      <c r="D1043" s="7"/>
      <c r="E1043" s="7"/>
      <c r="F1043" s="8"/>
    </row>
    <row r="1044" customFormat="false" ht="15.75" hidden="false" customHeight="false" outlineLevel="0" collapsed="false">
      <c r="B1044" s="7"/>
      <c r="C1044" s="7"/>
      <c r="D1044" s="7"/>
      <c r="E1044" s="7"/>
      <c r="F1044" s="8"/>
    </row>
    <row r="1045" customFormat="false" ht="15.75" hidden="false" customHeight="false" outlineLevel="0" collapsed="false">
      <c r="B1045" s="7"/>
      <c r="C1045" s="7"/>
      <c r="D1045" s="7"/>
      <c r="E1045" s="7"/>
      <c r="F1045" s="8"/>
    </row>
    <row r="1046" customFormat="false" ht="15.75" hidden="false" customHeight="false" outlineLevel="0" collapsed="false">
      <c r="B1046" s="7"/>
      <c r="C1046" s="7"/>
      <c r="D1046" s="7"/>
      <c r="E1046" s="7"/>
      <c r="F1046" s="8"/>
    </row>
    <row r="1047" customFormat="false" ht="15.75" hidden="false" customHeight="false" outlineLevel="0" collapsed="false">
      <c r="B1047" s="7"/>
      <c r="C1047" s="7"/>
      <c r="D1047" s="7"/>
      <c r="E1047" s="7"/>
      <c r="F1047" s="8"/>
    </row>
    <row r="1048" customFormat="false" ht="15.75" hidden="false" customHeight="false" outlineLevel="0" collapsed="false">
      <c r="B1048" s="7"/>
      <c r="C1048" s="7"/>
      <c r="D1048" s="7"/>
      <c r="E1048" s="7"/>
      <c r="F1048" s="8"/>
    </row>
    <row r="1049" customFormat="false" ht="15.75" hidden="false" customHeight="false" outlineLevel="0" collapsed="false">
      <c r="B1049" s="7"/>
      <c r="C1049" s="7"/>
      <c r="D1049" s="7"/>
      <c r="E1049" s="7"/>
      <c r="F1049" s="8"/>
    </row>
    <row r="1050" customFormat="false" ht="15.75" hidden="false" customHeight="false" outlineLevel="0" collapsed="false">
      <c r="B1050" s="7"/>
      <c r="C1050" s="7"/>
      <c r="D1050" s="7"/>
      <c r="E1050" s="7"/>
      <c r="F1050" s="8"/>
    </row>
    <row r="1051" customFormat="false" ht="15.75" hidden="false" customHeight="false" outlineLevel="0" collapsed="false">
      <c r="B1051" s="7"/>
      <c r="C1051" s="7"/>
      <c r="D1051" s="7"/>
      <c r="E1051" s="7"/>
      <c r="F1051" s="8"/>
    </row>
    <row r="1052" customFormat="false" ht="15.75" hidden="false" customHeight="false" outlineLevel="0" collapsed="false">
      <c r="B1052" s="7"/>
      <c r="C1052" s="7"/>
      <c r="D1052" s="7"/>
      <c r="E1052" s="7"/>
      <c r="F1052" s="8"/>
    </row>
    <row r="1053" customFormat="false" ht="15.75" hidden="false" customHeight="false" outlineLevel="0" collapsed="false">
      <c r="B1053" s="7"/>
      <c r="C1053" s="7"/>
      <c r="D1053" s="7"/>
      <c r="E1053" s="7"/>
      <c r="F1053" s="8"/>
    </row>
    <row r="1054" customFormat="false" ht="15.75" hidden="false" customHeight="false" outlineLevel="0" collapsed="false">
      <c r="B1054" s="7"/>
      <c r="C1054" s="7"/>
      <c r="D1054" s="7"/>
      <c r="E1054" s="7"/>
      <c r="F1054" s="8"/>
    </row>
    <row r="1055" customFormat="false" ht="15.75" hidden="false" customHeight="false" outlineLevel="0" collapsed="false">
      <c r="B1055" s="7"/>
      <c r="C1055" s="7"/>
      <c r="D1055" s="7"/>
      <c r="E1055" s="7"/>
      <c r="F1055" s="8"/>
    </row>
    <row r="1056" customFormat="false" ht="15.75" hidden="false" customHeight="false" outlineLevel="0" collapsed="false">
      <c r="B1056" s="7"/>
      <c r="C1056" s="7"/>
      <c r="D1056" s="7"/>
      <c r="E1056" s="7"/>
      <c r="F1056" s="8"/>
    </row>
    <row r="1057" customFormat="false" ht="15.75" hidden="false" customHeight="false" outlineLevel="0" collapsed="false">
      <c r="B1057" s="7"/>
      <c r="C1057" s="7"/>
      <c r="D1057" s="7"/>
      <c r="E1057" s="7"/>
      <c r="F1057" s="8"/>
    </row>
    <row r="1058" customFormat="false" ht="15.75" hidden="false" customHeight="false" outlineLevel="0" collapsed="false">
      <c r="B1058" s="7"/>
      <c r="C1058" s="7"/>
      <c r="D1058" s="7"/>
      <c r="E1058" s="7"/>
      <c r="F1058" s="8"/>
    </row>
    <row r="1059" customFormat="false" ht="15.75" hidden="false" customHeight="false" outlineLevel="0" collapsed="false">
      <c r="B1059" s="7"/>
      <c r="C1059" s="7"/>
      <c r="D1059" s="7"/>
      <c r="E1059" s="7"/>
      <c r="F1059" s="8"/>
    </row>
    <row r="1060" customFormat="false" ht="15.75" hidden="false" customHeight="false" outlineLevel="0" collapsed="false">
      <c r="B1060" s="7"/>
      <c r="C1060" s="7"/>
      <c r="D1060" s="7"/>
      <c r="E1060" s="7"/>
      <c r="F1060" s="8"/>
    </row>
    <row r="1061" customFormat="false" ht="15.75" hidden="false" customHeight="false" outlineLevel="0" collapsed="false">
      <c r="B1061" s="7"/>
      <c r="C1061" s="7"/>
      <c r="D1061" s="7"/>
      <c r="E1061" s="7"/>
      <c r="F1061" s="8"/>
    </row>
    <row r="1062" customFormat="false" ht="15.75" hidden="false" customHeight="false" outlineLevel="0" collapsed="false">
      <c r="B1062" s="7"/>
      <c r="C1062" s="7"/>
      <c r="D1062" s="7"/>
      <c r="E1062" s="7"/>
      <c r="F1062" s="8"/>
    </row>
    <row r="1063" customFormat="false" ht="15.75" hidden="false" customHeight="false" outlineLevel="0" collapsed="false">
      <c r="B1063" s="7"/>
      <c r="C1063" s="7"/>
      <c r="D1063" s="7"/>
      <c r="E1063" s="7"/>
      <c r="F1063" s="8"/>
    </row>
    <row r="1064" customFormat="false" ht="15.75" hidden="false" customHeight="false" outlineLevel="0" collapsed="false">
      <c r="B1064" s="7"/>
      <c r="C1064" s="7"/>
      <c r="D1064" s="7"/>
      <c r="E1064" s="7"/>
      <c r="F1064" s="8"/>
    </row>
    <row r="1065" customFormat="false" ht="15.75" hidden="false" customHeight="false" outlineLevel="0" collapsed="false">
      <c r="B1065" s="7"/>
      <c r="C1065" s="7"/>
      <c r="D1065" s="7"/>
      <c r="E1065" s="7"/>
      <c r="F1065" s="8"/>
    </row>
    <row r="1066" customFormat="false" ht="15.75" hidden="false" customHeight="false" outlineLevel="0" collapsed="false">
      <c r="B1066" s="7"/>
      <c r="C1066" s="7"/>
      <c r="D1066" s="7"/>
      <c r="E1066" s="7"/>
      <c r="F1066" s="8"/>
    </row>
    <row r="1067" customFormat="false" ht="15.75" hidden="false" customHeight="false" outlineLevel="0" collapsed="false">
      <c r="B1067" s="7"/>
      <c r="C1067" s="7"/>
      <c r="D1067" s="7"/>
      <c r="E1067" s="7"/>
      <c r="F1067" s="8"/>
    </row>
    <row r="1068" customFormat="false" ht="15.75" hidden="false" customHeight="false" outlineLevel="0" collapsed="false">
      <c r="B1068" s="7"/>
      <c r="C1068" s="7"/>
      <c r="D1068" s="7"/>
      <c r="E1068" s="7"/>
      <c r="F1068" s="8"/>
    </row>
    <row r="1069" customFormat="false" ht="15.75" hidden="false" customHeight="false" outlineLevel="0" collapsed="false">
      <c r="B1069" s="7"/>
      <c r="C1069" s="7"/>
      <c r="D1069" s="7"/>
      <c r="E1069" s="7"/>
      <c r="F1069" s="8"/>
    </row>
    <row r="1070" customFormat="false" ht="15.75" hidden="false" customHeight="false" outlineLevel="0" collapsed="false">
      <c r="B1070" s="7"/>
      <c r="C1070" s="7"/>
      <c r="D1070" s="7"/>
      <c r="E1070" s="7"/>
      <c r="F1070" s="8"/>
    </row>
    <row r="1071" customFormat="false" ht="15.75" hidden="false" customHeight="false" outlineLevel="0" collapsed="false">
      <c r="B1071" s="7"/>
      <c r="C1071" s="7"/>
      <c r="D1071" s="7"/>
      <c r="E1071" s="7"/>
      <c r="F1071" s="8"/>
    </row>
    <row r="1072" customFormat="false" ht="15.75" hidden="false" customHeight="false" outlineLevel="0" collapsed="false">
      <c r="B1072" s="7"/>
      <c r="C1072" s="7"/>
      <c r="D1072" s="7"/>
      <c r="E1072" s="7"/>
      <c r="F1072" s="8"/>
    </row>
    <row r="1073" customFormat="false" ht="15.75" hidden="false" customHeight="false" outlineLevel="0" collapsed="false">
      <c r="B1073" s="7"/>
      <c r="C1073" s="7"/>
      <c r="D1073" s="7"/>
      <c r="E1073" s="7"/>
      <c r="F1073" s="8"/>
    </row>
    <row r="1074" customFormat="false" ht="15.75" hidden="false" customHeight="false" outlineLevel="0" collapsed="false">
      <c r="B1074" s="7"/>
      <c r="C1074" s="7"/>
      <c r="D1074" s="7"/>
      <c r="E1074" s="7"/>
      <c r="F1074" s="8"/>
    </row>
    <row r="1075" customFormat="false" ht="15.75" hidden="false" customHeight="false" outlineLevel="0" collapsed="false">
      <c r="B1075" s="7"/>
      <c r="C1075" s="7"/>
      <c r="D1075" s="7"/>
      <c r="E1075" s="7"/>
      <c r="F1075" s="8"/>
    </row>
    <row r="1076" customFormat="false" ht="15.75" hidden="false" customHeight="false" outlineLevel="0" collapsed="false">
      <c r="B1076" s="7"/>
      <c r="C1076" s="7"/>
      <c r="D1076" s="7"/>
      <c r="E1076" s="7"/>
      <c r="F1076" s="8"/>
    </row>
    <row r="1077" customFormat="false" ht="15.75" hidden="false" customHeight="false" outlineLevel="0" collapsed="false">
      <c r="B1077" s="7"/>
      <c r="C1077" s="7"/>
      <c r="D1077" s="7"/>
      <c r="E1077" s="7"/>
      <c r="F1077" s="8"/>
    </row>
    <row r="1078" customFormat="false" ht="15.75" hidden="false" customHeight="false" outlineLevel="0" collapsed="false">
      <c r="B1078" s="7"/>
      <c r="C1078" s="7"/>
      <c r="D1078" s="7"/>
      <c r="E1078" s="7"/>
      <c r="F1078" s="8"/>
    </row>
    <row r="1079" customFormat="false" ht="15.75" hidden="false" customHeight="false" outlineLevel="0" collapsed="false">
      <c r="B1079" s="7"/>
      <c r="C1079" s="7"/>
      <c r="D1079" s="7"/>
      <c r="E1079" s="7"/>
      <c r="F1079" s="8"/>
    </row>
    <row r="1080" customFormat="false" ht="15.75" hidden="false" customHeight="false" outlineLevel="0" collapsed="false">
      <c r="B1080" s="7"/>
      <c r="C1080" s="7"/>
      <c r="D1080" s="7"/>
      <c r="E1080" s="7"/>
      <c r="F1080" s="8"/>
    </row>
    <row r="1081" customFormat="false" ht="15.75" hidden="false" customHeight="false" outlineLevel="0" collapsed="false">
      <c r="B1081" s="7"/>
      <c r="C1081" s="7"/>
      <c r="D1081" s="7"/>
      <c r="E1081" s="7"/>
      <c r="F1081" s="8"/>
    </row>
    <row r="1082" customFormat="false" ht="15.75" hidden="false" customHeight="false" outlineLevel="0" collapsed="false">
      <c r="B1082" s="7"/>
      <c r="C1082" s="7"/>
      <c r="D1082" s="7"/>
      <c r="E1082" s="7"/>
      <c r="F1082" s="8"/>
    </row>
    <row r="1083" customFormat="false" ht="15.75" hidden="false" customHeight="false" outlineLevel="0" collapsed="false">
      <c r="B1083" s="7"/>
      <c r="C1083" s="7"/>
      <c r="D1083" s="7"/>
      <c r="E1083" s="7"/>
      <c r="F1083" s="8"/>
    </row>
    <row r="1084" customFormat="false" ht="15.75" hidden="false" customHeight="false" outlineLevel="0" collapsed="false">
      <c r="B1084" s="7"/>
      <c r="C1084" s="7"/>
      <c r="D1084" s="7"/>
      <c r="E1084" s="7"/>
      <c r="F1084" s="8"/>
    </row>
    <row r="1085" customFormat="false" ht="15.75" hidden="false" customHeight="false" outlineLevel="0" collapsed="false">
      <c r="B1085" s="7"/>
      <c r="C1085" s="7"/>
      <c r="D1085" s="7"/>
      <c r="E1085" s="7"/>
      <c r="F1085" s="8"/>
    </row>
    <row r="1086" customFormat="false" ht="15.75" hidden="false" customHeight="false" outlineLevel="0" collapsed="false">
      <c r="B1086" s="7"/>
      <c r="C1086" s="7"/>
      <c r="D1086" s="7"/>
      <c r="E1086" s="7"/>
      <c r="F1086" s="8"/>
    </row>
    <row r="1087" customFormat="false" ht="15.75" hidden="false" customHeight="false" outlineLevel="0" collapsed="false">
      <c r="B1087" s="7"/>
      <c r="C1087" s="7"/>
      <c r="D1087" s="7"/>
      <c r="E1087" s="7"/>
      <c r="F1087" s="8"/>
    </row>
    <row r="1088" customFormat="false" ht="15.75" hidden="false" customHeight="false" outlineLevel="0" collapsed="false">
      <c r="B1088" s="7"/>
      <c r="C1088" s="7"/>
      <c r="D1088" s="7"/>
      <c r="E1088" s="7"/>
      <c r="F1088" s="8"/>
    </row>
    <row r="1089" customFormat="false" ht="15.75" hidden="false" customHeight="false" outlineLevel="0" collapsed="false">
      <c r="B1089" s="7"/>
      <c r="C1089" s="7"/>
      <c r="D1089" s="7"/>
      <c r="E1089" s="7"/>
      <c r="F1089" s="8"/>
    </row>
    <row r="1090" customFormat="false" ht="15.75" hidden="false" customHeight="false" outlineLevel="0" collapsed="false">
      <c r="B1090" s="7"/>
      <c r="C1090" s="7"/>
      <c r="D1090" s="7"/>
      <c r="E1090" s="7"/>
      <c r="F1090" s="8"/>
    </row>
    <row r="1091" customFormat="false" ht="15.75" hidden="false" customHeight="false" outlineLevel="0" collapsed="false">
      <c r="B1091" s="7"/>
      <c r="C1091" s="7"/>
      <c r="D1091" s="7"/>
      <c r="E1091" s="7"/>
      <c r="F1091" s="8"/>
    </row>
    <row r="1092" customFormat="false" ht="15.75" hidden="false" customHeight="false" outlineLevel="0" collapsed="false">
      <c r="B1092" s="7"/>
      <c r="C1092" s="7"/>
      <c r="D1092" s="7"/>
      <c r="E1092" s="7"/>
      <c r="F1092" s="8"/>
    </row>
    <row r="1093" customFormat="false" ht="15.75" hidden="false" customHeight="false" outlineLevel="0" collapsed="false">
      <c r="B1093" s="7"/>
      <c r="C1093" s="7"/>
      <c r="D1093" s="7"/>
      <c r="E1093" s="7"/>
      <c r="F1093" s="8"/>
    </row>
    <row r="1094" customFormat="false" ht="15.75" hidden="false" customHeight="false" outlineLevel="0" collapsed="false">
      <c r="B1094" s="7"/>
      <c r="C1094" s="7"/>
      <c r="D1094" s="7"/>
      <c r="E1094" s="7"/>
      <c r="F1094" s="8"/>
    </row>
    <row r="1095" customFormat="false" ht="15.75" hidden="false" customHeight="false" outlineLevel="0" collapsed="false">
      <c r="B1095" s="7"/>
      <c r="C1095" s="7"/>
      <c r="D1095" s="7"/>
      <c r="E1095" s="7"/>
      <c r="F1095" s="8"/>
    </row>
    <row r="1096" customFormat="false" ht="15.75" hidden="false" customHeight="false" outlineLevel="0" collapsed="false">
      <c r="B1096" s="7"/>
      <c r="C1096" s="7"/>
      <c r="D1096" s="7"/>
      <c r="E1096" s="7"/>
      <c r="F1096" s="8"/>
    </row>
    <row r="1097" customFormat="false" ht="15.75" hidden="false" customHeight="false" outlineLevel="0" collapsed="false">
      <c r="B1097" s="7"/>
      <c r="C1097" s="7"/>
      <c r="D1097" s="7"/>
      <c r="E1097" s="7"/>
      <c r="F1097" s="8"/>
    </row>
    <row r="1098" customFormat="false" ht="15.75" hidden="false" customHeight="false" outlineLevel="0" collapsed="false">
      <c r="B1098" s="7"/>
      <c r="C1098" s="7"/>
      <c r="D1098" s="7"/>
      <c r="E1098" s="7"/>
      <c r="F1098" s="8"/>
    </row>
    <row r="1099" customFormat="false" ht="15.75" hidden="false" customHeight="false" outlineLevel="0" collapsed="false">
      <c r="B1099" s="7"/>
      <c r="C1099" s="7"/>
      <c r="D1099" s="7"/>
      <c r="E1099" s="7"/>
      <c r="F1099" s="8"/>
    </row>
    <row r="1100" customFormat="false" ht="15.75" hidden="false" customHeight="false" outlineLevel="0" collapsed="false">
      <c r="B1100" s="7"/>
      <c r="C1100" s="7"/>
      <c r="D1100" s="7"/>
      <c r="E1100" s="7"/>
      <c r="F1100" s="8"/>
    </row>
    <row r="1101" customFormat="false" ht="15.75" hidden="false" customHeight="false" outlineLevel="0" collapsed="false">
      <c r="B1101" s="7"/>
      <c r="C1101" s="7"/>
      <c r="D1101" s="7"/>
      <c r="E1101" s="7"/>
      <c r="F1101" s="8"/>
    </row>
    <row r="1102" customFormat="false" ht="15.75" hidden="false" customHeight="false" outlineLevel="0" collapsed="false">
      <c r="B1102" s="7"/>
      <c r="C1102" s="7"/>
      <c r="D1102" s="7"/>
      <c r="E1102" s="7"/>
      <c r="F1102" s="8"/>
    </row>
    <row r="1103" customFormat="false" ht="15.75" hidden="false" customHeight="false" outlineLevel="0" collapsed="false">
      <c r="B1103" s="7"/>
      <c r="C1103" s="7"/>
      <c r="D1103" s="7"/>
      <c r="E1103" s="7"/>
      <c r="F1103" s="8"/>
    </row>
    <row r="1104" customFormat="false" ht="15.75" hidden="false" customHeight="false" outlineLevel="0" collapsed="false">
      <c r="B1104" s="7"/>
      <c r="C1104" s="7"/>
      <c r="D1104" s="7"/>
      <c r="E1104" s="7"/>
      <c r="F1104" s="8"/>
    </row>
    <row r="1105" customFormat="false" ht="15.75" hidden="false" customHeight="false" outlineLevel="0" collapsed="false">
      <c r="B1105" s="7"/>
      <c r="C1105" s="7"/>
      <c r="D1105" s="7"/>
      <c r="E1105" s="7"/>
      <c r="F1105" s="8"/>
    </row>
    <row r="1106" customFormat="false" ht="15.75" hidden="false" customHeight="false" outlineLevel="0" collapsed="false">
      <c r="B1106" s="7"/>
      <c r="C1106" s="7"/>
      <c r="D1106" s="7"/>
      <c r="E1106" s="7"/>
      <c r="F1106" s="8"/>
    </row>
    <row r="1107" customFormat="false" ht="15.75" hidden="false" customHeight="false" outlineLevel="0" collapsed="false">
      <c r="B1107" s="7"/>
      <c r="C1107" s="7"/>
      <c r="D1107" s="7"/>
      <c r="E1107" s="7"/>
      <c r="F1107" s="8"/>
    </row>
    <row r="1108" customFormat="false" ht="15.75" hidden="false" customHeight="false" outlineLevel="0" collapsed="false">
      <c r="B1108" s="7"/>
      <c r="C1108" s="7"/>
      <c r="D1108" s="7"/>
      <c r="E1108" s="7"/>
      <c r="F1108" s="8"/>
    </row>
    <row r="1109" customFormat="false" ht="15.75" hidden="false" customHeight="false" outlineLevel="0" collapsed="false">
      <c r="B1109" s="7"/>
      <c r="C1109" s="7"/>
      <c r="D1109" s="7"/>
      <c r="E1109" s="7"/>
      <c r="F1109" s="8"/>
    </row>
    <row r="1110" customFormat="false" ht="15.75" hidden="false" customHeight="false" outlineLevel="0" collapsed="false">
      <c r="B1110" s="7"/>
      <c r="C1110" s="7"/>
      <c r="D1110" s="7"/>
      <c r="E1110" s="7"/>
      <c r="F1110" s="8"/>
    </row>
    <row r="1111" customFormat="false" ht="15.75" hidden="false" customHeight="false" outlineLevel="0" collapsed="false">
      <c r="B1111" s="7"/>
      <c r="C1111" s="7"/>
      <c r="D1111" s="7"/>
      <c r="E1111" s="7"/>
      <c r="F1111" s="8"/>
    </row>
    <row r="1112" customFormat="false" ht="15.75" hidden="false" customHeight="false" outlineLevel="0" collapsed="false">
      <c r="B1112" s="7"/>
      <c r="C1112" s="7"/>
      <c r="D1112" s="7"/>
      <c r="E1112" s="7"/>
      <c r="F1112" s="8"/>
    </row>
    <row r="1113" customFormat="false" ht="15.75" hidden="false" customHeight="false" outlineLevel="0" collapsed="false">
      <c r="B1113" s="7"/>
      <c r="C1113" s="7"/>
      <c r="D1113" s="7"/>
      <c r="E1113" s="7"/>
      <c r="F1113" s="8"/>
    </row>
    <row r="1114" customFormat="false" ht="15.75" hidden="false" customHeight="false" outlineLevel="0" collapsed="false">
      <c r="B1114" s="7"/>
      <c r="C1114" s="7"/>
      <c r="D1114" s="7"/>
      <c r="E1114" s="7"/>
      <c r="F1114" s="8"/>
    </row>
    <row r="1115" customFormat="false" ht="15.75" hidden="false" customHeight="false" outlineLevel="0" collapsed="false">
      <c r="B1115" s="7"/>
      <c r="C1115" s="7"/>
      <c r="D1115" s="7"/>
      <c r="E1115" s="7"/>
      <c r="F1115" s="8"/>
    </row>
    <row r="1116" customFormat="false" ht="15.75" hidden="false" customHeight="false" outlineLevel="0" collapsed="false">
      <c r="B1116" s="7"/>
      <c r="C1116" s="7"/>
      <c r="D1116" s="7"/>
      <c r="E1116" s="7"/>
      <c r="F1116" s="8"/>
    </row>
    <row r="1117" customFormat="false" ht="15.75" hidden="false" customHeight="false" outlineLevel="0" collapsed="false">
      <c r="B1117" s="7"/>
      <c r="C1117" s="7"/>
      <c r="D1117" s="7"/>
      <c r="E1117" s="7"/>
      <c r="F1117" s="8"/>
    </row>
    <row r="1118" customFormat="false" ht="15.75" hidden="false" customHeight="false" outlineLevel="0" collapsed="false">
      <c r="B1118" s="7"/>
      <c r="C1118" s="7"/>
      <c r="D1118" s="7"/>
      <c r="E1118" s="7"/>
      <c r="F1118" s="8"/>
    </row>
    <row r="1119" customFormat="false" ht="15.75" hidden="false" customHeight="false" outlineLevel="0" collapsed="false">
      <c r="B1119" s="7"/>
      <c r="C1119" s="7"/>
      <c r="D1119" s="7"/>
      <c r="E1119" s="7"/>
      <c r="F1119" s="8"/>
    </row>
    <row r="1120" customFormat="false" ht="15.75" hidden="false" customHeight="false" outlineLevel="0" collapsed="false">
      <c r="B1120" s="7"/>
      <c r="C1120" s="7"/>
      <c r="D1120" s="7"/>
      <c r="E1120" s="7"/>
      <c r="F1120" s="8"/>
    </row>
    <row r="1121" customFormat="false" ht="15.75" hidden="false" customHeight="false" outlineLevel="0" collapsed="false">
      <c r="B1121" s="7"/>
      <c r="C1121" s="7"/>
      <c r="D1121" s="7"/>
      <c r="E1121" s="7"/>
      <c r="F1121" s="8"/>
    </row>
    <row r="1122" customFormat="false" ht="15.75" hidden="false" customHeight="false" outlineLevel="0" collapsed="false">
      <c r="B1122" s="7"/>
      <c r="C1122" s="7"/>
      <c r="D1122" s="7"/>
      <c r="E1122" s="7"/>
      <c r="F1122" s="8"/>
    </row>
    <row r="1123" customFormat="false" ht="15.75" hidden="false" customHeight="false" outlineLevel="0" collapsed="false">
      <c r="B1123" s="7"/>
      <c r="C1123" s="7"/>
      <c r="D1123" s="7"/>
      <c r="E1123" s="7"/>
      <c r="F1123" s="8"/>
    </row>
    <row r="1124" customFormat="false" ht="15.75" hidden="false" customHeight="false" outlineLevel="0" collapsed="false">
      <c r="B1124" s="7"/>
      <c r="C1124" s="7"/>
      <c r="D1124" s="7"/>
      <c r="E1124" s="7"/>
      <c r="F1124" s="8"/>
    </row>
    <row r="1125" customFormat="false" ht="15.75" hidden="false" customHeight="false" outlineLevel="0" collapsed="false">
      <c r="B1125" s="7"/>
      <c r="C1125" s="7"/>
      <c r="D1125" s="7"/>
      <c r="E1125" s="7"/>
      <c r="F1125" s="8"/>
    </row>
    <row r="1126" customFormat="false" ht="15.75" hidden="false" customHeight="false" outlineLevel="0" collapsed="false">
      <c r="B1126" s="7"/>
      <c r="C1126" s="7"/>
      <c r="D1126" s="7"/>
      <c r="E1126" s="7"/>
      <c r="F1126" s="8"/>
    </row>
    <row r="1127" customFormat="false" ht="15.75" hidden="false" customHeight="false" outlineLevel="0" collapsed="false">
      <c r="B1127" s="7"/>
      <c r="C1127" s="7"/>
      <c r="D1127" s="7"/>
      <c r="E1127" s="7"/>
      <c r="F1127" s="8"/>
    </row>
    <row r="1128" customFormat="false" ht="15.75" hidden="false" customHeight="false" outlineLevel="0" collapsed="false">
      <c r="B1128" s="7"/>
      <c r="C1128" s="7"/>
      <c r="D1128" s="7"/>
      <c r="E1128" s="7"/>
      <c r="F1128" s="8"/>
    </row>
    <row r="1129" customFormat="false" ht="15.75" hidden="false" customHeight="false" outlineLevel="0" collapsed="false">
      <c r="B1129" s="7"/>
      <c r="C1129" s="7"/>
      <c r="D1129" s="7"/>
      <c r="E1129" s="7"/>
      <c r="F1129" s="8"/>
    </row>
    <row r="1130" customFormat="false" ht="15.75" hidden="false" customHeight="false" outlineLevel="0" collapsed="false">
      <c r="B1130" s="7"/>
      <c r="C1130" s="7"/>
      <c r="D1130" s="7"/>
      <c r="E1130" s="7"/>
      <c r="F1130" s="8"/>
    </row>
    <row r="1131" customFormat="false" ht="15.75" hidden="false" customHeight="false" outlineLevel="0" collapsed="false">
      <c r="B1131" s="7"/>
      <c r="C1131" s="7"/>
      <c r="D1131" s="7"/>
      <c r="E1131" s="7"/>
      <c r="F1131" s="8"/>
    </row>
    <row r="1132" customFormat="false" ht="15.75" hidden="false" customHeight="false" outlineLevel="0" collapsed="false">
      <c r="B1132" s="7"/>
      <c r="C1132" s="7"/>
      <c r="D1132" s="7"/>
      <c r="E1132" s="7"/>
      <c r="F1132" s="8"/>
    </row>
    <row r="1133" customFormat="false" ht="15.75" hidden="false" customHeight="false" outlineLevel="0" collapsed="false">
      <c r="B1133" s="7"/>
      <c r="C1133" s="7"/>
      <c r="D1133" s="7"/>
      <c r="E1133" s="7"/>
      <c r="F1133" s="8"/>
    </row>
    <row r="1134" customFormat="false" ht="15.75" hidden="false" customHeight="false" outlineLevel="0" collapsed="false">
      <c r="B1134" s="7"/>
      <c r="C1134" s="7"/>
      <c r="D1134" s="7"/>
      <c r="E1134" s="7"/>
      <c r="F1134" s="8"/>
    </row>
    <row r="1135" customFormat="false" ht="15.75" hidden="false" customHeight="false" outlineLevel="0" collapsed="false">
      <c r="B1135" s="7"/>
      <c r="C1135" s="7"/>
      <c r="D1135" s="7"/>
      <c r="E1135" s="7"/>
      <c r="F1135" s="8"/>
    </row>
    <row r="1136" customFormat="false" ht="15.75" hidden="false" customHeight="false" outlineLevel="0" collapsed="false">
      <c r="B1136" s="7"/>
      <c r="C1136" s="7"/>
      <c r="D1136" s="7"/>
      <c r="E1136" s="7"/>
      <c r="F1136" s="8"/>
    </row>
    <row r="1137" customFormat="false" ht="15.75" hidden="false" customHeight="false" outlineLevel="0" collapsed="false">
      <c r="B1137" s="7"/>
      <c r="C1137" s="7"/>
      <c r="D1137" s="7"/>
      <c r="E1137" s="7"/>
      <c r="F1137" s="8"/>
    </row>
    <row r="1138" customFormat="false" ht="15.75" hidden="false" customHeight="false" outlineLevel="0" collapsed="false">
      <c r="B1138" s="7"/>
      <c r="C1138" s="7"/>
      <c r="D1138" s="7"/>
      <c r="E1138" s="7"/>
      <c r="F1138" s="8"/>
    </row>
    <row r="1139" customFormat="false" ht="15.75" hidden="false" customHeight="false" outlineLevel="0" collapsed="false">
      <c r="B1139" s="7"/>
      <c r="C1139" s="7"/>
      <c r="D1139" s="7"/>
      <c r="E1139" s="7"/>
      <c r="F1139" s="8"/>
    </row>
    <row r="1140" customFormat="false" ht="15.75" hidden="false" customHeight="false" outlineLevel="0" collapsed="false">
      <c r="B1140" s="7"/>
      <c r="C1140" s="7"/>
      <c r="D1140" s="7"/>
      <c r="E1140" s="7"/>
      <c r="F1140" s="8"/>
    </row>
    <row r="1141" customFormat="false" ht="15.75" hidden="false" customHeight="false" outlineLevel="0" collapsed="false">
      <c r="B1141" s="7"/>
      <c r="C1141" s="7"/>
      <c r="D1141" s="7"/>
      <c r="E1141" s="7"/>
      <c r="F1141" s="8"/>
    </row>
    <row r="1142" customFormat="false" ht="15.75" hidden="false" customHeight="false" outlineLevel="0" collapsed="false">
      <c r="B1142" s="7"/>
      <c r="C1142" s="7"/>
      <c r="D1142" s="7"/>
      <c r="E1142" s="7"/>
      <c r="F1142" s="8"/>
    </row>
    <row r="1143" customFormat="false" ht="15.75" hidden="false" customHeight="false" outlineLevel="0" collapsed="false">
      <c r="B1143" s="7"/>
      <c r="C1143" s="7"/>
      <c r="D1143" s="7"/>
      <c r="E1143" s="7"/>
      <c r="F1143" s="8"/>
    </row>
    <row r="1144" customFormat="false" ht="15.75" hidden="false" customHeight="false" outlineLevel="0" collapsed="false">
      <c r="B1144" s="7"/>
      <c r="C1144" s="7"/>
      <c r="D1144" s="7"/>
      <c r="E1144" s="7"/>
      <c r="F1144" s="8"/>
    </row>
    <row r="1145" customFormat="false" ht="15.75" hidden="false" customHeight="false" outlineLevel="0" collapsed="false">
      <c r="B1145" s="7"/>
      <c r="C1145" s="7"/>
      <c r="D1145" s="7"/>
      <c r="E1145" s="7"/>
      <c r="F1145" s="8"/>
    </row>
    <row r="1146" customFormat="false" ht="15.75" hidden="false" customHeight="false" outlineLevel="0" collapsed="false">
      <c r="B1146" s="7"/>
      <c r="C1146" s="7"/>
      <c r="D1146" s="7"/>
      <c r="E1146" s="7"/>
      <c r="F1146" s="8"/>
    </row>
    <row r="1147" customFormat="false" ht="15.75" hidden="false" customHeight="false" outlineLevel="0" collapsed="false">
      <c r="B1147" s="7"/>
      <c r="C1147" s="7"/>
      <c r="D1147" s="7"/>
      <c r="E1147" s="7"/>
      <c r="F1147" s="8"/>
    </row>
    <row r="1148" customFormat="false" ht="15.75" hidden="false" customHeight="false" outlineLevel="0" collapsed="false">
      <c r="B1148" s="7"/>
      <c r="C1148" s="7"/>
      <c r="D1148" s="7"/>
      <c r="E1148" s="7"/>
      <c r="F1148" s="8"/>
    </row>
    <row r="1149" customFormat="false" ht="15.75" hidden="false" customHeight="false" outlineLevel="0" collapsed="false">
      <c r="B1149" s="7"/>
      <c r="C1149" s="7"/>
      <c r="D1149" s="7"/>
      <c r="E1149" s="7"/>
      <c r="F1149" s="8"/>
    </row>
    <row r="1150" customFormat="false" ht="15.75" hidden="false" customHeight="false" outlineLevel="0" collapsed="false">
      <c r="B1150" s="7"/>
      <c r="C1150" s="7"/>
      <c r="D1150" s="7"/>
      <c r="E1150" s="7"/>
      <c r="F1150" s="8"/>
    </row>
    <row r="1151" customFormat="false" ht="15.75" hidden="false" customHeight="false" outlineLevel="0" collapsed="false">
      <c r="B1151" s="7"/>
      <c r="C1151" s="7"/>
      <c r="D1151" s="7"/>
      <c r="E1151" s="7"/>
      <c r="F1151" s="8"/>
    </row>
    <row r="1152" customFormat="false" ht="15.75" hidden="false" customHeight="false" outlineLevel="0" collapsed="false">
      <c r="B1152" s="7"/>
      <c r="C1152" s="7"/>
      <c r="D1152" s="7"/>
      <c r="E1152" s="7"/>
      <c r="F1152" s="8"/>
    </row>
    <row r="1153" customFormat="false" ht="15.75" hidden="false" customHeight="false" outlineLevel="0" collapsed="false">
      <c r="B1153" s="7"/>
      <c r="C1153" s="7"/>
      <c r="D1153" s="7"/>
      <c r="E1153" s="7"/>
      <c r="F1153" s="8"/>
    </row>
    <row r="1154" customFormat="false" ht="15.75" hidden="false" customHeight="false" outlineLevel="0" collapsed="false">
      <c r="B1154" s="7"/>
      <c r="C1154" s="7"/>
      <c r="D1154" s="7"/>
      <c r="E1154" s="7"/>
      <c r="F1154" s="8"/>
    </row>
    <row r="1155" customFormat="false" ht="15.75" hidden="false" customHeight="false" outlineLevel="0" collapsed="false">
      <c r="B1155" s="7"/>
      <c r="C1155" s="7"/>
      <c r="D1155" s="7"/>
      <c r="E1155" s="7"/>
      <c r="F1155" s="8"/>
    </row>
    <row r="1156" customFormat="false" ht="15.75" hidden="false" customHeight="false" outlineLevel="0" collapsed="false">
      <c r="B1156" s="7"/>
      <c r="C1156" s="7"/>
      <c r="D1156" s="7"/>
      <c r="E1156" s="7"/>
      <c r="F1156" s="8"/>
    </row>
    <row r="1157" customFormat="false" ht="15.75" hidden="false" customHeight="false" outlineLevel="0" collapsed="false">
      <c r="B1157" s="7"/>
      <c r="C1157" s="7"/>
      <c r="D1157" s="7"/>
      <c r="E1157" s="7"/>
      <c r="F1157" s="8"/>
    </row>
    <row r="1158" customFormat="false" ht="15.75" hidden="false" customHeight="false" outlineLevel="0" collapsed="false">
      <c r="B1158" s="7"/>
      <c r="C1158" s="7"/>
      <c r="D1158" s="7"/>
      <c r="E1158" s="7"/>
      <c r="F1158" s="8"/>
    </row>
    <row r="1159" customFormat="false" ht="15.75" hidden="false" customHeight="false" outlineLevel="0" collapsed="false">
      <c r="B1159" s="7"/>
      <c r="C1159" s="7"/>
      <c r="D1159" s="7"/>
      <c r="E1159" s="7"/>
      <c r="F1159" s="8"/>
    </row>
    <row r="1160" customFormat="false" ht="15.75" hidden="false" customHeight="false" outlineLevel="0" collapsed="false">
      <c r="B1160" s="7"/>
      <c r="C1160" s="7"/>
      <c r="D1160" s="7"/>
      <c r="E1160" s="7"/>
      <c r="F1160" s="8"/>
    </row>
    <row r="1161" customFormat="false" ht="15.75" hidden="false" customHeight="false" outlineLevel="0" collapsed="false">
      <c r="B1161" s="7"/>
      <c r="C1161" s="7"/>
      <c r="D1161" s="7"/>
      <c r="E1161" s="7"/>
      <c r="F1161" s="8"/>
    </row>
    <row r="1162" customFormat="false" ht="15.75" hidden="false" customHeight="false" outlineLevel="0" collapsed="false">
      <c r="B1162" s="7"/>
      <c r="C1162" s="7"/>
      <c r="D1162" s="7"/>
      <c r="E1162" s="7"/>
      <c r="F1162" s="8"/>
    </row>
    <row r="1163" customFormat="false" ht="15.75" hidden="false" customHeight="false" outlineLevel="0" collapsed="false">
      <c r="B1163" s="7"/>
      <c r="C1163" s="7"/>
      <c r="D1163" s="7"/>
      <c r="E1163" s="7"/>
      <c r="F1163" s="8"/>
    </row>
    <row r="1164" customFormat="false" ht="15.75" hidden="false" customHeight="false" outlineLevel="0" collapsed="false">
      <c r="B1164" s="7"/>
      <c r="C1164" s="7"/>
      <c r="D1164" s="7"/>
      <c r="E1164" s="7"/>
      <c r="F1164" s="8"/>
    </row>
    <row r="1165" customFormat="false" ht="15.75" hidden="false" customHeight="false" outlineLevel="0" collapsed="false">
      <c r="B1165" s="7"/>
      <c r="C1165" s="7"/>
      <c r="D1165" s="7"/>
      <c r="E1165" s="7"/>
      <c r="F1165" s="8"/>
    </row>
    <row r="1166" customFormat="false" ht="15.75" hidden="false" customHeight="false" outlineLevel="0" collapsed="false">
      <c r="B1166" s="7"/>
      <c r="C1166" s="7"/>
      <c r="D1166" s="7"/>
      <c r="E1166" s="7"/>
      <c r="F1166" s="8"/>
    </row>
    <row r="1167" customFormat="false" ht="15.75" hidden="false" customHeight="false" outlineLevel="0" collapsed="false">
      <c r="B1167" s="7"/>
      <c r="C1167" s="7"/>
      <c r="D1167" s="7"/>
      <c r="E1167" s="7"/>
      <c r="F1167" s="8"/>
    </row>
    <row r="1168" customFormat="false" ht="15.75" hidden="false" customHeight="false" outlineLevel="0" collapsed="false">
      <c r="B1168" s="7"/>
      <c r="C1168" s="7"/>
      <c r="D1168" s="7"/>
      <c r="E1168" s="7"/>
      <c r="F1168" s="8"/>
    </row>
    <row r="1169" customFormat="false" ht="15.75" hidden="false" customHeight="false" outlineLevel="0" collapsed="false">
      <c r="B1169" s="7"/>
      <c r="C1169" s="7"/>
      <c r="D1169" s="7"/>
      <c r="E1169" s="7"/>
      <c r="F1169" s="8"/>
    </row>
    <row r="1170" customFormat="false" ht="15.75" hidden="false" customHeight="false" outlineLevel="0" collapsed="false">
      <c r="B1170" s="7"/>
      <c r="C1170" s="7"/>
      <c r="D1170" s="7"/>
      <c r="E1170" s="7"/>
      <c r="F1170" s="8"/>
    </row>
    <row r="1171" customFormat="false" ht="15.75" hidden="false" customHeight="false" outlineLevel="0" collapsed="false">
      <c r="B1171" s="7"/>
      <c r="C1171" s="7"/>
      <c r="D1171" s="7"/>
      <c r="E1171" s="7"/>
      <c r="F1171" s="8"/>
    </row>
    <row r="1172" customFormat="false" ht="15.75" hidden="false" customHeight="false" outlineLevel="0" collapsed="false">
      <c r="B1172" s="7"/>
      <c r="C1172" s="7"/>
      <c r="D1172" s="7"/>
      <c r="E1172" s="7"/>
      <c r="F1172" s="8"/>
    </row>
    <row r="1173" customFormat="false" ht="15.75" hidden="false" customHeight="false" outlineLevel="0" collapsed="false">
      <c r="B1173" s="7"/>
      <c r="C1173" s="7"/>
      <c r="D1173" s="7"/>
      <c r="E1173" s="7"/>
      <c r="F1173" s="8"/>
    </row>
    <row r="1174" customFormat="false" ht="15.75" hidden="false" customHeight="false" outlineLevel="0" collapsed="false">
      <c r="B1174" s="7"/>
      <c r="C1174" s="7"/>
      <c r="D1174" s="7"/>
      <c r="E1174" s="7"/>
      <c r="F1174" s="8"/>
    </row>
    <row r="1175" customFormat="false" ht="15.75" hidden="false" customHeight="false" outlineLevel="0" collapsed="false">
      <c r="B1175" s="7"/>
      <c r="C1175" s="7"/>
      <c r="D1175" s="7"/>
      <c r="E1175" s="7"/>
      <c r="F1175" s="8"/>
    </row>
    <row r="1176" customFormat="false" ht="15.75" hidden="false" customHeight="false" outlineLevel="0" collapsed="false">
      <c r="B1176" s="7"/>
      <c r="C1176" s="7"/>
      <c r="D1176" s="7"/>
      <c r="E1176" s="7"/>
      <c r="F1176" s="8"/>
    </row>
    <row r="1177" customFormat="false" ht="15.75" hidden="false" customHeight="false" outlineLevel="0" collapsed="false">
      <c r="B1177" s="7"/>
      <c r="C1177" s="7"/>
      <c r="D1177" s="7"/>
      <c r="E1177" s="7"/>
      <c r="F1177" s="8"/>
    </row>
    <row r="1178" customFormat="false" ht="15.75" hidden="false" customHeight="false" outlineLevel="0" collapsed="false">
      <c r="B1178" s="7"/>
      <c r="C1178" s="7"/>
      <c r="D1178" s="7"/>
      <c r="E1178" s="7"/>
      <c r="F1178" s="8"/>
    </row>
    <row r="1179" customFormat="false" ht="15.75" hidden="false" customHeight="false" outlineLevel="0" collapsed="false">
      <c r="B1179" s="7"/>
      <c r="C1179" s="7"/>
      <c r="D1179" s="7"/>
      <c r="E1179" s="7"/>
      <c r="F1179" s="8"/>
    </row>
    <row r="1180" customFormat="false" ht="15.75" hidden="false" customHeight="false" outlineLevel="0" collapsed="false">
      <c r="B1180" s="7"/>
      <c r="C1180" s="7"/>
      <c r="D1180" s="7"/>
      <c r="E1180" s="7"/>
      <c r="F1180" s="8"/>
    </row>
    <row r="1181" customFormat="false" ht="15.75" hidden="false" customHeight="false" outlineLevel="0" collapsed="false">
      <c r="B1181" s="7"/>
      <c r="C1181" s="7"/>
      <c r="D1181" s="7"/>
      <c r="E1181" s="7"/>
      <c r="F1181" s="8"/>
    </row>
    <row r="1182" customFormat="false" ht="15.75" hidden="false" customHeight="false" outlineLevel="0" collapsed="false">
      <c r="B1182" s="7"/>
      <c r="C1182" s="7"/>
      <c r="D1182" s="7"/>
      <c r="E1182" s="7"/>
      <c r="F1182" s="8"/>
    </row>
    <row r="1183" customFormat="false" ht="15.75" hidden="false" customHeight="false" outlineLevel="0" collapsed="false">
      <c r="B1183" s="7"/>
      <c r="C1183" s="7"/>
      <c r="D1183" s="7"/>
      <c r="E1183" s="7"/>
      <c r="F1183" s="8"/>
    </row>
    <row r="1184" customFormat="false" ht="15.75" hidden="false" customHeight="false" outlineLevel="0" collapsed="false">
      <c r="B1184" s="7"/>
      <c r="C1184" s="7"/>
      <c r="D1184" s="7"/>
      <c r="E1184" s="7"/>
      <c r="F1184" s="8"/>
    </row>
    <row r="1185" customFormat="false" ht="15.75" hidden="false" customHeight="false" outlineLevel="0" collapsed="false">
      <c r="B1185" s="7"/>
      <c r="C1185" s="7"/>
      <c r="D1185" s="7"/>
      <c r="E1185" s="7"/>
      <c r="F1185" s="8"/>
    </row>
    <row r="1186" customFormat="false" ht="15.75" hidden="false" customHeight="false" outlineLevel="0" collapsed="false">
      <c r="B1186" s="7"/>
      <c r="C1186" s="7"/>
      <c r="D1186" s="7"/>
      <c r="E1186" s="7"/>
      <c r="F1186" s="8"/>
    </row>
    <row r="1187" customFormat="false" ht="15.75" hidden="false" customHeight="false" outlineLevel="0" collapsed="false">
      <c r="B1187" s="7"/>
      <c r="C1187" s="7"/>
      <c r="D1187" s="7"/>
      <c r="E1187" s="7"/>
      <c r="F1187" s="8"/>
    </row>
    <row r="1188" customFormat="false" ht="15.75" hidden="false" customHeight="false" outlineLevel="0" collapsed="false">
      <c r="B1188" s="7"/>
      <c r="C1188" s="7"/>
      <c r="D1188" s="7"/>
      <c r="E1188" s="7"/>
      <c r="F1188" s="8"/>
    </row>
    <row r="1189" customFormat="false" ht="15.75" hidden="false" customHeight="false" outlineLevel="0" collapsed="false">
      <c r="B1189" s="7"/>
      <c r="C1189" s="7"/>
      <c r="D1189" s="7"/>
      <c r="E1189" s="7"/>
      <c r="F1189" s="8"/>
    </row>
    <row r="1190" customFormat="false" ht="15.75" hidden="false" customHeight="false" outlineLevel="0" collapsed="false">
      <c r="B1190" s="7"/>
      <c r="C1190" s="7"/>
      <c r="D1190" s="7"/>
      <c r="E1190" s="7"/>
      <c r="F1190" s="8"/>
    </row>
    <row r="1191" customFormat="false" ht="15.75" hidden="false" customHeight="false" outlineLevel="0" collapsed="false">
      <c r="B1191" s="7"/>
      <c r="C1191" s="7"/>
      <c r="D1191" s="7"/>
      <c r="E1191" s="7"/>
      <c r="F1191" s="8"/>
    </row>
    <row r="1192" customFormat="false" ht="15.75" hidden="false" customHeight="false" outlineLevel="0" collapsed="false">
      <c r="B1192" s="7"/>
      <c r="C1192" s="7"/>
      <c r="D1192" s="7"/>
      <c r="E1192" s="7"/>
      <c r="F1192" s="8"/>
    </row>
    <row r="1193" customFormat="false" ht="15.75" hidden="false" customHeight="false" outlineLevel="0" collapsed="false">
      <c r="B1193" s="7"/>
      <c r="C1193" s="7"/>
      <c r="D1193" s="7"/>
      <c r="E1193" s="7"/>
      <c r="F1193" s="8"/>
    </row>
    <row r="1194" customFormat="false" ht="15.75" hidden="false" customHeight="false" outlineLevel="0" collapsed="false">
      <c r="B1194" s="7"/>
      <c r="C1194" s="7"/>
      <c r="D1194" s="7"/>
      <c r="E1194" s="7"/>
      <c r="F1194" s="8"/>
    </row>
    <row r="1195" customFormat="false" ht="15.75" hidden="false" customHeight="false" outlineLevel="0" collapsed="false">
      <c r="B1195" s="7"/>
      <c r="C1195" s="7"/>
      <c r="D1195" s="7"/>
      <c r="E1195" s="7"/>
      <c r="F1195" s="8"/>
    </row>
    <row r="1196" customFormat="false" ht="15.75" hidden="false" customHeight="false" outlineLevel="0" collapsed="false">
      <c r="B1196" s="7"/>
      <c r="C1196" s="7"/>
      <c r="D1196" s="7"/>
      <c r="E1196" s="7"/>
      <c r="F1196" s="8"/>
    </row>
    <row r="1197" customFormat="false" ht="15.75" hidden="false" customHeight="false" outlineLevel="0" collapsed="false">
      <c r="B1197" s="7"/>
      <c r="C1197" s="7"/>
      <c r="D1197" s="7"/>
      <c r="E1197" s="7"/>
      <c r="F1197" s="8"/>
    </row>
    <row r="1198" customFormat="false" ht="15.75" hidden="false" customHeight="false" outlineLevel="0" collapsed="false">
      <c r="B1198" s="7"/>
      <c r="C1198" s="7"/>
      <c r="D1198" s="7"/>
      <c r="E1198" s="7"/>
      <c r="F1198" s="8"/>
    </row>
    <row r="1199" customFormat="false" ht="15.75" hidden="false" customHeight="false" outlineLevel="0" collapsed="false">
      <c r="B1199" s="7"/>
      <c r="C1199" s="7"/>
      <c r="D1199" s="7"/>
      <c r="E1199" s="7"/>
      <c r="F1199" s="8"/>
    </row>
    <row r="1200" customFormat="false" ht="15.75" hidden="false" customHeight="false" outlineLevel="0" collapsed="false">
      <c r="B1200" s="7"/>
      <c r="C1200" s="7"/>
      <c r="D1200" s="7"/>
      <c r="E1200" s="7"/>
      <c r="F1200" s="8"/>
    </row>
    <row r="1201" customFormat="false" ht="15.75" hidden="false" customHeight="false" outlineLevel="0" collapsed="false">
      <c r="B1201" s="7"/>
      <c r="C1201" s="7"/>
      <c r="D1201" s="7"/>
      <c r="E1201" s="7"/>
      <c r="F1201" s="8"/>
    </row>
    <row r="1202" customFormat="false" ht="15.75" hidden="false" customHeight="false" outlineLevel="0" collapsed="false">
      <c r="B1202" s="7"/>
      <c r="C1202" s="7"/>
      <c r="D1202" s="7"/>
      <c r="E1202" s="7"/>
      <c r="F1202" s="8"/>
    </row>
    <row r="1203" customFormat="false" ht="15.75" hidden="false" customHeight="false" outlineLevel="0" collapsed="false">
      <c r="B1203" s="7"/>
      <c r="C1203" s="7"/>
      <c r="D1203" s="7"/>
      <c r="E1203" s="7"/>
      <c r="F1203" s="8"/>
    </row>
    <row r="1204" customFormat="false" ht="15.75" hidden="false" customHeight="false" outlineLevel="0" collapsed="false">
      <c r="B1204" s="7"/>
      <c r="C1204" s="7"/>
      <c r="D1204" s="7"/>
      <c r="E1204" s="7"/>
      <c r="F1204" s="8"/>
    </row>
    <row r="1205" customFormat="false" ht="15.75" hidden="false" customHeight="false" outlineLevel="0" collapsed="false">
      <c r="B1205" s="7"/>
      <c r="C1205" s="7"/>
      <c r="D1205" s="7"/>
      <c r="E1205" s="7"/>
      <c r="F1205" s="8"/>
    </row>
    <row r="1206" customFormat="false" ht="15.75" hidden="false" customHeight="false" outlineLevel="0" collapsed="false">
      <c r="B1206" s="7"/>
      <c r="C1206" s="7"/>
      <c r="D1206" s="7"/>
      <c r="E1206" s="7"/>
      <c r="F1206" s="8"/>
    </row>
    <row r="1207" customFormat="false" ht="15.75" hidden="false" customHeight="false" outlineLevel="0" collapsed="false">
      <c r="B1207" s="7"/>
      <c r="C1207" s="7"/>
      <c r="D1207" s="7"/>
      <c r="E1207" s="7"/>
      <c r="F1207" s="8"/>
    </row>
    <row r="1208" customFormat="false" ht="15.75" hidden="false" customHeight="false" outlineLevel="0" collapsed="false">
      <c r="B1208" s="7"/>
      <c r="C1208" s="7"/>
      <c r="D1208" s="7"/>
      <c r="E1208" s="7"/>
      <c r="F1208" s="8"/>
    </row>
    <row r="1209" customFormat="false" ht="15.75" hidden="false" customHeight="false" outlineLevel="0" collapsed="false">
      <c r="B1209" s="7"/>
      <c r="C1209" s="7"/>
      <c r="D1209" s="7"/>
      <c r="E1209" s="7"/>
      <c r="F1209" s="8"/>
    </row>
    <row r="1210" customFormat="false" ht="15.75" hidden="false" customHeight="false" outlineLevel="0" collapsed="false">
      <c r="B1210" s="7"/>
      <c r="C1210" s="7"/>
      <c r="D1210" s="7"/>
      <c r="E1210" s="7"/>
      <c r="F1210" s="8"/>
    </row>
    <row r="1211" customFormat="false" ht="15.75" hidden="false" customHeight="false" outlineLevel="0" collapsed="false">
      <c r="B1211" s="7"/>
      <c r="C1211" s="7"/>
      <c r="D1211" s="7"/>
      <c r="E1211" s="7"/>
      <c r="F1211" s="8"/>
    </row>
    <row r="1212" customFormat="false" ht="15.75" hidden="false" customHeight="false" outlineLevel="0" collapsed="false">
      <c r="B1212" s="7"/>
      <c r="C1212" s="7"/>
      <c r="D1212" s="7"/>
      <c r="E1212" s="7"/>
      <c r="F1212" s="8"/>
    </row>
    <row r="1213" customFormat="false" ht="15.75" hidden="false" customHeight="false" outlineLevel="0" collapsed="false">
      <c r="B1213" s="7"/>
      <c r="C1213" s="7"/>
      <c r="D1213" s="7"/>
      <c r="E1213" s="7"/>
      <c r="F1213" s="8"/>
    </row>
    <row r="1214" customFormat="false" ht="15.75" hidden="false" customHeight="false" outlineLevel="0" collapsed="false">
      <c r="B1214" s="7"/>
      <c r="C1214" s="7"/>
      <c r="D1214" s="7"/>
      <c r="E1214" s="7"/>
      <c r="F1214" s="8"/>
    </row>
    <row r="1215" customFormat="false" ht="15.75" hidden="false" customHeight="false" outlineLevel="0" collapsed="false">
      <c r="B1215" s="7"/>
      <c r="C1215" s="7"/>
      <c r="D1215" s="7"/>
      <c r="E1215" s="7"/>
      <c r="F1215" s="8"/>
    </row>
    <row r="1216" customFormat="false" ht="15.75" hidden="false" customHeight="false" outlineLevel="0" collapsed="false">
      <c r="B1216" s="7"/>
      <c r="C1216" s="7"/>
      <c r="D1216" s="7"/>
      <c r="E1216" s="7"/>
      <c r="F1216" s="8"/>
    </row>
    <row r="1217" customFormat="false" ht="15.75" hidden="false" customHeight="false" outlineLevel="0" collapsed="false">
      <c r="B1217" s="7"/>
      <c r="C1217" s="7"/>
      <c r="D1217" s="7"/>
      <c r="E1217" s="7"/>
      <c r="F1217" s="8"/>
    </row>
    <row r="1218" customFormat="false" ht="15.75" hidden="false" customHeight="false" outlineLevel="0" collapsed="false">
      <c r="B1218" s="7"/>
      <c r="C1218" s="7"/>
      <c r="D1218" s="7"/>
      <c r="E1218" s="7"/>
      <c r="F1218" s="8"/>
    </row>
    <row r="1219" customFormat="false" ht="15.75" hidden="false" customHeight="false" outlineLevel="0" collapsed="false">
      <c r="B1219" s="7"/>
      <c r="C1219" s="7"/>
      <c r="D1219" s="7"/>
      <c r="E1219" s="7"/>
      <c r="F1219" s="8"/>
    </row>
    <row r="1220" customFormat="false" ht="15.75" hidden="false" customHeight="false" outlineLevel="0" collapsed="false">
      <c r="B1220" s="7"/>
      <c r="C1220" s="7"/>
      <c r="D1220" s="7"/>
      <c r="E1220" s="7"/>
      <c r="F1220" s="8"/>
    </row>
    <row r="1221" customFormat="false" ht="15.75" hidden="false" customHeight="false" outlineLevel="0" collapsed="false">
      <c r="B1221" s="7"/>
      <c r="C1221" s="7"/>
      <c r="D1221" s="7"/>
      <c r="E1221" s="7"/>
      <c r="F1221" s="8"/>
    </row>
    <row r="1222" customFormat="false" ht="15.75" hidden="false" customHeight="false" outlineLevel="0" collapsed="false">
      <c r="B1222" s="7"/>
      <c r="C1222" s="7"/>
      <c r="D1222" s="7"/>
      <c r="E1222" s="7"/>
      <c r="F1222" s="8"/>
    </row>
    <row r="1223" customFormat="false" ht="15.75" hidden="false" customHeight="false" outlineLevel="0" collapsed="false">
      <c r="B1223" s="7"/>
      <c r="C1223" s="7"/>
      <c r="D1223" s="7"/>
      <c r="E1223" s="7"/>
      <c r="F1223" s="8"/>
    </row>
    <row r="1224" customFormat="false" ht="15.75" hidden="false" customHeight="false" outlineLevel="0" collapsed="false">
      <c r="B1224" s="7"/>
      <c r="C1224" s="7"/>
      <c r="D1224" s="7"/>
      <c r="E1224" s="7"/>
      <c r="F1224" s="8"/>
    </row>
    <row r="1225" customFormat="false" ht="15.75" hidden="false" customHeight="false" outlineLevel="0" collapsed="false">
      <c r="B1225" s="7"/>
      <c r="C1225" s="7"/>
      <c r="D1225" s="7"/>
      <c r="E1225" s="7"/>
      <c r="F1225" s="8"/>
    </row>
    <row r="1226" customFormat="false" ht="15.75" hidden="false" customHeight="false" outlineLevel="0" collapsed="false">
      <c r="B1226" s="7"/>
      <c r="C1226" s="7"/>
      <c r="D1226" s="7"/>
      <c r="E1226" s="7"/>
      <c r="F1226" s="8"/>
    </row>
    <row r="1227" customFormat="false" ht="15.75" hidden="false" customHeight="false" outlineLevel="0" collapsed="false">
      <c r="B1227" s="7"/>
      <c r="C1227" s="7"/>
      <c r="D1227" s="7"/>
      <c r="E1227" s="7"/>
      <c r="F1227" s="8"/>
    </row>
    <row r="1228" customFormat="false" ht="15.75" hidden="false" customHeight="false" outlineLevel="0" collapsed="false">
      <c r="B1228" s="7"/>
      <c r="C1228" s="7"/>
      <c r="D1228" s="7"/>
      <c r="E1228" s="7"/>
      <c r="F1228" s="8"/>
    </row>
    <row r="1229" customFormat="false" ht="15.75" hidden="false" customHeight="false" outlineLevel="0" collapsed="false">
      <c r="B1229" s="7"/>
      <c r="C1229" s="7"/>
      <c r="D1229" s="7"/>
      <c r="E1229" s="7"/>
      <c r="F1229" s="8"/>
    </row>
    <row r="1230" customFormat="false" ht="15.75" hidden="false" customHeight="false" outlineLevel="0" collapsed="false">
      <c r="B1230" s="7"/>
      <c r="C1230" s="7"/>
      <c r="D1230" s="7"/>
      <c r="E1230" s="7"/>
      <c r="F1230" s="8"/>
    </row>
    <row r="1231" customFormat="false" ht="15.75" hidden="false" customHeight="false" outlineLevel="0" collapsed="false">
      <c r="B1231" s="7"/>
      <c r="C1231" s="7"/>
      <c r="D1231" s="7"/>
      <c r="E1231" s="7"/>
      <c r="F1231" s="8"/>
    </row>
    <row r="1232" customFormat="false" ht="15.75" hidden="false" customHeight="false" outlineLevel="0" collapsed="false">
      <c r="B1232" s="7"/>
      <c r="C1232" s="7"/>
      <c r="D1232" s="7"/>
      <c r="E1232" s="7"/>
      <c r="F1232" s="8"/>
    </row>
    <row r="1233" customFormat="false" ht="15.75" hidden="false" customHeight="false" outlineLevel="0" collapsed="false">
      <c r="B1233" s="7"/>
      <c r="C1233" s="7"/>
      <c r="D1233" s="7"/>
      <c r="E1233" s="7"/>
      <c r="F1233" s="8"/>
    </row>
    <row r="1234" customFormat="false" ht="15.75" hidden="false" customHeight="false" outlineLevel="0" collapsed="false">
      <c r="B1234" s="7"/>
      <c r="C1234" s="7"/>
      <c r="D1234" s="7"/>
      <c r="E1234" s="7"/>
      <c r="F1234" s="8"/>
    </row>
    <row r="1235" customFormat="false" ht="15.75" hidden="false" customHeight="false" outlineLevel="0" collapsed="false">
      <c r="B1235" s="7"/>
      <c r="C1235" s="7"/>
      <c r="D1235" s="7"/>
      <c r="E1235" s="7"/>
      <c r="F1235" s="8"/>
    </row>
    <row r="1236" customFormat="false" ht="15.75" hidden="false" customHeight="false" outlineLevel="0" collapsed="false">
      <c r="B1236" s="7"/>
      <c r="C1236" s="7"/>
      <c r="D1236" s="7"/>
      <c r="E1236" s="7"/>
      <c r="F1236" s="8"/>
    </row>
    <row r="1237" customFormat="false" ht="15.75" hidden="false" customHeight="false" outlineLevel="0" collapsed="false">
      <c r="B1237" s="7"/>
      <c r="C1237" s="7"/>
      <c r="D1237" s="7"/>
      <c r="E1237" s="7"/>
      <c r="F1237" s="8"/>
    </row>
    <row r="1238" customFormat="false" ht="15.75" hidden="false" customHeight="false" outlineLevel="0" collapsed="false">
      <c r="B1238" s="7"/>
      <c r="C1238" s="7"/>
      <c r="D1238" s="7"/>
      <c r="E1238" s="7"/>
      <c r="F1238" s="8"/>
    </row>
    <row r="1239" customFormat="false" ht="15.75" hidden="false" customHeight="false" outlineLevel="0" collapsed="false">
      <c r="B1239" s="7"/>
      <c r="C1239" s="7"/>
      <c r="D1239" s="7"/>
      <c r="E1239" s="7"/>
      <c r="F1239" s="8"/>
    </row>
    <row r="1240" customFormat="false" ht="15.75" hidden="false" customHeight="false" outlineLevel="0" collapsed="false">
      <c r="B1240" s="7"/>
      <c r="C1240" s="7"/>
      <c r="D1240" s="7"/>
      <c r="E1240" s="7"/>
      <c r="F1240" s="8"/>
    </row>
    <row r="1241" customFormat="false" ht="15.75" hidden="false" customHeight="false" outlineLevel="0" collapsed="false">
      <c r="B1241" s="7"/>
      <c r="C1241" s="7"/>
      <c r="D1241" s="7"/>
      <c r="E1241" s="7"/>
      <c r="F1241" s="8"/>
    </row>
    <row r="1242" customFormat="false" ht="15.75" hidden="false" customHeight="false" outlineLevel="0" collapsed="false">
      <c r="B1242" s="7"/>
      <c r="C1242" s="7"/>
      <c r="D1242" s="7"/>
      <c r="E1242" s="7"/>
      <c r="F1242" s="8"/>
    </row>
    <row r="1243" customFormat="false" ht="15.75" hidden="false" customHeight="false" outlineLevel="0" collapsed="false">
      <c r="B1243" s="7"/>
      <c r="C1243" s="7"/>
      <c r="D1243" s="7"/>
      <c r="E1243" s="7"/>
      <c r="F1243" s="8"/>
    </row>
    <row r="1244" customFormat="false" ht="15.75" hidden="false" customHeight="false" outlineLevel="0" collapsed="false">
      <c r="B1244" s="7"/>
      <c r="C1244" s="7"/>
      <c r="D1244" s="7"/>
      <c r="E1244" s="7"/>
      <c r="F1244" s="8"/>
    </row>
    <row r="1245" customFormat="false" ht="15.75" hidden="false" customHeight="false" outlineLevel="0" collapsed="false">
      <c r="B1245" s="7"/>
      <c r="C1245" s="7"/>
      <c r="D1245" s="7"/>
      <c r="E1245" s="7"/>
      <c r="F1245" s="8"/>
    </row>
    <row r="1246" customFormat="false" ht="15.75" hidden="false" customHeight="false" outlineLevel="0" collapsed="false">
      <c r="B1246" s="7"/>
      <c r="C1246" s="7"/>
      <c r="D1246" s="7"/>
      <c r="E1246" s="7"/>
      <c r="F1246" s="8"/>
    </row>
    <row r="1247" customFormat="false" ht="15.75" hidden="false" customHeight="false" outlineLevel="0" collapsed="false">
      <c r="B1247" s="7"/>
      <c r="C1247" s="7"/>
      <c r="D1247" s="7"/>
      <c r="E1247" s="7"/>
      <c r="F1247" s="8"/>
    </row>
    <row r="1248" customFormat="false" ht="15.75" hidden="false" customHeight="false" outlineLevel="0" collapsed="false">
      <c r="B1248" s="7"/>
      <c r="C1248" s="7"/>
      <c r="D1248" s="7"/>
      <c r="E1248" s="7"/>
      <c r="F1248" s="8"/>
    </row>
    <row r="1249" customFormat="false" ht="15.75" hidden="false" customHeight="false" outlineLevel="0" collapsed="false">
      <c r="B1249" s="7"/>
      <c r="C1249" s="7"/>
      <c r="D1249" s="7"/>
      <c r="E1249" s="7"/>
      <c r="F1249" s="8"/>
    </row>
    <row r="1250" customFormat="false" ht="15.75" hidden="false" customHeight="false" outlineLevel="0" collapsed="false">
      <c r="B1250" s="7"/>
      <c r="C1250" s="7"/>
      <c r="D1250" s="7"/>
      <c r="E1250" s="7"/>
      <c r="F1250" s="8"/>
    </row>
    <row r="1251" customFormat="false" ht="15.75" hidden="false" customHeight="false" outlineLevel="0" collapsed="false">
      <c r="B1251" s="7"/>
      <c r="C1251" s="7"/>
      <c r="D1251" s="7"/>
      <c r="E1251" s="7"/>
      <c r="F1251" s="8"/>
    </row>
    <row r="1252" customFormat="false" ht="15.75" hidden="false" customHeight="false" outlineLevel="0" collapsed="false">
      <c r="B1252" s="7"/>
      <c r="C1252" s="7"/>
      <c r="D1252" s="7"/>
      <c r="E1252" s="7"/>
      <c r="F1252" s="8"/>
    </row>
    <row r="1253" customFormat="false" ht="15.75" hidden="false" customHeight="false" outlineLevel="0" collapsed="false">
      <c r="B1253" s="7"/>
      <c r="C1253" s="7"/>
      <c r="D1253" s="7"/>
      <c r="E1253" s="7"/>
      <c r="F1253" s="8"/>
    </row>
    <row r="1254" customFormat="false" ht="15.75" hidden="false" customHeight="false" outlineLevel="0" collapsed="false">
      <c r="B1254" s="7"/>
      <c r="C1254" s="7"/>
      <c r="D1254" s="7"/>
      <c r="E1254" s="7"/>
      <c r="F1254" s="8"/>
    </row>
    <row r="1255" customFormat="false" ht="15.75" hidden="false" customHeight="false" outlineLevel="0" collapsed="false">
      <c r="B1255" s="7"/>
      <c r="C1255" s="7"/>
      <c r="D1255" s="7"/>
      <c r="E1255" s="7"/>
      <c r="F1255" s="8"/>
    </row>
    <row r="1256" customFormat="false" ht="15.75" hidden="false" customHeight="false" outlineLevel="0" collapsed="false">
      <c r="B1256" s="7"/>
      <c r="C1256" s="7"/>
      <c r="D1256" s="7"/>
      <c r="E1256" s="7"/>
      <c r="F1256" s="8"/>
    </row>
    <row r="1257" customFormat="false" ht="15.75" hidden="false" customHeight="false" outlineLevel="0" collapsed="false">
      <c r="B1257" s="7"/>
      <c r="C1257" s="7"/>
      <c r="D1257" s="7"/>
      <c r="E1257" s="7"/>
      <c r="F1257" s="8"/>
    </row>
    <row r="1258" customFormat="false" ht="15.75" hidden="false" customHeight="false" outlineLevel="0" collapsed="false">
      <c r="B1258" s="7"/>
      <c r="C1258" s="7"/>
      <c r="D1258" s="7"/>
      <c r="E1258" s="7"/>
      <c r="F1258" s="8"/>
    </row>
    <row r="1259" customFormat="false" ht="15.75" hidden="false" customHeight="false" outlineLevel="0" collapsed="false">
      <c r="B1259" s="7"/>
      <c r="C1259" s="7"/>
      <c r="D1259" s="7"/>
      <c r="E1259" s="7"/>
      <c r="F1259" s="8"/>
    </row>
    <row r="1260" customFormat="false" ht="15.75" hidden="false" customHeight="false" outlineLevel="0" collapsed="false">
      <c r="B1260" s="7"/>
      <c r="C1260" s="7"/>
      <c r="D1260" s="7"/>
      <c r="E1260" s="7"/>
      <c r="F1260" s="8"/>
    </row>
    <row r="1261" customFormat="false" ht="15.75" hidden="false" customHeight="false" outlineLevel="0" collapsed="false">
      <c r="B1261" s="7"/>
      <c r="C1261" s="7"/>
      <c r="D1261" s="7"/>
      <c r="E1261" s="7"/>
      <c r="F1261" s="8"/>
    </row>
    <row r="1262" customFormat="false" ht="15.75" hidden="false" customHeight="false" outlineLevel="0" collapsed="false">
      <c r="B1262" s="7"/>
      <c r="C1262" s="7"/>
      <c r="D1262" s="7"/>
      <c r="E1262" s="7"/>
      <c r="F1262" s="8"/>
    </row>
    <row r="1263" customFormat="false" ht="15.75" hidden="false" customHeight="false" outlineLevel="0" collapsed="false">
      <c r="B1263" s="7"/>
      <c r="C1263" s="7"/>
      <c r="D1263" s="7"/>
      <c r="E1263" s="7"/>
      <c r="F1263" s="8"/>
    </row>
    <row r="1264" customFormat="false" ht="15.75" hidden="false" customHeight="false" outlineLevel="0" collapsed="false">
      <c r="B1264" s="7"/>
      <c r="C1264" s="7"/>
      <c r="D1264" s="7"/>
      <c r="E1264" s="7"/>
      <c r="F1264" s="8"/>
    </row>
    <row r="1265" customFormat="false" ht="15.75" hidden="false" customHeight="false" outlineLevel="0" collapsed="false">
      <c r="B1265" s="7"/>
      <c r="C1265" s="7"/>
      <c r="D1265" s="7"/>
      <c r="E1265" s="7"/>
      <c r="F1265" s="8"/>
    </row>
    <row r="1266" customFormat="false" ht="15.75" hidden="false" customHeight="false" outlineLevel="0" collapsed="false">
      <c r="B1266" s="7"/>
      <c r="C1266" s="7"/>
      <c r="D1266" s="7"/>
      <c r="E1266" s="7"/>
      <c r="F1266" s="8"/>
    </row>
    <row r="1267" customFormat="false" ht="15.75" hidden="false" customHeight="false" outlineLevel="0" collapsed="false">
      <c r="B1267" s="7"/>
      <c r="C1267" s="7"/>
      <c r="D1267" s="7"/>
      <c r="E1267" s="7"/>
      <c r="F1267" s="8"/>
    </row>
    <row r="1268" customFormat="false" ht="15.75" hidden="false" customHeight="false" outlineLevel="0" collapsed="false">
      <c r="B1268" s="7"/>
      <c r="C1268" s="7"/>
      <c r="D1268" s="7"/>
      <c r="E1268" s="7"/>
      <c r="F1268" s="8"/>
    </row>
    <row r="1269" customFormat="false" ht="15.75" hidden="false" customHeight="false" outlineLevel="0" collapsed="false">
      <c r="B1269" s="7"/>
      <c r="C1269" s="7"/>
      <c r="D1269" s="7"/>
      <c r="E1269" s="7"/>
      <c r="F1269" s="8"/>
    </row>
    <row r="1270" customFormat="false" ht="15.75" hidden="false" customHeight="false" outlineLevel="0" collapsed="false">
      <c r="B1270" s="7"/>
      <c r="C1270" s="7"/>
      <c r="D1270" s="7"/>
      <c r="E1270" s="7"/>
      <c r="F1270" s="8"/>
    </row>
    <row r="1271" customFormat="false" ht="15.75" hidden="false" customHeight="false" outlineLevel="0" collapsed="false">
      <c r="B1271" s="7"/>
      <c r="C1271" s="7"/>
      <c r="D1271" s="7"/>
      <c r="E1271" s="7"/>
      <c r="F1271" s="8"/>
    </row>
    <row r="1272" customFormat="false" ht="15.75" hidden="false" customHeight="false" outlineLevel="0" collapsed="false">
      <c r="B1272" s="7"/>
      <c r="C1272" s="7"/>
      <c r="D1272" s="7"/>
      <c r="E1272" s="7"/>
      <c r="F1272" s="8"/>
    </row>
    <row r="1273" customFormat="false" ht="15.75" hidden="false" customHeight="false" outlineLevel="0" collapsed="false">
      <c r="B1273" s="7"/>
      <c r="C1273" s="7"/>
      <c r="D1273" s="7"/>
      <c r="E1273" s="7"/>
      <c r="F1273" s="8"/>
    </row>
    <row r="1274" customFormat="false" ht="15.75" hidden="false" customHeight="false" outlineLevel="0" collapsed="false">
      <c r="B1274" s="7"/>
      <c r="C1274" s="7"/>
      <c r="D1274" s="7"/>
      <c r="E1274" s="7"/>
      <c r="F1274" s="8"/>
    </row>
    <row r="1275" customFormat="false" ht="15.75" hidden="false" customHeight="false" outlineLevel="0" collapsed="false">
      <c r="B1275" s="7"/>
      <c r="C1275" s="7"/>
      <c r="D1275" s="7"/>
      <c r="E1275" s="7"/>
      <c r="F1275" s="8"/>
    </row>
    <row r="1276" customFormat="false" ht="15.75" hidden="false" customHeight="false" outlineLevel="0" collapsed="false">
      <c r="B1276" s="7"/>
      <c r="C1276" s="7"/>
      <c r="D1276" s="7"/>
      <c r="E1276" s="7"/>
      <c r="F1276" s="8"/>
    </row>
    <row r="1277" customFormat="false" ht="15.75" hidden="false" customHeight="false" outlineLevel="0" collapsed="false">
      <c r="B1277" s="7"/>
      <c r="C1277" s="7"/>
      <c r="D1277" s="7"/>
      <c r="E1277" s="7"/>
      <c r="F1277" s="8"/>
    </row>
    <row r="1278" customFormat="false" ht="15.75" hidden="false" customHeight="false" outlineLevel="0" collapsed="false">
      <c r="B1278" s="7"/>
      <c r="C1278" s="7"/>
      <c r="D1278" s="7"/>
      <c r="E1278" s="7"/>
      <c r="F1278" s="8"/>
    </row>
    <row r="1279" customFormat="false" ht="15.75" hidden="false" customHeight="false" outlineLevel="0" collapsed="false">
      <c r="B1279" s="7"/>
      <c r="C1279" s="7"/>
      <c r="D1279" s="7"/>
      <c r="E1279" s="7"/>
      <c r="F1279" s="8"/>
    </row>
    <row r="1280" customFormat="false" ht="15.75" hidden="false" customHeight="false" outlineLevel="0" collapsed="false">
      <c r="B1280" s="7"/>
      <c r="C1280" s="7"/>
      <c r="D1280" s="7"/>
      <c r="E1280" s="7"/>
      <c r="F1280" s="8"/>
    </row>
    <row r="1281" customFormat="false" ht="15.75" hidden="false" customHeight="false" outlineLevel="0" collapsed="false">
      <c r="B1281" s="7"/>
      <c r="C1281" s="7"/>
      <c r="D1281" s="7"/>
      <c r="E1281" s="7"/>
      <c r="F1281" s="8"/>
    </row>
    <row r="1282" customFormat="false" ht="15.75" hidden="false" customHeight="false" outlineLevel="0" collapsed="false">
      <c r="B1282" s="7"/>
      <c r="C1282" s="7"/>
      <c r="D1282" s="7"/>
      <c r="E1282" s="7"/>
      <c r="F1282" s="8"/>
    </row>
    <row r="1283" customFormat="false" ht="15.75" hidden="false" customHeight="false" outlineLevel="0" collapsed="false">
      <c r="B1283" s="7"/>
      <c r="C1283" s="7"/>
      <c r="D1283" s="7"/>
      <c r="E1283" s="7"/>
      <c r="F1283" s="8"/>
    </row>
    <row r="1284" customFormat="false" ht="15.75" hidden="false" customHeight="false" outlineLevel="0" collapsed="false">
      <c r="B1284" s="7"/>
      <c r="C1284" s="7"/>
      <c r="D1284" s="7"/>
      <c r="E1284" s="7"/>
      <c r="F1284" s="8"/>
    </row>
    <row r="1285" customFormat="false" ht="15.75" hidden="false" customHeight="false" outlineLevel="0" collapsed="false">
      <c r="B1285" s="7"/>
      <c r="C1285" s="7"/>
      <c r="D1285" s="7"/>
      <c r="E1285" s="7"/>
      <c r="F1285" s="8"/>
    </row>
    <row r="1286" customFormat="false" ht="15.75" hidden="false" customHeight="false" outlineLevel="0" collapsed="false">
      <c r="B1286" s="7"/>
      <c r="C1286" s="7"/>
      <c r="D1286" s="7"/>
      <c r="E1286" s="7"/>
      <c r="F1286" s="8"/>
    </row>
    <row r="1287" customFormat="false" ht="15.75" hidden="false" customHeight="false" outlineLevel="0" collapsed="false">
      <c r="B1287" s="7"/>
      <c r="C1287" s="7"/>
      <c r="D1287" s="7"/>
      <c r="E1287" s="7"/>
      <c r="F1287" s="8"/>
    </row>
    <row r="1288" customFormat="false" ht="15.75" hidden="false" customHeight="false" outlineLevel="0" collapsed="false">
      <c r="B1288" s="7"/>
      <c r="C1288" s="7"/>
      <c r="D1288" s="7"/>
      <c r="E1288" s="7"/>
      <c r="F1288" s="8"/>
    </row>
    <row r="1289" customFormat="false" ht="15.75" hidden="false" customHeight="false" outlineLevel="0" collapsed="false">
      <c r="B1289" s="7"/>
      <c r="C1289" s="7"/>
      <c r="D1289" s="7"/>
      <c r="E1289" s="7"/>
      <c r="F1289" s="8"/>
    </row>
    <row r="1290" customFormat="false" ht="15.75" hidden="false" customHeight="false" outlineLevel="0" collapsed="false">
      <c r="B1290" s="7"/>
      <c r="C1290" s="7"/>
      <c r="D1290" s="7"/>
      <c r="E1290" s="7"/>
      <c r="F1290" s="8"/>
    </row>
    <row r="1291" customFormat="false" ht="15.75" hidden="false" customHeight="false" outlineLevel="0" collapsed="false">
      <c r="B1291" s="7"/>
      <c r="C1291" s="7"/>
      <c r="D1291" s="7"/>
      <c r="E1291" s="7"/>
      <c r="F1291" s="8"/>
    </row>
    <row r="1292" customFormat="false" ht="15.75" hidden="false" customHeight="false" outlineLevel="0" collapsed="false">
      <c r="B1292" s="7"/>
      <c r="C1292" s="7"/>
      <c r="D1292" s="7"/>
      <c r="E1292" s="7"/>
      <c r="F1292" s="8"/>
    </row>
    <row r="1293" customFormat="false" ht="15.75" hidden="false" customHeight="false" outlineLevel="0" collapsed="false">
      <c r="B1293" s="7"/>
      <c r="C1293" s="7"/>
      <c r="D1293" s="7"/>
      <c r="E1293" s="7"/>
      <c r="F1293" s="8"/>
    </row>
    <row r="1294" customFormat="false" ht="15.75" hidden="false" customHeight="false" outlineLevel="0" collapsed="false">
      <c r="B1294" s="7"/>
      <c r="C1294" s="7"/>
      <c r="D1294" s="7"/>
      <c r="E1294" s="7"/>
      <c r="F1294" s="8"/>
    </row>
    <row r="1295" customFormat="false" ht="15.75" hidden="false" customHeight="false" outlineLevel="0" collapsed="false">
      <c r="B1295" s="7"/>
      <c r="C1295" s="7"/>
      <c r="D1295" s="7"/>
      <c r="E1295" s="7"/>
      <c r="F1295" s="8"/>
    </row>
    <row r="1296" customFormat="false" ht="15.75" hidden="false" customHeight="false" outlineLevel="0" collapsed="false">
      <c r="B1296" s="7"/>
      <c r="C1296" s="7"/>
      <c r="D1296" s="7"/>
      <c r="E1296" s="7"/>
      <c r="F1296" s="8"/>
    </row>
    <row r="1297" customFormat="false" ht="15.75" hidden="false" customHeight="false" outlineLevel="0" collapsed="false">
      <c r="B1297" s="7"/>
      <c r="C1297" s="7"/>
      <c r="D1297" s="7"/>
      <c r="E1297" s="7"/>
      <c r="F1297" s="8"/>
    </row>
    <row r="1298" customFormat="false" ht="15.75" hidden="false" customHeight="false" outlineLevel="0" collapsed="false">
      <c r="B1298" s="7"/>
      <c r="C1298" s="7"/>
      <c r="D1298" s="7"/>
      <c r="E1298" s="7"/>
      <c r="F1298" s="8"/>
    </row>
    <row r="1299" customFormat="false" ht="15.75" hidden="false" customHeight="false" outlineLevel="0" collapsed="false">
      <c r="B1299" s="7"/>
      <c r="C1299" s="7"/>
      <c r="D1299" s="7"/>
      <c r="E1299" s="7"/>
      <c r="F1299" s="8"/>
    </row>
    <row r="1300" customFormat="false" ht="15.75" hidden="false" customHeight="false" outlineLevel="0" collapsed="false">
      <c r="B1300" s="7"/>
      <c r="C1300" s="7"/>
      <c r="D1300" s="7"/>
      <c r="E1300" s="7"/>
      <c r="F1300" s="8"/>
    </row>
    <row r="1301" customFormat="false" ht="15.75" hidden="false" customHeight="false" outlineLevel="0" collapsed="false">
      <c r="B1301" s="7"/>
      <c r="C1301" s="7"/>
      <c r="D1301" s="7"/>
      <c r="E1301" s="7"/>
      <c r="F1301" s="8"/>
    </row>
    <row r="1302" customFormat="false" ht="15.75" hidden="false" customHeight="false" outlineLevel="0" collapsed="false">
      <c r="B1302" s="7"/>
      <c r="C1302" s="7"/>
      <c r="D1302" s="7"/>
      <c r="E1302" s="7"/>
      <c r="F1302" s="8"/>
    </row>
    <row r="1303" customFormat="false" ht="15.75" hidden="false" customHeight="false" outlineLevel="0" collapsed="false">
      <c r="B1303" s="7"/>
      <c r="C1303" s="7"/>
      <c r="D1303" s="7"/>
      <c r="E1303" s="7"/>
      <c r="F1303" s="8"/>
    </row>
    <row r="1304" customFormat="false" ht="15.75" hidden="false" customHeight="false" outlineLevel="0" collapsed="false">
      <c r="B1304" s="7"/>
      <c r="C1304" s="7"/>
      <c r="D1304" s="7"/>
      <c r="E1304" s="7"/>
      <c r="F1304" s="8"/>
    </row>
    <row r="1305" customFormat="false" ht="15.75" hidden="false" customHeight="false" outlineLevel="0" collapsed="false">
      <c r="B1305" s="7"/>
      <c r="C1305" s="7"/>
      <c r="D1305" s="7"/>
      <c r="E1305" s="7"/>
      <c r="F1305" s="8"/>
    </row>
    <row r="1306" customFormat="false" ht="15.75" hidden="false" customHeight="false" outlineLevel="0" collapsed="false">
      <c r="B1306" s="7"/>
      <c r="C1306" s="7"/>
      <c r="D1306" s="7"/>
      <c r="E1306" s="7"/>
      <c r="F1306" s="8"/>
    </row>
    <row r="1307" customFormat="false" ht="15.75" hidden="false" customHeight="false" outlineLevel="0" collapsed="false">
      <c r="B1307" s="7"/>
      <c r="C1307" s="7"/>
      <c r="D1307" s="7"/>
      <c r="E1307" s="7"/>
      <c r="F1307" s="8"/>
    </row>
    <row r="1308" customFormat="false" ht="15.75" hidden="false" customHeight="false" outlineLevel="0" collapsed="false">
      <c r="B1308" s="7"/>
      <c r="C1308" s="7"/>
      <c r="D1308" s="7"/>
      <c r="E1308" s="7"/>
      <c r="F1308" s="8"/>
    </row>
    <row r="1309" customFormat="false" ht="15.75" hidden="false" customHeight="false" outlineLevel="0" collapsed="false">
      <c r="B1309" s="7"/>
      <c r="C1309" s="7"/>
      <c r="D1309" s="7"/>
      <c r="E1309" s="7"/>
      <c r="F1309" s="8"/>
    </row>
    <row r="1310" customFormat="false" ht="15.75" hidden="false" customHeight="false" outlineLevel="0" collapsed="false">
      <c r="B1310" s="7"/>
      <c r="C1310" s="7"/>
      <c r="D1310" s="7"/>
      <c r="E1310" s="7"/>
      <c r="F1310" s="8"/>
    </row>
    <row r="1311" customFormat="false" ht="15.75" hidden="false" customHeight="false" outlineLevel="0" collapsed="false">
      <c r="B1311" s="7"/>
      <c r="C1311" s="7"/>
      <c r="D1311" s="7"/>
      <c r="E1311" s="7"/>
      <c r="F1311" s="8"/>
    </row>
    <row r="1312" customFormat="false" ht="15.75" hidden="false" customHeight="false" outlineLevel="0" collapsed="false">
      <c r="B1312" s="7"/>
      <c r="C1312" s="7"/>
      <c r="D1312" s="7"/>
      <c r="E1312" s="7"/>
      <c r="F1312" s="8"/>
    </row>
    <row r="1313" customFormat="false" ht="15.75" hidden="false" customHeight="false" outlineLevel="0" collapsed="false">
      <c r="B1313" s="7"/>
      <c r="C1313" s="7"/>
      <c r="D1313" s="7"/>
      <c r="E1313" s="7"/>
      <c r="F1313" s="8"/>
    </row>
    <row r="1314" customFormat="false" ht="15.75" hidden="false" customHeight="false" outlineLevel="0" collapsed="false">
      <c r="B1314" s="7"/>
      <c r="C1314" s="7"/>
      <c r="D1314" s="7"/>
      <c r="E1314" s="7"/>
      <c r="F1314" s="8"/>
    </row>
    <row r="1315" customFormat="false" ht="15.75" hidden="false" customHeight="false" outlineLevel="0" collapsed="false">
      <c r="B1315" s="7"/>
      <c r="C1315" s="7"/>
      <c r="D1315" s="7"/>
      <c r="E1315" s="7"/>
      <c r="F1315" s="8"/>
    </row>
    <row r="1316" customFormat="false" ht="15.75" hidden="false" customHeight="false" outlineLevel="0" collapsed="false">
      <c r="B1316" s="7"/>
      <c r="C1316" s="7"/>
      <c r="D1316" s="7"/>
      <c r="E1316" s="7"/>
      <c r="F1316" s="8"/>
    </row>
    <row r="1317" customFormat="false" ht="15.75" hidden="false" customHeight="false" outlineLevel="0" collapsed="false">
      <c r="B1317" s="7"/>
      <c r="C1317" s="7"/>
      <c r="D1317" s="7"/>
      <c r="E1317" s="7"/>
      <c r="F1317" s="8"/>
    </row>
    <row r="1318" customFormat="false" ht="15.75" hidden="false" customHeight="false" outlineLevel="0" collapsed="false">
      <c r="B1318" s="7"/>
      <c r="C1318" s="7"/>
      <c r="D1318" s="7"/>
      <c r="E1318" s="7"/>
      <c r="F1318" s="8"/>
    </row>
    <row r="1319" customFormat="false" ht="15.75" hidden="false" customHeight="false" outlineLevel="0" collapsed="false">
      <c r="B1319" s="7"/>
      <c r="C1319" s="7"/>
      <c r="D1319" s="7"/>
      <c r="E1319" s="7"/>
      <c r="F1319" s="8"/>
    </row>
    <row r="1320" customFormat="false" ht="15.75" hidden="false" customHeight="false" outlineLevel="0" collapsed="false">
      <c r="B1320" s="7"/>
      <c r="C1320" s="7"/>
      <c r="D1320" s="7"/>
      <c r="E1320" s="7"/>
      <c r="F1320" s="8"/>
    </row>
    <row r="1321" customFormat="false" ht="15.75" hidden="false" customHeight="false" outlineLevel="0" collapsed="false">
      <c r="B1321" s="7"/>
      <c r="C1321" s="7"/>
      <c r="D1321" s="7"/>
      <c r="E1321" s="7"/>
      <c r="F1321" s="8"/>
    </row>
    <row r="1322" customFormat="false" ht="15.75" hidden="false" customHeight="false" outlineLevel="0" collapsed="false">
      <c r="B1322" s="7"/>
      <c r="C1322" s="7"/>
      <c r="D1322" s="7"/>
      <c r="E1322" s="7"/>
      <c r="F1322" s="8"/>
    </row>
    <row r="1323" customFormat="false" ht="15.75" hidden="false" customHeight="false" outlineLevel="0" collapsed="false">
      <c r="B1323" s="7"/>
      <c r="C1323" s="7"/>
      <c r="D1323" s="7"/>
      <c r="E1323" s="7"/>
      <c r="F1323" s="8"/>
    </row>
    <row r="1324" customFormat="false" ht="15.75" hidden="false" customHeight="false" outlineLevel="0" collapsed="false">
      <c r="B1324" s="7"/>
      <c r="C1324" s="7"/>
      <c r="D1324" s="7"/>
      <c r="E1324" s="7"/>
      <c r="F1324" s="8"/>
    </row>
    <row r="1325" customFormat="false" ht="15.75" hidden="false" customHeight="false" outlineLevel="0" collapsed="false">
      <c r="B1325" s="7"/>
      <c r="C1325" s="7"/>
      <c r="D1325" s="7"/>
      <c r="E1325" s="7"/>
      <c r="F1325" s="8"/>
    </row>
    <row r="1326" customFormat="false" ht="15.75" hidden="false" customHeight="false" outlineLevel="0" collapsed="false">
      <c r="B1326" s="7"/>
      <c r="C1326" s="7"/>
      <c r="D1326" s="7"/>
      <c r="E1326" s="7"/>
      <c r="F1326" s="8"/>
    </row>
    <row r="1327" customFormat="false" ht="15.75" hidden="false" customHeight="false" outlineLevel="0" collapsed="false">
      <c r="B1327" s="7"/>
      <c r="C1327" s="7"/>
      <c r="D1327" s="7"/>
      <c r="E1327" s="7"/>
      <c r="F1327" s="8"/>
    </row>
    <row r="1328" customFormat="false" ht="15.75" hidden="false" customHeight="false" outlineLevel="0" collapsed="false">
      <c r="B1328" s="7"/>
      <c r="C1328" s="7"/>
      <c r="D1328" s="7"/>
      <c r="E1328" s="7"/>
      <c r="F1328" s="8"/>
    </row>
    <row r="1329" customFormat="false" ht="15.75" hidden="false" customHeight="false" outlineLevel="0" collapsed="false">
      <c r="B1329" s="7"/>
      <c r="C1329" s="7"/>
      <c r="D1329" s="7"/>
      <c r="E1329" s="7"/>
      <c r="F1329" s="8"/>
    </row>
    <row r="1330" customFormat="false" ht="15.75" hidden="false" customHeight="false" outlineLevel="0" collapsed="false">
      <c r="B1330" s="7"/>
      <c r="C1330" s="7"/>
      <c r="D1330" s="7"/>
      <c r="E1330" s="7"/>
      <c r="F1330" s="8"/>
    </row>
    <row r="1331" customFormat="false" ht="15.75" hidden="false" customHeight="false" outlineLevel="0" collapsed="false">
      <c r="B1331" s="7"/>
      <c r="C1331" s="7"/>
      <c r="D1331" s="7"/>
      <c r="E1331" s="7"/>
      <c r="F1331" s="8"/>
    </row>
    <row r="1332" customFormat="false" ht="15.75" hidden="false" customHeight="false" outlineLevel="0" collapsed="false">
      <c r="B1332" s="7"/>
      <c r="C1332" s="7"/>
      <c r="D1332" s="7"/>
      <c r="E1332" s="7"/>
      <c r="F1332" s="8"/>
    </row>
    <row r="1333" customFormat="false" ht="15.75" hidden="false" customHeight="false" outlineLevel="0" collapsed="false">
      <c r="B1333" s="7"/>
      <c r="C1333" s="7"/>
      <c r="D1333" s="7"/>
      <c r="E1333" s="7"/>
      <c r="F1333" s="8"/>
    </row>
    <row r="1334" customFormat="false" ht="15.75" hidden="false" customHeight="false" outlineLevel="0" collapsed="false">
      <c r="B1334" s="7"/>
      <c r="C1334" s="7"/>
      <c r="D1334" s="7"/>
      <c r="E1334" s="7"/>
      <c r="F1334" s="8"/>
    </row>
    <row r="1335" customFormat="false" ht="15.75" hidden="false" customHeight="false" outlineLevel="0" collapsed="false">
      <c r="B1335" s="7"/>
      <c r="C1335" s="7"/>
      <c r="D1335" s="7"/>
      <c r="E1335" s="7"/>
      <c r="F1335" s="8"/>
    </row>
    <row r="1336" customFormat="false" ht="15.75" hidden="false" customHeight="false" outlineLevel="0" collapsed="false">
      <c r="B1336" s="7"/>
      <c r="C1336" s="7"/>
      <c r="D1336" s="7"/>
      <c r="E1336" s="7"/>
      <c r="F1336" s="8"/>
    </row>
    <row r="1337" customFormat="false" ht="15.75" hidden="false" customHeight="false" outlineLevel="0" collapsed="false">
      <c r="B1337" s="7"/>
      <c r="C1337" s="7"/>
      <c r="D1337" s="7"/>
      <c r="E1337" s="7"/>
      <c r="F1337" s="8"/>
    </row>
    <row r="1338" customFormat="false" ht="15.75" hidden="false" customHeight="false" outlineLevel="0" collapsed="false">
      <c r="B1338" s="7"/>
      <c r="C1338" s="7"/>
      <c r="D1338" s="7"/>
      <c r="E1338" s="7"/>
      <c r="F1338" s="8"/>
    </row>
    <row r="1339" customFormat="false" ht="15.75" hidden="false" customHeight="false" outlineLevel="0" collapsed="false">
      <c r="B1339" s="7"/>
      <c r="C1339" s="7"/>
      <c r="D1339" s="7"/>
      <c r="E1339" s="7"/>
      <c r="F1339" s="8"/>
    </row>
    <row r="1340" customFormat="false" ht="15.75" hidden="false" customHeight="false" outlineLevel="0" collapsed="false">
      <c r="B1340" s="7"/>
      <c r="C1340" s="7"/>
      <c r="D1340" s="7"/>
      <c r="E1340" s="7"/>
      <c r="F1340" s="8"/>
    </row>
    <row r="1341" customFormat="false" ht="15.75" hidden="false" customHeight="false" outlineLevel="0" collapsed="false">
      <c r="B1341" s="7"/>
      <c r="C1341" s="7"/>
      <c r="D1341" s="7"/>
      <c r="E1341" s="7"/>
      <c r="F1341" s="8"/>
    </row>
    <row r="1342" customFormat="false" ht="15.75" hidden="false" customHeight="false" outlineLevel="0" collapsed="false">
      <c r="B1342" s="7"/>
      <c r="C1342" s="7"/>
      <c r="D1342" s="7"/>
      <c r="E1342" s="7"/>
      <c r="F1342" s="8"/>
    </row>
    <row r="1343" customFormat="false" ht="15.75" hidden="false" customHeight="false" outlineLevel="0" collapsed="false">
      <c r="B1343" s="7"/>
      <c r="C1343" s="7"/>
      <c r="D1343" s="7"/>
      <c r="E1343" s="7"/>
      <c r="F1343" s="8"/>
    </row>
    <row r="1344" customFormat="false" ht="15.75" hidden="false" customHeight="false" outlineLevel="0" collapsed="false">
      <c r="B1344" s="7"/>
      <c r="C1344" s="7"/>
      <c r="D1344" s="7"/>
      <c r="E1344" s="7"/>
      <c r="F1344" s="8"/>
    </row>
    <row r="1345" customFormat="false" ht="15.75" hidden="false" customHeight="false" outlineLevel="0" collapsed="false">
      <c r="B1345" s="7"/>
      <c r="C1345" s="7"/>
      <c r="D1345" s="7"/>
      <c r="E1345" s="7"/>
      <c r="F1345" s="8"/>
    </row>
    <row r="1346" customFormat="false" ht="15.75" hidden="false" customHeight="false" outlineLevel="0" collapsed="false">
      <c r="B1346" s="7"/>
      <c r="C1346" s="7"/>
      <c r="D1346" s="7"/>
      <c r="E1346" s="7"/>
      <c r="F1346" s="8"/>
    </row>
    <row r="1347" customFormat="false" ht="15.75" hidden="false" customHeight="false" outlineLevel="0" collapsed="false">
      <c r="B1347" s="7"/>
      <c r="C1347" s="7"/>
      <c r="D1347" s="7"/>
      <c r="E1347" s="7"/>
      <c r="F1347" s="8"/>
    </row>
    <row r="1348" customFormat="false" ht="15.75" hidden="false" customHeight="false" outlineLevel="0" collapsed="false">
      <c r="B1348" s="7"/>
      <c r="C1348" s="7"/>
      <c r="D1348" s="7"/>
      <c r="E1348" s="7"/>
      <c r="F1348" s="8"/>
    </row>
    <row r="1349" customFormat="false" ht="15.75" hidden="false" customHeight="false" outlineLevel="0" collapsed="false">
      <c r="B1349" s="7"/>
      <c r="C1349" s="7"/>
      <c r="D1349" s="7"/>
      <c r="E1349" s="7"/>
      <c r="F1349" s="8"/>
    </row>
    <row r="1350" customFormat="false" ht="15.75" hidden="false" customHeight="false" outlineLevel="0" collapsed="false">
      <c r="B1350" s="7"/>
      <c r="C1350" s="7"/>
      <c r="D1350" s="7"/>
      <c r="E1350" s="7"/>
      <c r="F1350" s="8"/>
    </row>
    <row r="1351" customFormat="false" ht="15.75" hidden="false" customHeight="false" outlineLevel="0" collapsed="false">
      <c r="B1351" s="7"/>
      <c r="C1351" s="7"/>
      <c r="D1351" s="7"/>
      <c r="E1351" s="7"/>
      <c r="F1351" s="8"/>
    </row>
    <row r="1352" customFormat="false" ht="15.75" hidden="false" customHeight="false" outlineLevel="0" collapsed="false">
      <c r="B1352" s="7"/>
      <c r="C1352" s="7"/>
      <c r="D1352" s="7"/>
      <c r="E1352" s="7"/>
      <c r="F1352" s="8"/>
    </row>
    <row r="1353" customFormat="false" ht="15.75" hidden="false" customHeight="false" outlineLevel="0" collapsed="false">
      <c r="B1353" s="7"/>
      <c r="C1353" s="7"/>
      <c r="D1353" s="7"/>
      <c r="E1353" s="7"/>
      <c r="F1353" s="8"/>
    </row>
    <row r="1354" customFormat="false" ht="15.75" hidden="false" customHeight="false" outlineLevel="0" collapsed="false">
      <c r="B1354" s="7"/>
      <c r="C1354" s="7"/>
      <c r="D1354" s="7"/>
      <c r="E1354" s="7"/>
      <c r="F1354" s="8"/>
    </row>
    <row r="1355" customFormat="false" ht="15.75" hidden="false" customHeight="false" outlineLevel="0" collapsed="false">
      <c r="B1355" s="7"/>
      <c r="C1355" s="7"/>
      <c r="D1355" s="7"/>
      <c r="E1355" s="7"/>
      <c r="F1355" s="8"/>
    </row>
    <row r="1356" customFormat="false" ht="15.75" hidden="false" customHeight="false" outlineLevel="0" collapsed="false">
      <c r="B1356" s="7"/>
      <c r="C1356" s="7"/>
      <c r="D1356" s="7"/>
      <c r="E1356" s="7"/>
      <c r="F1356" s="8"/>
    </row>
    <row r="1357" customFormat="false" ht="15.75" hidden="false" customHeight="false" outlineLevel="0" collapsed="false">
      <c r="B1357" s="7"/>
      <c r="C1357" s="7"/>
      <c r="D1357" s="7"/>
      <c r="E1357" s="7"/>
      <c r="F1357" s="8"/>
    </row>
    <row r="1358" customFormat="false" ht="15.75" hidden="false" customHeight="false" outlineLevel="0" collapsed="false">
      <c r="B1358" s="7"/>
      <c r="C1358" s="7"/>
      <c r="D1358" s="7"/>
      <c r="E1358" s="7"/>
      <c r="F1358" s="8"/>
    </row>
    <row r="1359" customFormat="false" ht="15.75" hidden="false" customHeight="false" outlineLevel="0" collapsed="false">
      <c r="B1359" s="7"/>
      <c r="C1359" s="7"/>
      <c r="D1359" s="7"/>
      <c r="E1359" s="7"/>
      <c r="F1359" s="8"/>
    </row>
    <row r="1360" customFormat="false" ht="15.75" hidden="false" customHeight="false" outlineLevel="0" collapsed="false">
      <c r="B1360" s="7"/>
      <c r="C1360" s="7"/>
      <c r="D1360" s="7"/>
      <c r="E1360" s="7"/>
      <c r="F1360" s="8"/>
    </row>
    <row r="1361" customFormat="false" ht="15.75" hidden="false" customHeight="false" outlineLevel="0" collapsed="false">
      <c r="B1361" s="7"/>
      <c r="C1361" s="7"/>
      <c r="D1361" s="7"/>
      <c r="E1361" s="7"/>
      <c r="F1361" s="8"/>
    </row>
    <row r="1362" customFormat="false" ht="15.75" hidden="false" customHeight="false" outlineLevel="0" collapsed="false">
      <c r="B1362" s="7"/>
      <c r="C1362" s="7"/>
      <c r="D1362" s="7"/>
      <c r="E1362" s="7"/>
      <c r="F1362" s="8"/>
    </row>
    <row r="1363" customFormat="false" ht="15.75" hidden="false" customHeight="false" outlineLevel="0" collapsed="false">
      <c r="B1363" s="7"/>
      <c r="C1363" s="7"/>
      <c r="D1363" s="7"/>
      <c r="E1363" s="7"/>
      <c r="F1363" s="8"/>
    </row>
    <row r="1364" customFormat="false" ht="15.75" hidden="false" customHeight="false" outlineLevel="0" collapsed="false">
      <c r="B1364" s="7"/>
      <c r="C1364" s="7"/>
      <c r="D1364" s="7"/>
      <c r="E1364" s="7"/>
      <c r="F1364" s="8"/>
    </row>
    <row r="1365" customFormat="false" ht="15.75" hidden="false" customHeight="false" outlineLevel="0" collapsed="false">
      <c r="B1365" s="7"/>
      <c r="C1365" s="7"/>
      <c r="D1365" s="7"/>
      <c r="E1365" s="7"/>
      <c r="F1365" s="8"/>
    </row>
    <row r="1366" customFormat="false" ht="15.75" hidden="false" customHeight="false" outlineLevel="0" collapsed="false">
      <c r="B1366" s="7"/>
      <c r="C1366" s="7"/>
      <c r="D1366" s="7"/>
      <c r="E1366" s="7"/>
      <c r="F1366" s="8"/>
    </row>
    <row r="1367" customFormat="false" ht="15.75" hidden="false" customHeight="false" outlineLevel="0" collapsed="false">
      <c r="B1367" s="7"/>
      <c r="C1367" s="7"/>
      <c r="D1367" s="7"/>
      <c r="E1367" s="7"/>
      <c r="F1367" s="8"/>
    </row>
    <row r="1368" customFormat="false" ht="15.75" hidden="false" customHeight="false" outlineLevel="0" collapsed="false">
      <c r="B1368" s="7"/>
      <c r="C1368" s="7"/>
      <c r="D1368" s="7"/>
      <c r="E1368" s="7"/>
      <c r="F1368" s="8"/>
    </row>
    <row r="1369" customFormat="false" ht="15.75" hidden="false" customHeight="false" outlineLevel="0" collapsed="false">
      <c r="B1369" s="7"/>
      <c r="C1369" s="7"/>
      <c r="D1369" s="7"/>
      <c r="E1369" s="7"/>
      <c r="F1369" s="8"/>
    </row>
    <row r="1370" customFormat="false" ht="15.75" hidden="false" customHeight="false" outlineLevel="0" collapsed="false">
      <c r="B1370" s="7"/>
      <c r="C1370" s="7"/>
      <c r="D1370" s="7"/>
      <c r="E1370" s="7"/>
      <c r="F1370" s="8"/>
    </row>
    <row r="1371" customFormat="false" ht="15.75" hidden="false" customHeight="false" outlineLevel="0" collapsed="false">
      <c r="B1371" s="7"/>
      <c r="C1371" s="7"/>
      <c r="D1371" s="7"/>
      <c r="E1371" s="7"/>
      <c r="F1371" s="8"/>
    </row>
    <row r="1372" customFormat="false" ht="15.75" hidden="false" customHeight="false" outlineLevel="0" collapsed="false">
      <c r="B1372" s="7"/>
      <c r="C1372" s="7"/>
      <c r="D1372" s="7"/>
      <c r="E1372" s="7"/>
      <c r="F1372" s="8"/>
    </row>
    <row r="1373" customFormat="false" ht="15.75" hidden="false" customHeight="false" outlineLevel="0" collapsed="false">
      <c r="B1373" s="7"/>
      <c r="C1373" s="7"/>
      <c r="D1373" s="7"/>
      <c r="E1373" s="7"/>
      <c r="F1373" s="8"/>
    </row>
    <row r="1374" customFormat="false" ht="15.75" hidden="false" customHeight="false" outlineLevel="0" collapsed="false">
      <c r="B1374" s="7"/>
      <c r="C1374" s="7"/>
      <c r="D1374" s="7"/>
      <c r="E1374" s="7"/>
      <c r="F1374" s="8"/>
    </row>
    <row r="1375" customFormat="false" ht="15.75" hidden="false" customHeight="false" outlineLevel="0" collapsed="false">
      <c r="B1375" s="7"/>
      <c r="C1375" s="7"/>
      <c r="D1375" s="7"/>
      <c r="E1375" s="7"/>
      <c r="F1375" s="8"/>
    </row>
    <row r="1376" customFormat="false" ht="15.75" hidden="false" customHeight="false" outlineLevel="0" collapsed="false">
      <c r="B1376" s="7"/>
      <c r="C1376" s="7"/>
      <c r="D1376" s="7"/>
      <c r="E1376" s="7"/>
      <c r="F1376" s="8"/>
    </row>
    <row r="1377" customFormat="false" ht="15.75" hidden="false" customHeight="false" outlineLevel="0" collapsed="false">
      <c r="B1377" s="7"/>
      <c r="C1377" s="7"/>
      <c r="D1377" s="7"/>
      <c r="E1377" s="7"/>
      <c r="F1377" s="8"/>
    </row>
    <row r="1378" customFormat="false" ht="15.75" hidden="false" customHeight="false" outlineLevel="0" collapsed="false">
      <c r="B1378" s="7"/>
      <c r="C1378" s="7"/>
      <c r="D1378" s="7"/>
      <c r="E1378" s="7"/>
      <c r="F1378" s="8"/>
    </row>
    <row r="1379" customFormat="false" ht="15.75" hidden="false" customHeight="false" outlineLevel="0" collapsed="false">
      <c r="B1379" s="7"/>
      <c r="C1379" s="7"/>
      <c r="D1379" s="7"/>
      <c r="E1379" s="7"/>
      <c r="F1379" s="8"/>
    </row>
    <row r="1380" customFormat="false" ht="15.75" hidden="false" customHeight="false" outlineLevel="0" collapsed="false">
      <c r="B1380" s="7"/>
      <c r="C1380" s="7"/>
      <c r="D1380" s="7"/>
      <c r="E1380" s="7"/>
      <c r="F1380" s="8"/>
    </row>
    <row r="1381" customFormat="false" ht="15.75" hidden="false" customHeight="false" outlineLevel="0" collapsed="false">
      <c r="B1381" s="7"/>
      <c r="C1381" s="7"/>
      <c r="D1381" s="7"/>
      <c r="E1381" s="7"/>
      <c r="F1381" s="8"/>
    </row>
    <row r="1382" customFormat="false" ht="15.75" hidden="false" customHeight="false" outlineLevel="0" collapsed="false">
      <c r="B1382" s="7"/>
      <c r="C1382" s="7"/>
      <c r="D1382" s="7"/>
      <c r="E1382" s="7"/>
      <c r="F1382" s="8"/>
    </row>
    <row r="1383" customFormat="false" ht="15.75" hidden="false" customHeight="false" outlineLevel="0" collapsed="false">
      <c r="B1383" s="7"/>
      <c r="C1383" s="7"/>
      <c r="D1383" s="7"/>
      <c r="E1383" s="7"/>
      <c r="F1383" s="8"/>
    </row>
    <row r="1384" customFormat="false" ht="15.75" hidden="false" customHeight="false" outlineLevel="0" collapsed="false">
      <c r="B1384" s="7"/>
      <c r="C1384" s="7"/>
      <c r="D1384" s="7"/>
      <c r="E1384" s="7"/>
      <c r="F1384" s="8"/>
    </row>
    <row r="1385" customFormat="false" ht="15.75" hidden="false" customHeight="false" outlineLevel="0" collapsed="false">
      <c r="B1385" s="7"/>
      <c r="C1385" s="7"/>
      <c r="D1385" s="7"/>
      <c r="E1385" s="7"/>
      <c r="F1385" s="8"/>
    </row>
    <row r="1386" customFormat="false" ht="15.75" hidden="false" customHeight="false" outlineLevel="0" collapsed="false">
      <c r="B1386" s="7"/>
      <c r="C1386" s="7"/>
      <c r="D1386" s="7"/>
      <c r="E1386" s="7"/>
      <c r="F1386" s="8"/>
    </row>
    <row r="1387" customFormat="false" ht="15.75" hidden="false" customHeight="false" outlineLevel="0" collapsed="false">
      <c r="B1387" s="7"/>
      <c r="C1387" s="7"/>
      <c r="D1387" s="7"/>
      <c r="E1387" s="7"/>
      <c r="F1387" s="8"/>
    </row>
    <row r="1388" customFormat="false" ht="15.75" hidden="false" customHeight="false" outlineLevel="0" collapsed="false">
      <c r="B1388" s="7"/>
      <c r="C1388" s="7"/>
      <c r="D1388" s="7"/>
      <c r="E1388" s="7"/>
      <c r="F1388" s="8"/>
    </row>
    <row r="1389" customFormat="false" ht="15.75" hidden="false" customHeight="false" outlineLevel="0" collapsed="false">
      <c r="B1389" s="7"/>
      <c r="C1389" s="7"/>
      <c r="D1389" s="7"/>
      <c r="E1389" s="7"/>
      <c r="F1389" s="8"/>
    </row>
    <row r="1390" customFormat="false" ht="15.75" hidden="false" customHeight="false" outlineLevel="0" collapsed="false">
      <c r="B1390" s="7"/>
      <c r="C1390" s="7"/>
      <c r="D1390" s="7"/>
      <c r="E1390" s="7"/>
      <c r="F1390" s="8"/>
    </row>
    <row r="1391" customFormat="false" ht="15.75" hidden="false" customHeight="false" outlineLevel="0" collapsed="false">
      <c r="B1391" s="7"/>
      <c r="C1391" s="7"/>
      <c r="D1391" s="7"/>
      <c r="E1391" s="7"/>
      <c r="F1391" s="8"/>
    </row>
    <row r="1392" customFormat="false" ht="15.75" hidden="false" customHeight="false" outlineLevel="0" collapsed="false">
      <c r="B1392" s="7"/>
      <c r="C1392" s="7"/>
      <c r="D1392" s="7"/>
      <c r="E1392" s="7"/>
      <c r="F1392" s="8"/>
    </row>
    <row r="1393" customFormat="false" ht="15.75" hidden="false" customHeight="false" outlineLevel="0" collapsed="false">
      <c r="B1393" s="7"/>
      <c r="C1393" s="7"/>
      <c r="D1393" s="7"/>
      <c r="E1393" s="7"/>
      <c r="F1393" s="8"/>
    </row>
    <row r="1394" customFormat="false" ht="15.75" hidden="false" customHeight="false" outlineLevel="0" collapsed="false">
      <c r="B1394" s="7"/>
      <c r="C1394" s="7"/>
      <c r="D1394" s="7"/>
      <c r="E1394" s="7"/>
      <c r="F1394" s="8"/>
    </row>
    <row r="1395" customFormat="false" ht="15.75" hidden="false" customHeight="false" outlineLevel="0" collapsed="false">
      <c r="B1395" s="7"/>
      <c r="C1395" s="7"/>
      <c r="D1395" s="7"/>
      <c r="E1395" s="7"/>
      <c r="F1395" s="8"/>
    </row>
    <row r="1396" customFormat="false" ht="15.75" hidden="false" customHeight="false" outlineLevel="0" collapsed="false">
      <c r="B1396" s="7"/>
      <c r="C1396" s="7"/>
      <c r="D1396" s="7"/>
      <c r="E1396" s="7"/>
      <c r="F1396" s="8"/>
    </row>
    <row r="1397" customFormat="false" ht="15.75" hidden="false" customHeight="false" outlineLevel="0" collapsed="false">
      <c r="B1397" s="7"/>
      <c r="C1397" s="7"/>
      <c r="D1397" s="7"/>
      <c r="E1397" s="7"/>
      <c r="F1397" s="8"/>
    </row>
    <row r="1398" customFormat="false" ht="15.75" hidden="false" customHeight="false" outlineLevel="0" collapsed="false">
      <c r="B1398" s="7"/>
      <c r="C1398" s="7"/>
      <c r="D1398" s="7"/>
      <c r="E1398" s="7"/>
      <c r="F1398" s="8"/>
    </row>
    <row r="1399" customFormat="false" ht="15.75" hidden="false" customHeight="false" outlineLevel="0" collapsed="false">
      <c r="B1399" s="7"/>
      <c r="C1399" s="7"/>
      <c r="D1399" s="7"/>
      <c r="E1399" s="7"/>
      <c r="F1399" s="8"/>
    </row>
    <row r="1400" customFormat="false" ht="15.75" hidden="false" customHeight="false" outlineLevel="0" collapsed="false">
      <c r="B1400" s="7"/>
      <c r="C1400" s="7"/>
      <c r="D1400" s="7"/>
      <c r="E1400" s="7"/>
      <c r="F1400" s="8"/>
    </row>
    <row r="1401" customFormat="false" ht="15.75" hidden="false" customHeight="false" outlineLevel="0" collapsed="false">
      <c r="B1401" s="7"/>
      <c r="C1401" s="7"/>
      <c r="D1401" s="7"/>
      <c r="E1401" s="7"/>
      <c r="F1401" s="8"/>
    </row>
    <row r="1402" customFormat="false" ht="15.75" hidden="false" customHeight="false" outlineLevel="0" collapsed="false">
      <c r="B1402" s="7"/>
      <c r="C1402" s="7"/>
      <c r="D1402" s="7"/>
      <c r="E1402" s="7"/>
      <c r="F1402" s="8"/>
    </row>
    <row r="1403" customFormat="false" ht="15.75" hidden="false" customHeight="false" outlineLevel="0" collapsed="false">
      <c r="B1403" s="7"/>
      <c r="C1403" s="7"/>
      <c r="D1403" s="7"/>
      <c r="E1403" s="7"/>
      <c r="F1403" s="8"/>
    </row>
    <row r="1404" customFormat="false" ht="15.75" hidden="false" customHeight="false" outlineLevel="0" collapsed="false">
      <c r="B1404" s="7"/>
      <c r="C1404" s="7"/>
      <c r="D1404" s="7"/>
      <c r="E1404" s="7"/>
      <c r="F1404" s="8"/>
    </row>
    <row r="1405" customFormat="false" ht="15.75" hidden="false" customHeight="false" outlineLevel="0" collapsed="false">
      <c r="B1405" s="7"/>
      <c r="C1405" s="7"/>
      <c r="D1405" s="7"/>
      <c r="E1405" s="7"/>
      <c r="F1405" s="8"/>
    </row>
    <row r="1406" customFormat="false" ht="15.75" hidden="false" customHeight="false" outlineLevel="0" collapsed="false">
      <c r="B1406" s="7"/>
      <c r="C1406" s="7"/>
      <c r="D1406" s="7"/>
      <c r="E1406" s="7"/>
      <c r="F1406" s="8"/>
    </row>
    <row r="1407" customFormat="false" ht="15.75" hidden="false" customHeight="false" outlineLevel="0" collapsed="false">
      <c r="B1407" s="7"/>
      <c r="C1407" s="7"/>
      <c r="D1407" s="7"/>
      <c r="E1407" s="7"/>
      <c r="F1407" s="8"/>
    </row>
    <row r="1408" customFormat="false" ht="15.75" hidden="false" customHeight="false" outlineLevel="0" collapsed="false">
      <c r="B1408" s="7"/>
      <c r="C1408" s="7"/>
      <c r="D1408" s="7"/>
      <c r="E1408" s="7"/>
      <c r="F1408" s="8"/>
    </row>
    <row r="1409" customFormat="false" ht="15.75" hidden="false" customHeight="false" outlineLevel="0" collapsed="false">
      <c r="B1409" s="7"/>
      <c r="C1409" s="7"/>
      <c r="D1409" s="7"/>
      <c r="E1409" s="7"/>
      <c r="F1409" s="8"/>
    </row>
    <row r="1410" customFormat="false" ht="15.75" hidden="false" customHeight="false" outlineLevel="0" collapsed="false">
      <c r="B1410" s="7"/>
      <c r="C1410" s="7"/>
      <c r="D1410" s="7"/>
      <c r="E1410" s="7"/>
      <c r="F1410" s="8"/>
    </row>
    <row r="1411" customFormat="false" ht="15.75" hidden="false" customHeight="false" outlineLevel="0" collapsed="false">
      <c r="B1411" s="7"/>
      <c r="C1411" s="7"/>
      <c r="D1411" s="7"/>
      <c r="E1411" s="7"/>
      <c r="F1411" s="8"/>
    </row>
    <row r="1412" customFormat="false" ht="15.75" hidden="false" customHeight="false" outlineLevel="0" collapsed="false">
      <c r="B1412" s="7"/>
      <c r="C1412" s="7"/>
      <c r="D1412" s="7"/>
      <c r="E1412" s="7"/>
      <c r="F1412" s="8"/>
    </row>
    <row r="1413" customFormat="false" ht="15.75" hidden="false" customHeight="false" outlineLevel="0" collapsed="false">
      <c r="B1413" s="7"/>
      <c r="C1413" s="7"/>
      <c r="D1413" s="7"/>
      <c r="E1413" s="7"/>
      <c r="F1413" s="8"/>
    </row>
    <row r="1414" customFormat="false" ht="15.75" hidden="false" customHeight="false" outlineLevel="0" collapsed="false">
      <c r="B1414" s="7"/>
      <c r="C1414" s="7"/>
      <c r="D1414" s="7"/>
      <c r="E1414" s="7"/>
      <c r="F1414" s="8"/>
    </row>
    <row r="1415" customFormat="false" ht="15.75" hidden="false" customHeight="false" outlineLevel="0" collapsed="false">
      <c r="B1415" s="7"/>
      <c r="C1415" s="7"/>
      <c r="D1415" s="7"/>
      <c r="E1415" s="7"/>
      <c r="F1415" s="8"/>
    </row>
    <row r="1416" customFormat="false" ht="15.75" hidden="false" customHeight="false" outlineLevel="0" collapsed="false">
      <c r="B1416" s="7"/>
      <c r="C1416" s="7"/>
      <c r="D1416" s="7"/>
      <c r="E1416" s="7"/>
      <c r="F1416" s="8"/>
    </row>
    <row r="1417" customFormat="false" ht="15.75" hidden="false" customHeight="false" outlineLevel="0" collapsed="false">
      <c r="B1417" s="7"/>
      <c r="C1417" s="7"/>
      <c r="D1417" s="7"/>
      <c r="E1417" s="7"/>
      <c r="F1417" s="8"/>
    </row>
    <row r="1418" customFormat="false" ht="15.75" hidden="false" customHeight="false" outlineLevel="0" collapsed="false">
      <c r="B1418" s="7"/>
      <c r="C1418" s="7"/>
      <c r="D1418" s="7"/>
      <c r="E1418" s="7"/>
      <c r="F1418" s="8"/>
    </row>
    <row r="1419" customFormat="false" ht="15.75" hidden="false" customHeight="false" outlineLevel="0" collapsed="false">
      <c r="B1419" s="7"/>
      <c r="C1419" s="7"/>
      <c r="D1419" s="7"/>
      <c r="E1419" s="7"/>
      <c r="F1419" s="8"/>
    </row>
    <row r="1420" customFormat="false" ht="15.75" hidden="false" customHeight="false" outlineLevel="0" collapsed="false">
      <c r="B1420" s="7"/>
      <c r="C1420" s="7"/>
      <c r="D1420" s="7"/>
      <c r="E1420" s="7"/>
      <c r="F1420" s="8"/>
    </row>
    <row r="1421" customFormat="false" ht="15.75" hidden="false" customHeight="false" outlineLevel="0" collapsed="false">
      <c r="B1421" s="7"/>
      <c r="C1421" s="7"/>
      <c r="D1421" s="7"/>
      <c r="E1421" s="7"/>
      <c r="F1421" s="8"/>
    </row>
    <row r="1422" customFormat="false" ht="15.75" hidden="false" customHeight="false" outlineLevel="0" collapsed="false">
      <c r="B1422" s="7"/>
      <c r="C1422" s="7"/>
      <c r="D1422" s="7"/>
      <c r="E1422" s="7"/>
      <c r="F1422" s="8"/>
    </row>
    <row r="1423" customFormat="false" ht="15.75" hidden="false" customHeight="false" outlineLevel="0" collapsed="false">
      <c r="B1423" s="7"/>
      <c r="C1423" s="7"/>
      <c r="D1423" s="7"/>
      <c r="E1423" s="7"/>
      <c r="F1423" s="8"/>
    </row>
    <row r="1424" customFormat="false" ht="15.75" hidden="false" customHeight="false" outlineLevel="0" collapsed="false">
      <c r="B1424" s="7"/>
      <c r="C1424" s="7"/>
      <c r="D1424" s="7"/>
      <c r="E1424" s="7"/>
      <c r="F1424" s="8"/>
    </row>
    <row r="1425" customFormat="false" ht="15.75" hidden="false" customHeight="false" outlineLevel="0" collapsed="false">
      <c r="B1425" s="7"/>
      <c r="C1425" s="7"/>
      <c r="D1425" s="7"/>
      <c r="E1425" s="7"/>
      <c r="F1425" s="8"/>
    </row>
    <row r="1426" customFormat="false" ht="15.75" hidden="false" customHeight="false" outlineLevel="0" collapsed="false">
      <c r="B1426" s="7"/>
      <c r="C1426" s="7"/>
      <c r="D1426" s="7"/>
      <c r="E1426" s="7"/>
      <c r="F1426" s="8"/>
    </row>
    <row r="1427" customFormat="false" ht="15.75" hidden="false" customHeight="false" outlineLevel="0" collapsed="false">
      <c r="B1427" s="7"/>
      <c r="C1427" s="7"/>
      <c r="D1427" s="7"/>
      <c r="E1427" s="7"/>
      <c r="F1427" s="8"/>
    </row>
    <row r="1428" customFormat="false" ht="15.75" hidden="false" customHeight="false" outlineLevel="0" collapsed="false">
      <c r="B1428" s="7"/>
      <c r="C1428" s="7"/>
      <c r="D1428" s="7"/>
      <c r="E1428" s="7"/>
      <c r="F1428" s="8"/>
    </row>
    <row r="1429" customFormat="false" ht="15.75" hidden="false" customHeight="false" outlineLevel="0" collapsed="false">
      <c r="B1429" s="7"/>
      <c r="C1429" s="7"/>
      <c r="D1429" s="7"/>
      <c r="E1429" s="7"/>
      <c r="F1429" s="8"/>
    </row>
    <row r="1430" customFormat="false" ht="15.75" hidden="false" customHeight="false" outlineLevel="0" collapsed="false">
      <c r="B1430" s="7"/>
      <c r="C1430" s="7"/>
      <c r="D1430" s="7"/>
      <c r="E1430" s="7"/>
      <c r="F1430" s="8"/>
    </row>
    <row r="1431" customFormat="false" ht="15.75" hidden="false" customHeight="false" outlineLevel="0" collapsed="false">
      <c r="B1431" s="7"/>
      <c r="C1431" s="7"/>
      <c r="D1431" s="7"/>
      <c r="E1431" s="7"/>
      <c r="F1431" s="8"/>
    </row>
    <row r="1432" customFormat="false" ht="15.75" hidden="false" customHeight="false" outlineLevel="0" collapsed="false">
      <c r="B1432" s="7"/>
      <c r="C1432" s="7"/>
      <c r="D1432" s="7"/>
      <c r="E1432" s="7"/>
      <c r="F1432" s="8"/>
    </row>
    <row r="1433" customFormat="false" ht="15.75" hidden="false" customHeight="false" outlineLevel="0" collapsed="false">
      <c r="B1433" s="7"/>
      <c r="C1433" s="7"/>
      <c r="D1433" s="7"/>
      <c r="E1433" s="7"/>
      <c r="F1433" s="8"/>
    </row>
    <row r="1434" customFormat="false" ht="15.75" hidden="false" customHeight="false" outlineLevel="0" collapsed="false">
      <c r="B1434" s="7"/>
      <c r="C1434" s="7"/>
      <c r="D1434" s="7"/>
      <c r="E1434" s="7"/>
      <c r="F1434" s="8"/>
    </row>
    <row r="1435" customFormat="false" ht="15.75" hidden="false" customHeight="false" outlineLevel="0" collapsed="false">
      <c r="B1435" s="7"/>
      <c r="C1435" s="7"/>
      <c r="D1435" s="7"/>
      <c r="E1435" s="7"/>
      <c r="F1435" s="8"/>
    </row>
    <row r="1436" customFormat="false" ht="15.75" hidden="false" customHeight="false" outlineLevel="0" collapsed="false">
      <c r="B1436" s="7"/>
      <c r="C1436" s="7"/>
      <c r="D1436" s="7"/>
      <c r="E1436" s="7"/>
      <c r="F1436" s="8"/>
    </row>
    <row r="1437" customFormat="false" ht="15.75" hidden="false" customHeight="false" outlineLevel="0" collapsed="false">
      <c r="B1437" s="7"/>
      <c r="C1437" s="7"/>
      <c r="D1437" s="7"/>
      <c r="E1437" s="7"/>
      <c r="F1437" s="8"/>
    </row>
    <row r="1438" customFormat="false" ht="15.75" hidden="false" customHeight="false" outlineLevel="0" collapsed="false">
      <c r="B1438" s="7"/>
      <c r="C1438" s="7"/>
      <c r="D1438" s="7"/>
      <c r="E1438" s="7"/>
      <c r="F1438" s="8"/>
    </row>
    <row r="1439" customFormat="false" ht="15.75" hidden="false" customHeight="false" outlineLevel="0" collapsed="false">
      <c r="B1439" s="7"/>
      <c r="C1439" s="7"/>
      <c r="D1439" s="7"/>
      <c r="E1439" s="7"/>
      <c r="F1439" s="8"/>
    </row>
    <row r="1440" customFormat="false" ht="15.75" hidden="false" customHeight="false" outlineLevel="0" collapsed="false">
      <c r="B1440" s="7"/>
      <c r="C1440" s="7"/>
      <c r="D1440" s="7"/>
      <c r="E1440" s="7"/>
      <c r="F1440" s="8"/>
    </row>
    <row r="1441" customFormat="false" ht="15.75" hidden="false" customHeight="false" outlineLevel="0" collapsed="false">
      <c r="B1441" s="7"/>
      <c r="C1441" s="7"/>
      <c r="D1441" s="7"/>
      <c r="E1441" s="7"/>
      <c r="F1441" s="8"/>
    </row>
    <row r="1442" customFormat="false" ht="15.75" hidden="false" customHeight="false" outlineLevel="0" collapsed="false">
      <c r="B1442" s="7"/>
      <c r="C1442" s="7"/>
      <c r="D1442" s="7"/>
      <c r="E1442" s="7"/>
      <c r="F1442" s="8"/>
    </row>
    <row r="1443" customFormat="false" ht="15.75" hidden="false" customHeight="false" outlineLevel="0" collapsed="false">
      <c r="B1443" s="7"/>
      <c r="C1443" s="7"/>
      <c r="D1443" s="7"/>
      <c r="E1443" s="7"/>
      <c r="F1443" s="8"/>
    </row>
    <row r="1444" customFormat="false" ht="15.75" hidden="false" customHeight="false" outlineLevel="0" collapsed="false">
      <c r="B1444" s="7"/>
      <c r="C1444" s="7"/>
      <c r="D1444" s="7"/>
      <c r="E1444" s="7"/>
      <c r="F1444" s="8"/>
    </row>
    <row r="1445" customFormat="false" ht="15.75" hidden="false" customHeight="false" outlineLevel="0" collapsed="false">
      <c r="B1445" s="7"/>
      <c r="C1445" s="7"/>
      <c r="D1445" s="7"/>
      <c r="E1445" s="7"/>
      <c r="F1445" s="8"/>
    </row>
    <row r="1446" customFormat="false" ht="15.75" hidden="false" customHeight="false" outlineLevel="0" collapsed="false">
      <c r="B1446" s="7"/>
      <c r="C1446" s="7"/>
      <c r="D1446" s="7"/>
      <c r="E1446" s="7"/>
      <c r="F1446" s="8"/>
    </row>
    <row r="1447" customFormat="false" ht="15.75" hidden="false" customHeight="false" outlineLevel="0" collapsed="false">
      <c r="B1447" s="7"/>
      <c r="C1447" s="7"/>
      <c r="D1447" s="7"/>
      <c r="E1447" s="7"/>
      <c r="F1447" s="8"/>
    </row>
    <row r="1448" customFormat="false" ht="15.75" hidden="false" customHeight="false" outlineLevel="0" collapsed="false">
      <c r="B1448" s="7"/>
      <c r="C1448" s="7"/>
      <c r="D1448" s="7"/>
      <c r="E1448" s="7"/>
      <c r="F1448" s="8"/>
    </row>
    <row r="1449" customFormat="false" ht="15.75" hidden="false" customHeight="false" outlineLevel="0" collapsed="false">
      <c r="B1449" s="7"/>
      <c r="C1449" s="7"/>
      <c r="D1449" s="7"/>
      <c r="E1449" s="7"/>
      <c r="F1449" s="8"/>
    </row>
    <row r="1450" customFormat="false" ht="15.75" hidden="false" customHeight="false" outlineLevel="0" collapsed="false">
      <c r="B1450" s="7"/>
      <c r="C1450" s="7"/>
      <c r="D1450" s="7"/>
      <c r="E1450" s="7"/>
      <c r="F1450" s="8"/>
    </row>
    <row r="1451" customFormat="false" ht="15.75" hidden="false" customHeight="false" outlineLevel="0" collapsed="false">
      <c r="B1451" s="7"/>
      <c r="C1451" s="7"/>
      <c r="D1451" s="7"/>
      <c r="E1451" s="7"/>
      <c r="F1451" s="8"/>
    </row>
    <row r="1452" customFormat="false" ht="15.75" hidden="false" customHeight="false" outlineLevel="0" collapsed="false">
      <c r="B1452" s="7"/>
      <c r="C1452" s="7"/>
      <c r="D1452" s="7"/>
      <c r="E1452" s="7"/>
      <c r="F1452" s="8"/>
    </row>
    <row r="1453" customFormat="false" ht="15.75" hidden="false" customHeight="false" outlineLevel="0" collapsed="false">
      <c r="B1453" s="7"/>
      <c r="C1453" s="7"/>
      <c r="D1453" s="7"/>
      <c r="E1453" s="7"/>
      <c r="F1453" s="8"/>
    </row>
    <row r="1454" customFormat="false" ht="15.75" hidden="false" customHeight="false" outlineLevel="0" collapsed="false">
      <c r="B1454" s="7"/>
      <c r="C1454" s="7"/>
      <c r="D1454" s="7"/>
      <c r="E1454" s="7"/>
      <c r="F1454" s="8"/>
    </row>
    <row r="1455" customFormat="false" ht="15.75" hidden="false" customHeight="false" outlineLevel="0" collapsed="false">
      <c r="B1455" s="7"/>
      <c r="C1455" s="7"/>
      <c r="D1455" s="7"/>
      <c r="E1455" s="7"/>
      <c r="F1455" s="8"/>
    </row>
    <row r="1456" customFormat="false" ht="15.75" hidden="false" customHeight="false" outlineLevel="0" collapsed="false">
      <c r="B1456" s="7"/>
      <c r="C1456" s="7"/>
      <c r="D1456" s="7"/>
      <c r="E1456" s="7"/>
      <c r="F1456" s="8"/>
    </row>
    <row r="1457" customFormat="false" ht="15.75" hidden="false" customHeight="false" outlineLevel="0" collapsed="false">
      <c r="B1457" s="7"/>
      <c r="C1457" s="7"/>
      <c r="D1457" s="7"/>
      <c r="E1457" s="7"/>
      <c r="F1457" s="8"/>
    </row>
    <row r="1458" customFormat="false" ht="15.75" hidden="false" customHeight="false" outlineLevel="0" collapsed="false">
      <c r="B1458" s="7"/>
      <c r="C1458" s="7"/>
      <c r="D1458" s="7"/>
      <c r="E1458" s="7"/>
      <c r="F1458" s="8"/>
    </row>
    <row r="1459" customFormat="false" ht="15.75" hidden="false" customHeight="false" outlineLevel="0" collapsed="false">
      <c r="B1459" s="7"/>
      <c r="C1459" s="7"/>
      <c r="D1459" s="7"/>
      <c r="E1459" s="7"/>
      <c r="F1459" s="8"/>
    </row>
    <row r="1460" customFormat="false" ht="15.75" hidden="false" customHeight="false" outlineLevel="0" collapsed="false">
      <c r="B1460" s="7"/>
      <c r="C1460" s="7"/>
      <c r="D1460" s="7"/>
      <c r="E1460" s="7"/>
      <c r="F1460" s="8"/>
    </row>
    <row r="1461" customFormat="false" ht="15.75" hidden="false" customHeight="false" outlineLevel="0" collapsed="false">
      <c r="B1461" s="7"/>
      <c r="C1461" s="7"/>
      <c r="D1461" s="7"/>
      <c r="E1461" s="7"/>
      <c r="F1461" s="8"/>
    </row>
    <row r="1462" customFormat="false" ht="15.75" hidden="false" customHeight="false" outlineLevel="0" collapsed="false">
      <c r="B1462" s="7"/>
      <c r="C1462" s="7"/>
      <c r="D1462" s="7"/>
      <c r="E1462" s="7"/>
      <c r="F1462" s="8"/>
    </row>
    <row r="1463" customFormat="false" ht="15.75" hidden="false" customHeight="false" outlineLevel="0" collapsed="false">
      <c r="B1463" s="7"/>
      <c r="C1463" s="7"/>
      <c r="D1463" s="7"/>
      <c r="E1463" s="7"/>
      <c r="F1463" s="8"/>
    </row>
    <row r="1464" customFormat="false" ht="15.75" hidden="false" customHeight="false" outlineLevel="0" collapsed="false">
      <c r="B1464" s="7"/>
      <c r="C1464" s="7"/>
      <c r="D1464" s="7"/>
      <c r="E1464" s="7"/>
      <c r="F1464" s="8"/>
    </row>
    <row r="1465" customFormat="false" ht="15.75" hidden="false" customHeight="false" outlineLevel="0" collapsed="false">
      <c r="B1465" s="7"/>
      <c r="C1465" s="7"/>
      <c r="D1465" s="7"/>
      <c r="E1465" s="7"/>
      <c r="F1465" s="8"/>
    </row>
    <row r="1466" customFormat="false" ht="15.75" hidden="false" customHeight="false" outlineLevel="0" collapsed="false">
      <c r="B1466" s="7"/>
      <c r="C1466" s="7"/>
      <c r="D1466" s="7"/>
      <c r="E1466" s="7"/>
      <c r="F1466" s="8"/>
    </row>
    <row r="1467" customFormat="false" ht="15.75" hidden="false" customHeight="false" outlineLevel="0" collapsed="false">
      <c r="B1467" s="7"/>
      <c r="C1467" s="7"/>
      <c r="D1467" s="7"/>
      <c r="E1467" s="7"/>
      <c r="F1467" s="8"/>
    </row>
    <row r="1468" customFormat="false" ht="15.75" hidden="false" customHeight="false" outlineLevel="0" collapsed="false">
      <c r="B1468" s="7"/>
      <c r="C1468" s="7"/>
      <c r="D1468" s="7"/>
      <c r="E1468" s="7"/>
      <c r="F1468" s="8"/>
    </row>
    <row r="1469" customFormat="false" ht="15.75" hidden="false" customHeight="false" outlineLevel="0" collapsed="false">
      <c r="B1469" s="7"/>
      <c r="C1469" s="7"/>
      <c r="D1469" s="7"/>
      <c r="E1469" s="7"/>
      <c r="F1469" s="8"/>
    </row>
    <row r="1470" customFormat="false" ht="15.75" hidden="false" customHeight="false" outlineLevel="0" collapsed="false">
      <c r="B1470" s="7"/>
      <c r="C1470" s="7"/>
      <c r="D1470" s="7"/>
      <c r="E1470" s="7"/>
      <c r="F1470" s="8"/>
    </row>
    <row r="1471" customFormat="false" ht="15.75" hidden="false" customHeight="false" outlineLevel="0" collapsed="false">
      <c r="B1471" s="7"/>
      <c r="C1471" s="7"/>
      <c r="D1471" s="7"/>
      <c r="E1471" s="7"/>
      <c r="F1471" s="8"/>
    </row>
    <row r="1472" customFormat="false" ht="15.75" hidden="false" customHeight="false" outlineLevel="0" collapsed="false">
      <c r="B1472" s="7"/>
      <c r="C1472" s="7"/>
      <c r="D1472" s="7"/>
      <c r="E1472" s="7"/>
      <c r="F1472" s="8"/>
    </row>
    <row r="1473" customFormat="false" ht="15.75" hidden="false" customHeight="false" outlineLevel="0" collapsed="false">
      <c r="B1473" s="7"/>
      <c r="C1473" s="7"/>
      <c r="D1473" s="7"/>
      <c r="E1473" s="7"/>
      <c r="F1473" s="8"/>
    </row>
    <row r="1474" customFormat="false" ht="15.75" hidden="false" customHeight="false" outlineLevel="0" collapsed="false">
      <c r="B1474" s="7"/>
      <c r="C1474" s="7"/>
      <c r="D1474" s="7"/>
      <c r="E1474" s="7"/>
      <c r="F1474" s="8"/>
    </row>
    <row r="1475" customFormat="false" ht="15.75" hidden="false" customHeight="false" outlineLevel="0" collapsed="false">
      <c r="B1475" s="7"/>
      <c r="C1475" s="7"/>
      <c r="D1475" s="7"/>
      <c r="E1475" s="7"/>
      <c r="F1475" s="8"/>
    </row>
    <row r="1476" customFormat="false" ht="15.75" hidden="false" customHeight="false" outlineLevel="0" collapsed="false">
      <c r="B1476" s="7"/>
      <c r="C1476" s="7"/>
      <c r="D1476" s="7"/>
      <c r="E1476" s="7"/>
      <c r="F1476" s="8"/>
    </row>
    <row r="1477" customFormat="false" ht="15.75" hidden="false" customHeight="false" outlineLevel="0" collapsed="false">
      <c r="B1477" s="7"/>
      <c r="C1477" s="7"/>
      <c r="D1477" s="7"/>
      <c r="E1477" s="7"/>
      <c r="F1477" s="8"/>
    </row>
    <row r="1478" customFormat="false" ht="15.75" hidden="false" customHeight="false" outlineLevel="0" collapsed="false">
      <c r="B1478" s="7"/>
      <c r="C1478" s="7"/>
      <c r="D1478" s="7"/>
      <c r="E1478" s="7"/>
      <c r="F1478" s="8"/>
    </row>
    <row r="1479" customFormat="false" ht="15.75" hidden="false" customHeight="false" outlineLevel="0" collapsed="false">
      <c r="B1479" s="7"/>
      <c r="C1479" s="7"/>
      <c r="D1479" s="7"/>
      <c r="E1479" s="7"/>
      <c r="F1479" s="8"/>
    </row>
    <row r="1480" customFormat="false" ht="15.75" hidden="false" customHeight="false" outlineLevel="0" collapsed="false">
      <c r="B1480" s="7"/>
      <c r="C1480" s="7"/>
      <c r="D1480" s="7"/>
      <c r="E1480" s="7"/>
      <c r="F1480" s="8"/>
    </row>
    <row r="1481" customFormat="false" ht="15.75" hidden="false" customHeight="false" outlineLevel="0" collapsed="false">
      <c r="B1481" s="7"/>
      <c r="C1481" s="7"/>
      <c r="D1481" s="7"/>
      <c r="E1481" s="7"/>
      <c r="F1481" s="8"/>
    </row>
    <row r="1482" customFormat="false" ht="15.75" hidden="false" customHeight="false" outlineLevel="0" collapsed="false">
      <c r="B1482" s="7"/>
      <c r="C1482" s="7"/>
      <c r="D1482" s="7"/>
      <c r="E1482" s="7"/>
      <c r="F1482" s="8"/>
    </row>
    <row r="1483" customFormat="false" ht="15.75" hidden="false" customHeight="false" outlineLevel="0" collapsed="false">
      <c r="B1483" s="7"/>
      <c r="C1483" s="7"/>
      <c r="D1483" s="7"/>
      <c r="E1483" s="7"/>
      <c r="F1483" s="8"/>
    </row>
    <row r="1484" customFormat="false" ht="15.75" hidden="false" customHeight="false" outlineLevel="0" collapsed="false">
      <c r="B1484" s="7"/>
      <c r="C1484" s="7"/>
      <c r="D1484" s="7"/>
      <c r="E1484" s="7"/>
      <c r="F1484" s="8"/>
    </row>
    <row r="1485" customFormat="false" ht="15.75" hidden="false" customHeight="false" outlineLevel="0" collapsed="false">
      <c r="B1485" s="7"/>
      <c r="C1485" s="7"/>
      <c r="D1485" s="7"/>
      <c r="E1485" s="7"/>
      <c r="F1485" s="8"/>
    </row>
    <row r="1486" customFormat="false" ht="15.75" hidden="false" customHeight="false" outlineLevel="0" collapsed="false">
      <c r="B1486" s="7"/>
      <c r="C1486" s="7"/>
      <c r="D1486" s="7"/>
      <c r="E1486" s="7"/>
      <c r="F1486" s="8"/>
    </row>
    <row r="1487" customFormat="false" ht="15.75" hidden="false" customHeight="false" outlineLevel="0" collapsed="false">
      <c r="B1487" s="7"/>
      <c r="C1487" s="7"/>
      <c r="D1487" s="7"/>
      <c r="E1487" s="7"/>
      <c r="F1487" s="8"/>
    </row>
    <row r="1488" customFormat="false" ht="15.75" hidden="false" customHeight="false" outlineLevel="0" collapsed="false">
      <c r="B1488" s="7"/>
      <c r="C1488" s="7"/>
      <c r="D1488" s="7"/>
      <c r="E1488" s="7"/>
      <c r="F1488" s="8"/>
    </row>
    <row r="1489" customFormat="false" ht="15.75" hidden="false" customHeight="false" outlineLevel="0" collapsed="false">
      <c r="B1489" s="7"/>
      <c r="C1489" s="7"/>
      <c r="D1489" s="7"/>
      <c r="E1489" s="7"/>
      <c r="F1489" s="8"/>
    </row>
    <row r="1490" customFormat="false" ht="15.75" hidden="false" customHeight="false" outlineLevel="0" collapsed="false">
      <c r="B1490" s="7"/>
      <c r="C1490" s="7"/>
      <c r="D1490" s="7"/>
      <c r="E1490" s="7"/>
      <c r="F1490" s="8"/>
    </row>
    <row r="1491" customFormat="false" ht="15.75" hidden="false" customHeight="false" outlineLevel="0" collapsed="false">
      <c r="B1491" s="7"/>
      <c r="C1491" s="7"/>
      <c r="D1491" s="7"/>
      <c r="E1491" s="7"/>
      <c r="F1491" s="8"/>
    </row>
    <row r="1492" customFormat="false" ht="15.75" hidden="false" customHeight="false" outlineLevel="0" collapsed="false">
      <c r="B1492" s="7"/>
      <c r="C1492" s="7"/>
      <c r="D1492" s="7"/>
      <c r="E1492" s="7"/>
      <c r="F1492" s="8"/>
    </row>
    <row r="1493" customFormat="false" ht="15.75" hidden="false" customHeight="false" outlineLevel="0" collapsed="false">
      <c r="B1493" s="7"/>
      <c r="C1493" s="7"/>
      <c r="D1493" s="7"/>
      <c r="E1493" s="7"/>
      <c r="F1493" s="8"/>
    </row>
    <row r="1494" customFormat="false" ht="15.75" hidden="false" customHeight="false" outlineLevel="0" collapsed="false">
      <c r="B1494" s="7"/>
      <c r="C1494" s="7"/>
      <c r="D1494" s="7"/>
      <c r="E1494" s="7"/>
      <c r="F1494" s="8"/>
    </row>
    <row r="1495" customFormat="false" ht="15.75" hidden="false" customHeight="false" outlineLevel="0" collapsed="false">
      <c r="B1495" s="7"/>
      <c r="C1495" s="7"/>
      <c r="D1495" s="7"/>
      <c r="E1495" s="7"/>
      <c r="F1495" s="8"/>
    </row>
    <row r="1496" customFormat="false" ht="15.75" hidden="false" customHeight="false" outlineLevel="0" collapsed="false">
      <c r="B1496" s="7"/>
      <c r="C1496" s="7"/>
      <c r="D1496" s="7"/>
      <c r="E1496" s="7"/>
      <c r="F1496" s="8"/>
    </row>
    <row r="1497" customFormat="false" ht="15.75" hidden="false" customHeight="false" outlineLevel="0" collapsed="false">
      <c r="B1497" s="7"/>
      <c r="C1497" s="7"/>
      <c r="D1497" s="7"/>
      <c r="E1497" s="7"/>
      <c r="F1497" s="8"/>
    </row>
    <row r="1498" customFormat="false" ht="15.75" hidden="false" customHeight="false" outlineLevel="0" collapsed="false">
      <c r="B1498" s="7"/>
      <c r="C1498" s="7"/>
      <c r="D1498" s="7"/>
      <c r="E1498" s="7"/>
      <c r="F1498" s="8"/>
    </row>
    <row r="1499" customFormat="false" ht="15.75" hidden="false" customHeight="false" outlineLevel="0" collapsed="false">
      <c r="B1499" s="7"/>
      <c r="C1499" s="7"/>
      <c r="D1499" s="7"/>
      <c r="E1499" s="7"/>
      <c r="F1499" s="8"/>
    </row>
    <row r="1500" customFormat="false" ht="15.75" hidden="false" customHeight="false" outlineLevel="0" collapsed="false">
      <c r="B1500" s="7"/>
      <c r="C1500" s="7"/>
      <c r="D1500" s="7"/>
      <c r="E1500" s="7"/>
      <c r="F1500" s="8"/>
    </row>
    <row r="1501" customFormat="false" ht="15.75" hidden="false" customHeight="false" outlineLevel="0" collapsed="false">
      <c r="B1501" s="7"/>
      <c r="C1501" s="7"/>
      <c r="D1501" s="7"/>
      <c r="E1501" s="7"/>
      <c r="F1501" s="8"/>
    </row>
    <row r="1048576" customFormat="false" ht="15.75" hidden="false" customHeight="false" outlineLevel="0" collapsed="false"/>
  </sheetData>
  <dataValidations count="2">
    <dataValidation allowBlank="true" errorStyle="stop" operator="between" showDropDown="true" showErrorMessage="false" showInputMessage="false" sqref="A2:A540 F2:F540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false" showInputMessage="false" sqref="B2:E540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550" activePane="bottomLeft" state="frozen"/>
      <selection pane="topLeft" activeCell="A1" activeCellId="0" sqref="A1"/>
      <selection pane="bottom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58"/>
    <col collapsed="false" customWidth="true" hidden="false" outlineLevel="0" max="2" min="2" style="2" width="11.58"/>
    <col collapsed="false" customWidth="true" hidden="false" outlineLevel="0" max="3" min="3" style="1" width="16.04"/>
    <col collapsed="false" customWidth="true" hidden="false" outlineLevel="0" max="4" min="4" style="1" width="8.67"/>
    <col collapsed="false" customWidth="true" hidden="false" outlineLevel="0" max="5" min="5" style="1" width="14.23"/>
    <col collapsed="false" customWidth="true" hidden="false" outlineLevel="0" max="6" min="6" style="1" width="20.35"/>
    <col collapsed="false" customWidth="true" hidden="false" outlineLevel="0" max="7" min="7" style="1" width="19.1"/>
    <col collapsed="false" customWidth="true" hidden="false" outlineLevel="0" max="8" min="8" style="1" width="14.65"/>
    <col collapsed="false" customWidth="true" hidden="false" outlineLevel="0" max="9" min="9" style="1" width="14.79"/>
    <col collapsed="false" customWidth="false" hidden="false" outlineLevel="0" max="16384" min="10" style="1" width="12.63"/>
  </cols>
  <sheetData>
    <row r="1" customFormat="false" ht="15.75" hidden="false" customHeight="false" outlineLevel="0" collapsed="false">
      <c r="A1" s="7" t="s">
        <v>5</v>
      </c>
      <c r="B1" s="16" t="s">
        <v>1</v>
      </c>
      <c r="C1" s="22" t="s">
        <v>145</v>
      </c>
      <c r="D1" s="22" t="s">
        <v>146</v>
      </c>
      <c r="E1" s="22" t="s">
        <v>147</v>
      </c>
      <c r="F1" s="22" t="s">
        <v>148</v>
      </c>
      <c r="G1" s="22" t="s">
        <v>149</v>
      </c>
      <c r="H1" s="22" t="s">
        <v>150</v>
      </c>
      <c r="I1" s="3" t="s">
        <v>151</v>
      </c>
    </row>
    <row r="2" customFormat="false" ht="15.75" hidden="false" customHeight="false" outlineLevel="0" collapsed="false">
      <c r="A2" s="3" t="n">
        <v>1</v>
      </c>
      <c r="B2" s="4" t="n">
        <v>45506</v>
      </c>
      <c r="C2" s="23" t="n">
        <v>0</v>
      </c>
      <c r="D2" s="23" t="n">
        <v>0</v>
      </c>
      <c r="E2" s="23" t="n">
        <v>16.17</v>
      </c>
      <c r="F2" s="23" t="n">
        <v>26.95</v>
      </c>
      <c r="G2" s="23" t="n">
        <v>0</v>
      </c>
      <c r="H2" s="23" t="n">
        <f aca="false">((C2+D2+E2)-(F2-G2))</f>
        <v>-10.78</v>
      </c>
      <c r="I2" s="24" t="n">
        <f aca="false">ABS(IFERROR(H2/(F2-G2),H2/E2))</f>
        <v>0.4</v>
      </c>
      <c r="K2" s="25"/>
    </row>
    <row r="3" customFormat="false" ht="15.75" hidden="false" customHeight="false" outlineLevel="0" collapsed="false">
      <c r="A3" s="3" t="n">
        <v>2</v>
      </c>
      <c r="B3" s="4" t="n">
        <v>45506</v>
      </c>
      <c r="C3" s="26" t="n">
        <v>8.69</v>
      </c>
      <c r="D3" s="23" t="n">
        <v>0</v>
      </c>
      <c r="E3" s="26" t="n">
        <v>19.33</v>
      </c>
      <c r="F3" s="26" t="n">
        <v>34.8</v>
      </c>
      <c r="G3" s="23" t="n">
        <v>0</v>
      </c>
      <c r="H3" s="23" t="n">
        <f aca="false">((C3+D3+E3)-(F3-G3))</f>
        <v>-6.78</v>
      </c>
      <c r="I3" s="24" t="n">
        <f aca="false">ABS(IFERROR(H3/(F3-G3),H3/E3))</f>
        <v>0.194827586206897</v>
      </c>
      <c r="K3" s="25"/>
    </row>
    <row r="4" customFormat="false" ht="15.75" hidden="false" customHeight="false" outlineLevel="0" collapsed="false">
      <c r="A4" s="3" t="n">
        <v>3</v>
      </c>
      <c r="B4" s="4" t="n">
        <v>45506</v>
      </c>
      <c r="C4" s="23" t="n">
        <v>0</v>
      </c>
      <c r="D4" s="23" t="n">
        <v>0</v>
      </c>
      <c r="E4" s="23" t="n">
        <v>8.12</v>
      </c>
      <c r="F4" s="26" t="n">
        <v>11.26</v>
      </c>
      <c r="G4" s="23" t="n">
        <v>0</v>
      </c>
      <c r="H4" s="23" t="n">
        <f aca="false">((C4+D4+E4)-(F4-G4))</f>
        <v>-3.14</v>
      </c>
      <c r="I4" s="24" t="n">
        <f aca="false">ABS(IFERROR(H4/(F4-G4),H4/E4))</f>
        <v>0.27886323268206</v>
      </c>
      <c r="K4" s="25"/>
    </row>
    <row r="5" customFormat="false" ht="15.75" hidden="false" customHeight="false" outlineLevel="0" collapsed="false">
      <c r="A5" s="3" t="n">
        <v>4</v>
      </c>
      <c r="B5" s="4" t="n">
        <v>45506</v>
      </c>
      <c r="C5" s="23" t="n">
        <v>0</v>
      </c>
      <c r="D5" s="23" t="n">
        <v>0</v>
      </c>
      <c r="E5" s="26" t="n">
        <v>6.99</v>
      </c>
      <c r="F5" s="26" t="n">
        <v>10.68</v>
      </c>
      <c r="G5" s="23" t="n">
        <v>0</v>
      </c>
      <c r="H5" s="23" t="n">
        <f aca="false">((C5+D5+E5)-(F5-G5))</f>
        <v>-3.69</v>
      </c>
      <c r="I5" s="24" t="n">
        <f aca="false">ABS(IFERROR(H5/(F5-G5),H5/E5))</f>
        <v>0.345505617977528</v>
      </c>
    </row>
    <row r="6" customFormat="false" ht="15.75" hidden="false" customHeight="false" outlineLevel="0" collapsed="false">
      <c r="A6" s="3" t="n">
        <v>5</v>
      </c>
      <c r="B6" s="4" t="n">
        <v>45506</v>
      </c>
      <c r="C6" s="26" t="n">
        <v>1.5</v>
      </c>
      <c r="D6" s="23" t="n">
        <v>0</v>
      </c>
      <c r="E6" s="26" t="n">
        <v>6.99</v>
      </c>
      <c r="F6" s="26" t="n">
        <v>9.92</v>
      </c>
      <c r="G6" s="23" t="n">
        <v>0</v>
      </c>
      <c r="H6" s="23" t="n">
        <f aca="false">((C6+D6+E6)-(F6-G6))</f>
        <v>-1.43</v>
      </c>
      <c r="I6" s="24" t="n">
        <f aca="false">ABS(IFERROR(H6/(F6-G6),H6/E6))</f>
        <v>0.144153225806452</v>
      </c>
    </row>
    <row r="7" customFormat="false" ht="15.75" hidden="false" customHeight="false" outlineLevel="0" collapsed="false">
      <c r="A7" s="3" t="n">
        <v>6</v>
      </c>
      <c r="B7" s="4" t="n">
        <v>45506</v>
      </c>
      <c r="C7" s="26" t="n">
        <v>13</v>
      </c>
      <c r="D7" s="23" t="n">
        <v>0</v>
      </c>
      <c r="E7" s="26" t="n">
        <v>9.75</v>
      </c>
      <c r="F7" s="26" t="n">
        <v>12.91</v>
      </c>
      <c r="G7" s="23" t="n">
        <v>0</v>
      </c>
      <c r="H7" s="23" t="n">
        <f aca="false">((C7+D7+E7)-(F7-G7))</f>
        <v>9.84</v>
      </c>
      <c r="I7" s="24" t="n">
        <f aca="false">ABS(IFERROR(H7/(F7-G7),H7/E7))</f>
        <v>0.762199845081332</v>
      </c>
    </row>
    <row r="8" customFormat="false" ht="15.75" hidden="false" customHeight="false" outlineLevel="0" collapsed="false">
      <c r="A8" s="3" t="n">
        <v>7</v>
      </c>
      <c r="B8" s="4" t="n">
        <v>45506</v>
      </c>
      <c r="C8" s="23" t="n">
        <v>0</v>
      </c>
      <c r="D8" s="23" t="n">
        <v>0</v>
      </c>
      <c r="E8" s="26" t="n">
        <v>8.03</v>
      </c>
      <c r="F8" s="26" t="n">
        <v>11.92</v>
      </c>
      <c r="G8" s="23" t="n">
        <v>0</v>
      </c>
      <c r="H8" s="23" t="n">
        <f aca="false">((C8+D8+E8)-(F8-G8))</f>
        <v>-3.89</v>
      </c>
      <c r="I8" s="24" t="n">
        <f aca="false">ABS(IFERROR(H8/(F8-G8),H8/E8))</f>
        <v>0.326342281879195</v>
      </c>
    </row>
    <row r="9" customFormat="false" ht="15.75" hidden="false" customHeight="false" outlineLevel="0" collapsed="false">
      <c r="A9" s="3" t="n">
        <v>8</v>
      </c>
      <c r="B9" s="4" t="n">
        <v>45506</v>
      </c>
      <c r="C9" s="26" t="n">
        <v>1.25</v>
      </c>
      <c r="D9" s="23" t="n">
        <v>0</v>
      </c>
      <c r="E9" s="26" t="n">
        <v>6.99</v>
      </c>
      <c r="F9" s="26" t="n">
        <v>9.54</v>
      </c>
      <c r="G9" s="26" t="n">
        <v>0.62</v>
      </c>
      <c r="H9" s="23" t="n">
        <f aca="false">((C9+D9+E9)-(F9-G9))</f>
        <v>-0.68</v>
      </c>
      <c r="I9" s="24" t="n">
        <f aca="false">ABS(IFERROR(H9/(F9-G9),H9/E9))</f>
        <v>0.0762331838565022</v>
      </c>
    </row>
    <row r="10" customFormat="false" ht="15.75" hidden="false" customHeight="false" outlineLevel="0" collapsed="false">
      <c r="A10" s="3" t="n">
        <v>9</v>
      </c>
      <c r="B10" s="4" t="n">
        <v>45506</v>
      </c>
      <c r="C10" s="23" t="n">
        <v>0</v>
      </c>
      <c r="D10" s="26" t="n">
        <v>5</v>
      </c>
      <c r="E10" s="26" t="n">
        <v>6.99</v>
      </c>
      <c r="F10" s="23" t="n">
        <v>11.99</v>
      </c>
      <c r="G10" s="26" t="n">
        <v>5</v>
      </c>
      <c r="H10" s="23" t="n">
        <f aca="false">((C10+D10+E10)-(F10-G10))</f>
        <v>5</v>
      </c>
      <c r="I10" s="24" t="n">
        <f aca="false">ABS(IFERROR(H10/(F10-G10),H10/E10))</f>
        <v>0.715307582260372</v>
      </c>
    </row>
    <row r="11" customFormat="false" ht="15.75" hidden="false" customHeight="false" outlineLevel="0" collapsed="false">
      <c r="A11" s="3" t="n">
        <v>10</v>
      </c>
      <c r="B11" s="4" t="n">
        <v>45506</v>
      </c>
      <c r="C11" s="23" t="n">
        <v>0</v>
      </c>
      <c r="D11" s="26" t="n">
        <v>5</v>
      </c>
      <c r="E11" s="26" t="n">
        <v>9.46</v>
      </c>
      <c r="F11" s="26" t="n">
        <v>14.46</v>
      </c>
      <c r="G11" s="26" t="n">
        <v>5</v>
      </c>
      <c r="H11" s="23" t="n">
        <f aca="false">((C11+D11+E11)-(F11-G11))</f>
        <v>5</v>
      </c>
      <c r="I11" s="24" t="n">
        <f aca="false">ABS(IFERROR(H11/(F11-G11),H11/E11))</f>
        <v>0.528541226215645</v>
      </c>
    </row>
    <row r="12" customFormat="false" ht="15.75" hidden="false" customHeight="false" outlineLevel="0" collapsed="false">
      <c r="A12" s="3" t="n">
        <v>11</v>
      </c>
      <c r="B12" s="4" t="n">
        <v>45506</v>
      </c>
      <c r="C12" s="23" t="n">
        <v>0</v>
      </c>
      <c r="D12" s="23" t="n">
        <v>5</v>
      </c>
      <c r="E12" s="23" t="n">
        <v>12.98</v>
      </c>
      <c r="F12" s="23" t="n">
        <v>19.67</v>
      </c>
      <c r="G12" s="23" t="n">
        <v>2.76</v>
      </c>
      <c r="H12" s="23" t="n">
        <f aca="false">((C12+D12+E12)-(F12-G12))</f>
        <v>1.07</v>
      </c>
      <c r="I12" s="24" t="n">
        <f aca="false">ABS(IFERROR(H12/(F12-G12),H12/E12))</f>
        <v>0.0632761679479596</v>
      </c>
    </row>
    <row r="13" customFormat="false" ht="15.75" hidden="false" customHeight="false" outlineLevel="0" collapsed="false">
      <c r="A13" s="3" t="n">
        <v>12</v>
      </c>
      <c r="B13" s="4" t="n">
        <v>45506</v>
      </c>
      <c r="C13" s="23" t="n">
        <v>0</v>
      </c>
      <c r="D13" s="23" t="n">
        <v>5</v>
      </c>
      <c r="E13" s="23" t="n">
        <v>16.96</v>
      </c>
      <c r="F13" s="23" t="n">
        <v>23.84</v>
      </c>
      <c r="G13" s="23" t="n">
        <v>10.98</v>
      </c>
      <c r="H13" s="23" t="n">
        <f aca="false">((C13+D13+E13)-(F13-G13))</f>
        <v>9.1</v>
      </c>
      <c r="I13" s="24" t="n">
        <f aca="false">ABS(IFERROR(H13/(F13-G13),H13/E13))</f>
        <v>0.707620528771384</v>
      </c>
    </row>
    <row r="14" customFormat="false" ht="15.75" hidden="false" customHeight="false" outlineLevel="0" collapsed="false">
      <c r="A14" s="3" t="n">
        <v>13</v>
      </c>
      <c r="B14" s="4" t="n">
        <v>45506</v>
      </c>
      <c r="C14" s="23" t="n">
        <v>0</v>
      </c>
      <c r="D14" s="23" t="n">
        <v>6</v>
      </c>
      <c r="E14" s="23" t="n">
        <v>6.99</v>
      </c>
      <c r="F14" s="23" t="n">
        <v>14.34</v>
      </c>
      <c r="G14" s="23" t="n">
        <v>5.39</v>
      </c>
      <c r="H14" s="23" t="n">
        <f aca="false">((C14+D14+E14)-(F14-G14))</f>
        <v>4.04</v>
      </c>
      <c r="I14" s="24" t="n">
        <f aca="false">ABS(IFERROR(H14/(F14-G14),H14/E14))</f>
        <v>0.451396648044693</v>
      </c>
    </row>
    <row r="15" customFormat="false" ht="15.75" hidden="false" customHeight="false" outlineLevel="0" collapsed="false">
      <c r="A15" s="3" t="n">
        <v>14</v>
      </c>
      <c r="B15" s="4" t="n">
        <v>45506</v>
      </c>
      <c r="C15" s="23" t="n">
        <v>0</v>
      </c>
      <c r="D15" s="23" t="n">
        <v>0</v>
      </c>
      <c r="E15" s="23" t="n">
        <v>7.12</v>
      </c>
      <c r="F15" s="23" t="n">
        <v>10.1</v>
      </c>
      <c r="G15" s="23" t="n">
        <v>0</v>
      </c>
      <c r="H15" s="23" t="n">
        <f aca="false">((C15+D15+E15)-(F15-G15))</f>
        <v>-2.98</v>
      </c>
      <c r="I15" s="24" t="n">
        <f aca="false">ABS(IFERROR(H15/(F15-G15),H15/E15))</f>
        <v>0.295049504950495</v>
      </c>
    </row>
    <row r="16" customFormat="false" ht="15.75" hidden="false" customHeight="false" outlineLevel="0" collapsed="false">
      <c r="A16" s="3" t="n">
        <v>15</v>
      </c>
      <c r="B16" s="4" t="n">
        <v>45507</v>
      </c>
      <c r="C16" s="23" t="n">
        <v>0</v>
      </c>
      <c r="D16" s="23" t="n">
        <v>5</v>
      </c>
      <c r="E16" s="23" t="n">
        <v>12.18</v>
      </c>
      <c r="F16" s="23" t="n">
        <v>18.85</v>
      </c>
      <c r="G16" s="23" t="n">
        <v>2.92</v>
      </c>
      <c r="H16" s="27" t="n">
        <f aca="false">((C16+D16+E16)-(F16-G16))</f>
        <v>1.25</v>
      </c>
      <c r="I16" s="24" t="n">
        <f aca="false">ABS(IFERROR(H16/(F16-G16),H16/E16))</f>
        <v>0.0784682988072817</v>
      </c>
    </row>
    <row r="17" customFormat="false" ht="15.75" hidden="false" customHeight="false" outlineLevel="0" collapsed="false">
      <c r="A17" s="3" t="n">
        <v>16</v>
      </c>
      <c r="B17" s="4" t="n">
        <v>45507</v>
      </c>
      <c r="C17" s="23" t="n">
        <v>0</v>
      </c>
      <c r="D17" s="23" t="n">
        <v>0</v>
      </c>
      <c r="E17" s="23" t="n">
        <v>1.77</v>
      </c>
      <c r="F17" s="23" t="n">
        <v>2.1</v>
      </c>
      <c r="G17" s="23" t="n">
        <v>0</v>
      </c>
      <c r="H17" s="23" t="n">
        <f aca="false">((C17+D17+E17)-(F17-G17))</f>
        <v>-0.33</v>
      </c>
      <c r="I17" s="24" t="n">
        <f aca="false">ABS(IFERROR(H17/(F17-G17),H17/E17))</f>
        <v>0.157142857142857</v>
      </c>
    </row>
    <row r="18" customFormat="false" ht="15.75" hidden="false" customHeight="false" outlineLevel="0" collapsed="false">
      <c r="A18" s="3" t="n">
        <v>17</v>
      </c>
      <c r="B18" s="4" t="n">
        <v>45507</v>
      </c>
      <c r="C18" s="23" t="n">
        <v>0</v>
      </c>
      <c r="D18" s="23" t="n">
        <v>7</v>
      </c>
      <c r="E18" s="23" t="n">
        <v>6.99</v>
      </c>
      <c r="F18" s="23" t="n">
        <v>15.35</v>
      </c>
      <c r="G18" s="23" t="n">
        <v>6.38</v>
      </c>
      <c r="H18" s="23" t="n">
        <f aca="false">((C18+D18+E18)-(F18-G18))</f>
        <v>5.02</v>
      </c>
      <c r="I18" s="24" t="n">
        <f aca="false">ABS(IFERROR(H18/(F18-G18),H18/E18))</f>
        <v>0.55964325529543</v>
      </c>
    </row>
    <row r="19" customFormat="false" ht="15.75" hidden="false" customHeight="false" outlineLevel="0" collapsed="false">
      <c r="A19" s="3" t="n">
        <v>18</v>
      </c>
      <c r="B19" s="4" t="n">
        <v>45507</v>
      </c>
      <c r="C19" s="23" t="n">
        <v>0</v>
      </c>
      <c r="D19" s="23" t="n">
        <v>7</v>
      </c>
      <c r="E19" s="23" t="n">
        <v>17.01</v>
      </c>
      <c r="F19" s="23" t="n">
        <v>28.35</v>
      </c>
      <c r="G19" s="23" t="n">
        <v>2.84</v>
      </c>
      <c r="H19" s="23" t="n">
        <f aca="false">((C19+D19+E19)-(F19-G19))</f>
        <v>-1.5</v>
      </c>
      <c r="I19" s="24" t="n">
        <f aca="false">ABS(IFERROR(H19/(F19-G19),H19/E19))</f>
        <v>0.0588004704037632</v>
      </c>
    </row>
    <row r="20" customFormat="false" ht="15.75" hidden="false" customHeight="false" outlineLevel="0" collapsed="false">
      <c r="A20" s="3" t="n">
        <v>19</v>
      </c>
      <c r="B20" s="4" t="n">
        <v>45507</v>
      </c>
      <c r="C20" s="23" t="n">
        <v>2.5</v>
      </c>
      <c r="D20" s="23" t="n">
        <v>0</v>
      </c>
      <c r="E20" s="23" t="n">
        <v>6.99</v>
      </c>
      <c r="F20" s="23" t="n">
        <v>10.7</v>
      </c>
      <c r="G20" s="23" t="n">
        <v>2.72</v>
      </c>
      <c r="H20" s="23" t="n">
        <f aca="false">((C20+D20+E20)-(F20-G20))</f>
        <v>1.51</v>
      </c>
      <c r="I20" s="24" t="n">
        <f aca="false">ABS(IFERROR(H20/(F20-G20),H20/E20))</f>
        <v>0.189223057644111</v>
      </c>
    </row>
    <row r="21" customFormat="false" ht="15.75" hidden="false" customHeight="false" outlineLevel="0" collapsed="false">
      <c r="A21" s="3" t="n">
        <v>20</v>
      </c>
      <c r="B21" s="4" t="n">
        <v>45507</v>
      </c>
      <c r="C21" s="23" t="n">
        <v>0</v>
      </c>
      <c r="D21" s="23" t="n">
        <v>0</v>
      </c>
      <c r="E21" s="23" t="n">
        <v>7.15</v>
      </c>
      <c r="F21" s="23" t="n">
        <v>9.93</v>
      </c>
      <c r="G21" s="23" t="n">
        <v>0</v>
      </c>
      <c r="H21" s="23" t="n">
        <f aca="false">((C21+D21+E21)-(F21-G21))</f>
        <v>-2.78</v>
      </c>
      <c r="I21" s="24" t="n">
        <f aca="false">ABS(IFERROR(H21/(F21-G21),H21/E21))</f>
        <v>0.279959718026183</v>
      </c>
    </row>
    <row r="22" customFormat="false" ht="15.75" hidden="false" customHeight="false" outlineLevel="0" collapsed="false">
      <c r="A22" s="3" t="n">
        <v>21</v>
      </c>
      <c r="B22" s="4" t="n">
        <v>45507</v>
      </c>
      <c r="C22" s="23" t="n">
        <v>0</v>
      </c>
      <c r="D22" s="23" t="n">
        <v>7</v>
      </c>
      <c r="E22" s="23" t="n">
        <v>10.24</v>
      </c>
      <c r="F22" s="23" t="n">
        <v>19.02</v>
      </c>
      <c r="G22" s="23" t="n">
        <v>2.3</v>
      </c>
      <c r="H22" s="23" t="n">
        <f aca="false">((C22+D22+E22)-(F22-G22))</f>
        <v>0.520000000000003</v>
      </c>
      <c r="I22" s="24" t="n">
        <f aca="false">ABS(IFERROR(H22/(F22-G22),H22/E22))</f>
        <v>0.0311004784688997</v>
      </c>
    </row>
    <row r="23" customFormat="false" ht="15.75" hidden="false" customHeight="false" outlineLevel="0" collapsed="false">
      <c r="A23" s="3" t="n">
        <v>22</v>
      </c>
      <c r="B23" s="4" t="n">
        <v>45507</v>
      </c>
      <c r="C23" s="23" t="n">
        <v>0</v>
      </c>
      <c r="D23" s="23" t="n">
        <v>7</v>
      </c>
      <c r="E23" s="23" t="n">
        <v>12.79</v>
      </c>
      <c r="F23" s="23" t="n">
        <v>21.49</v>
      </c>
      <c r="G23" s="23" t="n">
        <v>4.53</v>
      </c>
      <c r="H23" s="23" t="n">
        <f aca="false">((C23+D23+E23)-(F23-G23))</f>
        <v>2.83</v>
      </c>
      <c r="I23" s="24" t="n">
        <f aca="false">ABS(IFERROR(H23/(F23-G23),H23/E23))</f>
        <v>0.16686320754717</v>
      </c>
    </row>
    <row r="24" customFormat="false" ht="15.75" hidden="false" customHeight="false" outlineLevel="0" collapsed="false">
      <c r="A24" s="3" t="n">
        <v>23</v>
      </c>
      <c r="B24" s="4" t="n">
        <v>45507</v>
      </c>
      <c r="C24" s="23" t="n">
        <v>0</v>
      </c>
      <c r="D24" s="23" t="n">
        <v>7</v>
      </c>
      <c r="E24" s="23" t="n">
        <v>14.75</v>
      </c>
      <c r="F24" s="23" t="n">
        <v>23.7</v>
      </c>
      <c r="G24" s="23" t="n">
        <v>3.94</v>
      </c>
      <c r="H24" s="23" t="n">
        <f aca="false">((C24+D24+E24)-(F24-G24))</f>
        <v>1.99</v>
      </c>
      <c r="I24" s="24" t="n">
        <f aca="false">ABS(IFERROR(H24/(F24-G24),H24/E24))</f>
        <v>0.100708502024292</v>
      </c>
    </row>
    <row r="25" customFormat="false" ht="15.75" hidden="false" customHeight="false" outlineLevel="0" collapsed="false">
      <c r="A25" s="3" t="n">
        <v>24</v>
      </c>
      <c r="B25" s="4" t="n">
        <v>45507</v>
      </c>
      <c r="C25" s="23" t="n">
        <v>0</v>
      </c>
      <c r="D25" s="23" t="n">
        <v>7</v>
      </c>
      <c r="E25" s="23" t="n">
        <v>20.86</v>
      </c>
      <c r="F25" s="23" t="n">
        <v>29.94</v>
      </c>
      <c r="G25" s="23" t="n">
        <v>6.97</v>
      </c>
      <c r="H25" s="23" t="n">
        <f aca="false">((C25+D25+E25)-(F25-G25))</f>
        <v>4.89</v>
      </c>
      <c r="I25" s="24" t="n">
        <f aca="false">ABS(IFERROR(H25/(F25-G25),H25/E25))</f>
        <v>0.212886373530692</v>
      </c>
    </row>
    <row r="26" customFormat="false" ht="15.75" hidden="false" customHeight="false" outlineLevel="0" collapsed="false">
      <c r="A26" s="3" t="n">
        <v>25</v>
      </c>
      <c r="B26" s="4" t="n">
        <v>45507</v>
      </c>
      <c r="C26" s="23" t="n">
        <v>0</v>
      </c>
      <c r="D26" s="23" t="n">
        <v>7</v>
      </c>
      <c r="E26" s="23" t="n">
        <v>8.29</v>
      </c>
      <c r="F26" s="23" t="n">
        <v>16.74</v>
      </c>
      <c r="G26" s="23" t="n">
        <v>4.79</v>
      </c>
      <c r="H26" s="23" t="n">
        <f aca="false">((C26+D26+E26)-(F26-G26))</f>
        <v>3.34</v>
      </c>
      <c r="I26" s="24" t="n">
        <f aca="false">ABS(IFERROR(H26/(F26-G26),H26/E26))</f>
        <v>0.279497907949791</v>
      </c>
    </row>
    <row r="27" customFormat="false" ht="15.75" hidden="false" customHeight="false" outlineLevel="0" collapsed="false">
      <c r="A27" s="3" t="n">
        <v>26</v>
      </c>
      <c r="B27" s="4" t="n">
        <v>45507</v>
      </c>
      <c r="C27" s="23" t="n">
        <v>0</v>
      </c>
      <c r="D27" s="23" t="n">
        <v>7</v>
      </c>
      <c r="E27" s="23" t="n">
        <v>9.82</v>
      </c>
      <c r="F27" s="23" t="n">
        <v>18.38</v>
      </c>
      <c r="G27" s="23" t="n">
        <v>4.45</v>
      </c>
      <c r="H27" s="23" t="n">
        <f aca="false">((C27+D27+E27)-(F27-G27))</f>
        <v>2.89</v>
      </c>
      <c r="I27" s="24" t="n">
        <f aca="false">ABS(IFERROR(H27/(F27-G27),H27/E27))</f>
        <v>0.207465900933238</v>
      </c>
    </row>
    <row r="28" customFormat="false" ht="15.75" hidden="false" customHeight="false" outlineLevel="0" collapsed="false">
      <c r="A28" s="3" t="n">
        <v>27</v>
      </c>
      <c r="B28" s="4" t="n">
        <v>45507</v>
      </c>
      <c r="C28" s="23" t="n">
        <v>0</v>
      </c>
      <c r="D28" s="23" t="n">
        <v>7</v>
      </c>
      <c r="E28" s="23" t="n">
        <v>6.99</v>
      </c>
      <c r="F28" s="23" t="n">
        <v>15.36</v>
      </c>
      <c r="G28" s="23" t="n">
        <v>5.42</v>
      </c>
      <c r="H28" s="23" t="n">
        <f aca="false">((C28+D28+E28)-(F28-G28))</f>
        <v>4.05</v>
      </c>
      <c r="I28" s="24" t="n">
        <f aca="false">ABS(IFERROR(H28/(F28-G28),H28/E28))</f>
        <v>0.407444668008048</v>
      </c>
    </row>
    <row r="29" customFormat="false" ht="15.75" hidden="false" customHeight="false" outlineLevel="0" collapsed="false">
      <c r="A29" s="3" t="n">
        <v>28</v>
      </c>
      <c r="B29" s="4" t="n">
        <v>45507</v>
      </c>
      <c r="C29" s="23" t="n">
        <v>2.22</v>
      </c>
      <c r="D29" s="23" t="n">
        <v>7</v>
      </c>
      <c r="E29" s="23" t="n">
        <v>6.99</v>
      </c>
      <c r="F29" s="23" t="n">
        <v>17.96</v>
      </c>
      <c r="G29" s="23" t="n">
        <v>6.45</v>
      </c>
      <c r="H29" s="27" t="n">
        <f aca="false">((C29+D29+E29)-(F29-G29))</f>
        <v>4.7</v>
      </c>
      <c r="I29" s="24" t="n">
        <f aca="false">ABS(IFERROR(H29/(F29-G29),H29/E29))</f>
        <v>0.408340573414422</v>
      </c>
    </row>
    <row r="30" customFormat="false" ht="15.75" hidden="false" customHeight="false" outlineLevel="0" collapsed="false">
      <c r="A30" s="3" t="n">
        <v>29</v>
      </c>
      <c r="B30" s="4" t="n">
        <v>45508</v>
      </c>
      <c r="C30" s="23" t="n">
        <v>0</v>
      </c>
      <c r="D30" s="23" t="n">
        <v>7</v>
      </c>
      <c r="E30" s="23" t="n">
        <v>8.65</v>
      </c>
      <c r="F30" s="23" t="n">
        <v>17.19</v>
      </c>
      <c r="G30" s="23" t="n">
        <v>3.2</v>
      </c>
      <c r="H30" s="23" t="n">
        <f aca="false">((C30+D30+E30)-(F30-G30))</f>
        <v>1.66</v>
      </c>
      <c r="I30" s="24" t="n">
        <f aca="false">ABS(IFERROR(H30/(F30-G30),H30/E30))</f>
        <v>0.118656182987848</v>
      </c>
    </row>
    <row r="31" customFormat="false" ht="15.75" hidden="false" customHeight="false" outlineLevel="0" collapsed="false">
      <c r="A31" s="3" t="n">
        <v>30</v>
      </c>
      <c r="B31" s="4" t="n">
        <v>45508</v>
      </c>
      <c r="C31" s="23" t="n">
        <v>0</v>
      </c>
      <c r="D31" s="23" t="n">
        <v>6</v>
      </c>
      <c r="E31" s="23" t="n">
        <v>12.79</v>
      </c>
      <c r="F31" s="23" t="n">
        <v>20.57</v>
      </c>
      <c r="G31" s="23" t="n">
        <v>4.05</v>
      </c>
      <c r="H31" s="23" t="n">
        <f aca="false">((C31+D31+E31)-(F31-G31))</f>
        <v>2.27</v>
      </c>
      <c r="I31" s="24" t="n">
        <f aca="false">ABS(IFERROR(H31/(F31-G31),H31/E31))</f>
        <v>0.137409200968523</v>
      </c>
    </row>
    <row r="32" customFormat="false" ht="15.75" hidden="false" customHeight="false" outlineLevel="0" collapsed="false">
      <c r="A32" s="3" t="n">
        <v>31</v>
      </c>
      <c r="B32" s="4" t="n">
        <v>45508</v>
      </c>
      <c r="C32" s="23" t="n">
        <v>0</v>
      </c>
      <c r="D32" s="23" t="n">
        <v>6</v>
      </c>
      <c r="E32" s="23" t="n">
        <v>22.23</v>
      </c>
      <c r="F32" s="23" t="n">
        <v>30.55</v>
      </c>
      <c r="G32" s="23" t="n">
        <v>2.64</v>
      </c>
      <c r="H32" s="23" t="n">
        <f aca="false">((C32+D32+E32)-(F32-G32))</f>
        <v>0.32</v>
      </c>
      <c r="I32" s="24" t="n">
        <f aca="false">ABS(IFERROR(H32/(F32-G32),H32/E32))</f>
        <v>0.011465424579004</v>
      </c>
    </row>
    <row r="33" customFormat="false" ht="15.75" hidden="false" customHeight="false" outlineLevel="0" collapsed="false">
      <c r="A33" s="3" t="n">
        <v>32</v>
      </c>
      <c r="B33" s="4" t="n">
        <v>45508</v>
      </c>
      <c r="C33" s="23" t="n">
        <f aca="false">1.25+0.89</f>
        <v>2.14</v>
      </c>
      <c r="D33" s="23" t="n">
        <v>0</v>
      </c>
      <c r="E33" s="23" t="n">
        <v>9.54</v>
      </c>
      <c r="F33" s="23" t="n">
        <v>13.22</v>
      </c>
      <c r="G33" s="23" t="n">
        <v>0.23</v>
      </c>
      <c r="H33" s="23" t="n">
        <f aca="false">((C33+D33+E33)-(F33-G33))</f>
        <v>-1.31</v>
      </c>
      <c r="I33" s="24" t="n">
        <f aca="false">ABS(IFERROR(H33/(F33-G33),H33/E33))</f>
        <v>0.100846805234796</v>
      </c>
    </row>
    <row r="34" customFormat="false" ht="15.75" hidden="false" customHeight="false" outlineLevel="0" collapsed="false">
      <c r="A34" s="3" t="n">
        <v>33</v>
      </c>
      <c r="B34" s="4" t="n">
        <v>45508</v>
      </c>
      <c r="C34" s="23" t="n">
        <v>8.25</v>
      </c>
      <c r="D34" s="23" t="n">
        <v>0</v>
      </c>
      <c r="E34" s="23" t="n">
        <v>13.75</v>
      </c>
      <c r="F34" s="23" t="n">
        <v>33.51</v>
      </c>
      <c r="G34" s="23" t="n">
        <v>3.35</v>
      </c>
      <c r="H34" s="23" t="n">
        <f aca="false">((C34+D34+E34)-(F34-G34))</f>
        <v>-8.16</v>
      </c>
      <c r="I34" s="24" t="n">
        <f aca="false">ABS(IFERROR(H34/(F34-G34),H34/E34))</f>
        <v>0.270557029177719</v>
      </c>
    </row>
    <row r="35" customFormat="false" ht="15.75" hidden="false" customHeight="false" outlineLevel="0" collapsed="false">
      <c r="A35" s="3" t="n">
        <v>34</v>
      </c>
      <c r="B35" s="4" t="n">
        <v>45508</v>
      </c>
      <c r="C35" s="23" t="n">
        <v>0</v>
      </c>
      <c r="D35" s="23" t="n">
        <v>0</v>
      </c>
      <c r="E35" s="23" t="n">
        <v>17.17</v>
      </c>
      <c r="F35" s="23" t="n">
        <v>22.98</v>
      </c>
      <c r="G35" s="23" t="n">
        <v>0</v>
      </c>
      <c r="H35" s="23" t="n">
        <f aca="false">((C35+D35+E35)-(F35-G35))</f>
        <v>-5.81</v>
      </c>
      <c r="I35" s="24" t="n">
        <f aca="false">ABS(IFERROR(H35/(F35-G35),H35/E35))</f>
        <v>0.252828546562228</v>
      </c>
    </row>
    <row r="36" customFormat="false" ht="15.75" hidden="false" customHeight="false" outlineLevel="0" collapsed="false">
      <c r="A36" s="3" t="n">
        <v>35</v>
      </c>
      <c r="B36" s="4" t="n">
        <v>45508</v>
      </c>
      <c r="C36" s="23" t="n">
        <v>0</v>
      </c>
      <c r="D36" s="23" t="n">
        <v>0</v>
      </c>
      <c r="E36" s="23" t="n">
        <v>6.99</v>
      </c>
      <c r="F36" s="23" t="n">
        <v>8.25</v>
      </c>
      <c r="G36" s="23" t="n">
        <v>0.33</v>
      </c>
      <c r="H36" s="23" t="n">
        <f aca="false">((C36+D36+E36)-(F36-G36))</f>
        <v>-0.93</v>
      </c>
      <c r="I36" s="24" t="n">
        <f aca="false">ABS(IFERROR(H36/(F36-G36),H36/E36))</f>
        <v>0.117424242424242</v>
      </c>
    </row>
    <row r="37" customFormat="false" ht="15.75" hidden="false" customHeight="false" outlineLevel="0" collapsed="false">
      <c r="A37" s="3" t="n">
        <v>36</v>
      </c>
      <c r="B37" s="4" t="n">
        <v>45508</v>
      </c>
      <c r="C37" s="23" t="n">
        <v>0</v>
      </c>
      <c r="D37" s="23" t="n">
        <v>0</v>
      </c>
      <c r="E37" s="23" t="n">
        <v>12.18</v>
      </c>
      <c r="F37" s="23" t="n">
        <v>15.95</v>
      </c>
      <c r="G37" s="23" t="n">
        <v>0</v>
      </c>
      <c r="H37" s="23" t="n">
        <f aca="false">((C37+D37+E37)-(F37-G37))</f>
        <v>-3.77</v>
      </c>
      <c r="I37" s="24" t="n">
        <f aca="false">ABS(IFERROR(H37/(F37-G37),H37/E37))</f>
        <v>0.236363636363636</v>
      </c>
    </row>
    <row r="38" customFormat="false" ht="15.75" hidden="false" customHeight="false" outlineLevel="0" collapsed="false">
      <c r="A38" s="3" t="n">
        <v>37</v>
      </c>
      <c r="B38" s="4" t="n">
        <v>45508</v>
      </c>
      <c r="C38" s="23" t="n">
        <v>1.75</v>
      </c>
      <c r="D38" s="23" t="n">
        <v>0</v>
      </c>
      <c r="E38" s="23" t="n">
        <v>7.33</v>
      </c>
      <c r="F38" s="23" t="n">
        <v>14.95</v>
      </c>
      <c r="G38" s="23" t="n">
        <v>0</v>
      </c>
      <c r="H38" s="23" t="n">
        <f aca="false">((C38+D38+E38)-(F38-G38))</f>
        <v>-5.87</v>
      </c>
      <c r="I38" s="24" t="n">
        <f aca="false">ABS(IFERROR(H38/(F38-G38),H38/E38))</f>
        <v>0.392642140468227</v>
      </c>
    </row>
    <row r="39" customFormat="false" ht="15.75" hidden="false" customHeight="false" outlineLevel="0" collapsed="false">
      <c r="A39" s="3" t="n">
        <v>38</v>
      </c>
      <c r="B39" s="4" t="n">
        <v>45508</v>
      </c>
      <c r="C39" s="23" t="n">
        <v>2.52</v>
      </c>
      <c r="D39" s="23" t="n">
        <v>0</v>
      </c>
      <c r="E39" s="23" t="n">
        <v>13.16</v>
      </c>
      <c r="F39" s="23" t="n">
        <v>22.85</v>
      </c>
      <c r="G39" s="23" t="n">
        <v>0</v>
      </c>
      <c r="H39" s="23" t="n">
        <f aca="false">((C39+D39+E39)-(F39-G39))</f>
        <v>-7.17</v>
      </c>
      <c r="I39" s="24" t="n">
        <f aca="false">ABS(IFERROR(H39/(F39-G39),H39/E39))</f>
        <v>0.313785557986871</v>
      </c>
    </row>
    <row r="40" customFormat="false" ht="15.75" hidden="false" customHeight="false" outlineLevel="0" collapsed="false">
      <c r="A40" s="3" t="n">
        <v>39</v>
      </c>
      <c r="B40" s="4" t="n">
        <v>45508</v>
      </c>
      <c r="C40" s="23" t="n">
        <v>0</v>
      </c>
      <c r="D40" s="23" t="n">
        <v>0</v>
      </c>
      <c r="E40" s="23" t="n">
        <v>7.76</v>
      </c>
      <c r="F40" s="23" t="n">
        <v>12.94</v>
      </c>
      <c r="G40" s="23" t="n">
        <v>0</v>
      </c>
      <c r="H40" s="23" t="n">
        <f aca="false">((C40+D40+E40)-(F40-G40))</f>
        <v>-5.18</v>
      </c>
      <c r="I40" s="24" t="n">
        <f aca="false">ABS(IFERROR(H40/(F40-G40),H40/E40))</f>
        <v>0.400309119010819</v>
      </c>
    </row>
    <row r="41" customFormat="false" ht="15.75" hidden="false" customHeight="false" outlineLevel="0" collapsed="false">
      <c r="A41" s="3" t="n">
        <v>40</v>
      </c>
      <c r="B41" s="4" t="n">
        <v>45508</v>
      </c>
      <c r="C41" s="23" t="n">
        <v>0</v>
      </c>
      <c r="D41" s="23" t="n">
        <v>0</v>
      </c>
      <c r="E41" s="23" t="n">
        <v>6.99</v>
      </c>
      <c r="F41" s="23" t="n">
        <v>9.93</v>
      </c>
      <c r="G41" s="23" t="n">
        <v>0</v>
      </c>
      <c r="H41" s="23" t="n">
        <f aca="false">((C41+D41+E41)-(F41-G41))</f>
        <v>-2.94</v>
      </c>
      <c r="I41" s="24" t="n">
        <f aca="false">ABS(IFERROR(H41/(F41-G41),H41/E41))</f>
        <v>0.29607250755287</v>
      </c>
    </row>
    <row r="42" customFormat="false" ht="15.75" hidden="false" customHeight="false" outlineLevel="0" collapsed="false">
      <c r="A42" s="3" t="n">
        <v>41</v>
      </c>
      <c r="B42" s="4" t="n">
        <v>45508</v>
      </c>
      <c r="C42" s="23" t="n">
        <v>0</v>
      </c>
      <c r="D42" s="23" t="n">
        <v>0</v>
      </c>
      <c r="E42" s="23" t="n">
        <v>14.08</v>
      </c>
      <c r="F42" s="23" t="n">
        <v>16.98</v>
      </c>
      <c r="G42" s="23" t="n">
        <v>0</v>
      </c>
      <c r="H42" s="23" t="n">
        <f aca="false">((C42+D42+E42)-(F42-G42))</f>
        <v>-2.9</v>
      </c>
      <c r="I42" s="24" t="n">
        <f aca="false">ABS(IFERROR(H42/(F42-G42),H42/E42))</f>
        <v>0.170789163722026</v>
      </c>
    </row>
    <row r="43" customFormat="false" ht="15.75" hidden="false" customHeight="false" outlineLevel="0" collapsed="false">
      <c r="A43" s="3" t="n">
        <v>42</v>
      </c>
      <c r="B43" s="4" t="n">
        <v>45508</v>
      </c>
      <c r="C43" s="23" t="n">
        <v>0</v>
      </c>
      <c r="D43" s="23" t="n">
        <v>0</v>
      </c>
      <c r="E43" s="23" t="n">
        <v>6.99</v>
      </c>
      <c r="F43" s="23" t="n">
        <v>9.82</v>
      </c>
      <c r="G43" s="23" t="n">
        <v>0.98</v>
      </c>
      <c r="H43" s="23" t="n">
        <f aca="false">((C43+D43+E43)-(F43-G43))</f>
        <v>-1.85</v>
      </c>
      <c r="I43" s="24" t="n">
        <f aca="false">ABS(IFERROR(H43/(F43-G43),H43/E43))</f>
        <v>0.209276018099547</v>
      </c>
    </row>
    <row r="44" customFormat="false" ht="15.75" hidden="false" customHeight="false" outlineLevel="0" collapsed="false">
      <c r="A44" s="3" t="n">
        <v>43</v>
      </c>
      <c r="B44" s="4" t="n">
        <v>45508</v>
      </c>
      <c r="C44" s="23" t="n">
        <v>0</v>
      </c>
      <c r="D44" s="23" t="n">
        <v>0</v>
      </c>
      <c r="E44" s="23" t="n">
        <v>35</v>
      </c>
      <c r="F44" s="23" t="n">
        <v>0</v>
      </c>
      <c r="G44" s="23" t="n">
        <v>0</v>
      </c>
      <c r="H44" s="23" t="n">
        <f aca="false">((C44+D44+E44)-(F44-G44))</f>
        <v>35</v>
      </c>
      <c r="I44" s="24" t="n">
        <f aca="false">ABS(IFERROR(H44/(F44-G44),H44/E44))</f>
        <v>1</v>
      </c>
    </row>
    <row r="45" customFormat="false" ht="15.75" hidden="false" customHeight="false" outlineLevel="0" collapsed="false">
      <c r="A45" s="3" t="n">
        <v>44</v>
      </c>
      <c r="B45" s="4" t="n">
        <v>45508</v>
      </c>
      <c r="C45" s="23" t="n">
        <v>0</v>
      </c>
      <c r="D45" s="23" t="n">
        <v>7</v>
      </c>
      <c r="E45" s="23" t="n">
        <v>13.01</v>
      </c>
      <c r="F45" s="23" t="n">
        <v>21.84</v>
      </c>
      <c r="G45" s="23" t="n">
        <v>2.69</v>
      </c>
      <c r="H45" s="23" t="n">
        <f aca="false">((C45+D45+E45)-(F45-G45))</f>
        <v>0.859999999999999</v>
      </c>
      <c r="I45" s="24" t="n">
        <f aca="false">ABS(IFERROR(H45/(F45-G45),H45/E45))</f>
        <v>0.0449086161879895</v>
      </c>
    </row>
    <row r="46" customFormat="false" ht="15.75" hidden="false" customHeight="false" outlineLevel="0" collapsed="false">
      <c r="A46" s="3" t="n">
        <v>45</v>
      </c>
      <c r="B46" s="4" t="n">
        <v>45508</v>
      </c>
      <c r="C46" s="23" t="n">
        <v>5.25</v>
      </c>
      <c r="D46" s="23" t="n">
        <v>0</v>
      </c>
      <c r="E46" s="23" t="n">
        <v>39.74</v>
      </c>
      <c r="F46" s="23" t="n">
        <v>51.95</v>
      </c>
      <c r="G46" s="23" t="n">
        <v>0</v>
      </c>
      <c r="H46" s="23" t="n">
        <f aca="false">((C46+D46+E46)-(F46-G46))</f>
        <v>-6.96</v>
      </c>
      <c r="I46" s="24" t="n">
        <f aca="false">ABS(IFERROR(H46/(F46-G46),H46/E46))</f>
        <v>0.133974975938402</v>
      </c>
    </row>
    <row r="47" customFormat="false" ht="15.75" hidden="false" customHeight="false" outlineLevel="0" collapsed="false">
      <c r="A47" s="3" t="n">
        <v>46</v>
      </c>
      <c r="B47" s="4" t="n">
        <v>45508</v>
      </c>
      <c r="C47" s="23" t="n">
        <v>8.5</v>
      </c>
      <c r="D47" s="23" t="n">
        <v>7</v>
      </c>
      <c r="E47" s="23" t="n">
        <v>24.84</v>
      </c>
      <c r="F47" s="23" t="n">
        <v>42.73</v>
      </c>
      <c r="G47" s="23" t="n">
        <v>17.43</v>
      </c>
      <c r="H47" s="23" t="n">
        <f aca="false">((C47+D47+E47)-(F47-G47))</f>
        <v>15.04</v>
      </c>
      <c r="I47" s="24" t="n">
        <f aca="false">ABS(IFERROR(H47/(F47-G47),H47/E47))</f>
        <v>0.594466403162056</v>
      </c>
    </row>
    <row r="48" customFormat="false" ht="15.75" hidden="false" customHeight="false" outlineLevel="0" collapsed="false">
      <c r="A48" s="3" t="n">
        <v>47</v>
      </c>
      <c r="B48" s="4" t="n">
        <v>45508</v>
      </c>
      <c r="C48" s="23" t="n">
        <v>2</v>
      </c>
      <c r="D48" s="23" t="n">
        <v>7</v>
      </c>
      <c r="E48" s="23" t="n">
        <v>6.99</v>
      </c>
      <c r="F48" s="23" t="n">
        <v>17.42</v>
      </c>
      <c r="G48" s="23" t="n">
        <v>7.46</v>
      </c>
      <c r="H48" s="23" t="n">
        <f aca="false">((C48+D48+E48)-(F48-G48))</f>
        <v>6.03</v>
      </c>
      <c r="I48" s="24" t="n">
        <f aca="false">ABS(IFERROR(H48/(F48-G48),H48/E48))</f>
        <v>0.605421686746988</v>
      </c>
    </row>
    <row r="49" customFormat="false" ht="15.75" hidden="false" customHeight="false" outlineLevel="0" collapsed="false">
      <c r="A49" s="3" t="n">
        <v>48</v>
      </c>
      <c r="B49" s="4" t="n">
        <v>45508</v>
      </c>
      <c r="C49" s="23" t="n">
        <v>4</v>
      </c>
      <c r="D49" s="23" t="n">
        <v>7</v>
      </c>
      <c r="E49" s="23" t="n">
        <v>11.43</v>
      </c>
      <c r="F49" s="23" t="n">
        <v>24.07</v>
      </c>
      <c r="G49" s="23" t="n">
        <v>9.11</v>
      </c>
      <c r="H49" s="23" t="n">
        <f aca="false">((C49+D49+E49)-(F49-G49))</f>
        <v>7.47</v>
      </c>
      <c r="I49" s="24" t="n">
        <f aca="false">ABS(IFERROR(H49/(F49-G49),H49/E49))</f>
        <v>0.499331550802139</v>
      </c>
    </row>
    <row r="50" customFormat="false" ht="15.75" hidden="false" customHeight="false" outlineLevel="0" collapsed="false">
      <c r="A50" s="3" t="n">
        <v>49</v>
      </c>
      <c r="B50" s="4" t="n">
        <v>45508</v>
      </c>
      <c r="C50" s="23" t="n">
        <v>0</v>
      </c>
      <c r="D50" s="23" t="n">
        <v>0</v>
      </c>
      <c r="E50" s="23" t="n">
        <v>11.43</v>
      </c>
      <c r="F50" s="23" t="n">
        <v>16.95</v>
      </c>
      <c r="G50" s="23" t="n">
        <v>0</v>
      </c>
      <c r="H50" s="23" t="n">
        <f aca="false">((C50+D50+E50)-(F50-G50))</f>
        <v>-5.52</v>
      </c>
      <c r="I50" s="24" t="n">
        <f aca="false">ABS(IFERROR(H50/(F50-G50),H50/E50))</f>
        <v>0.325663716814159</v>
      </c>
    </row>
    <row r="51" customFormat="false" ht="15.75" hidden="false" customHeight="false" outlineLevel="0" collapsed="false">
      <c r="A51" s="3" t="n">
        <v>50</v>
      </c>
      <c r="B51" s="4" t="n">
        <v>45509</v>
      </c>
      <c r="C51" s="23" t="n">
        <v>0</v>
      </c>
      <c r="D51" s="23" t="n">
        <v>0</v>
      </c>
      <c r="E51" s="23" t="n">
        <v>6.99</v>
      </c>
      <c r="F51" s="23" t="n">
        <v>15.83</v>
      </c>
      <c r="G51" s="23" t="n">
        <v>0</v>
      </c>
      <c r="H51" s="23" t="n">
        <f aca="false">((C51+D51+E51)-(F51-G51))</f>
        <v>-8.84</v>
      </c>
      <c r="I51" s="24" t="n">
        <f aca="false">ABS(IFERROR(H51/(F51-G51),H51/E51))</f>
        <v>0.558433354390398</v>
      </c>
    </row>
    <row r="52" customFormat="false" ht="15.75" hidden="false" customHeight="false" outlineLevel="0" collapsed="false">
      <c r="A52" s="3" t="n">
        <v>51</v>
      </c>
      <c r="B52" s="4" t="n">
        <v>45509</v>
      </c>
      <c r="C52" s="23" t="n">
        <v>0</v>
      </c>
      <c r="D52" s="23" t="n">
        <v>0</v>
      </c>
      <c r="E52" s="23" t="n">
        <v>9.55</v>
      </c>
      <c r="F52" s="23" t="n">
        <v>15.92</v>
      </c>
      <c r="G52" s="23" t="n">
        <v>0</v>
      </c>
      <c r="H52" s="23" t="n">
        <f aca="false">((C52+D52+E52)-(F52-G52))</f>
        <v>-6.37</v>
      </c>
      <c r="I52" s="24" t="n">
        <f aca="false">ABS(IFERROR(H52/(F52-G52),H52/E52))</f>
        <v>0.400125628140703</v>
      </c>
    </row>
    <row r="53" customFormat="false" ht="15.75" hidden="false" customHeight="false" outlineLevel="0" collapsed="false">
      <c r="A53" s="3" t="n">
        <v>52</v>
      </c>
      <c r="B53" s="4" t="n">
        <v>45509</v>
      </c>
      <c r="C53" s="23" t="n">
        <v>0</v>
      </c>
      <c r="D53" s="23" t="n">
        <v>0</v>
      </c>
      <c r="E53" s="23" t="n">
        <v>9.83</v>
      </c>
      <c r="F53" s="23" t="n">
        <v>15.91</v>
      </c>
      <c r="G53" s="23" t="n">
        <v>0</v>
      </c>
      <c r="H53" s="23" t="n">
        <f aca="false">((C53+D53+E53)-(F53-G53))</f>
        <v>-6.08</v>
      </c>
      <c r="I53" s="24" t="n">
        <f aca="false">ABS(IFERROR(H53/(F53-G53),H53/E53))</f>
        <v>0.382149591451917</v>
      </c>
    </row>
    <row r="54" customFormat="false" ht="15.75" hidden="false" customHeight="false" outlineLevel="0" collapsed="false">
      <c r="A54" s="3" t="n">
        <v>53</v>
      </c>
      <c r="B54" s="4" t="n">
        <v>45509</v>
      </c>
      <c r="C54" s="23" t="n">
        <v>0</v>
      </c>
      <c r="D54" s="23" t="n">
        <v>0</v>
      </c>
      <c r="E54" s="23" t="n">
        <v>6.99</v>
      </c>
      <c r="F54" s="23" t="n">
        <v>9.82</v>
      </c>
      <c r="G54" s="23" t="n">
        <v>0.98</v>
      </c>
      <c r="H54" s="23" t="n">
        <f aca="false">((C54+D54+E54)-(F54-G54))</f>
        <v>-1.85</v>
      </c>
      <c r="I54" s="24" t="n">
        <f aca="false">ABS(IFERROR(H54/(F54-G54),H54/E54))</f>
        <v>0.209276018099547</v>
      </c>
    </row>
    <row r="55" customFormat="false" ht="15.75" hidden="false" customHeight="false" outlineLevel="0" collapsed="false">
      <c r="A55" s="3" t="n">
        <v>54</v>
      </c>
      <c r="B55" s="4" t="n">
        <v>45509</v>
      </c>
      <c r="C55" s="23" t="n">
        <v>0</v>
      </c>
      <c r="D55" s="23" t="n">
        <v>0</v>
      </c>
      <c r="E55" s="23" t="n">
        <v>6.99</v>
      </c>
      <c r="F55" s="23" t="n">
        <v>8.93</v>
      </c>
      <c r="G55" s="23" t="n">
        <v>0</v>
      </c>
      <c r="H55" s="23" t="n">
        <f aca="false">((C55+D55+E55)-(F55-G55))</f>
        <v>-1.94</v>
      </c>
      <c r="I55" s="24" t="n">
        <f aca="false">ABS(IFERROR(H55/(F55-G55),H55/E55))</f>
        <v>0.217245240761478</v>
      </c>
    </row>
    <row r="56" customFormat="false" ht="15.75" hidden="false" customHeight="false" outlineLevel="0" collapsed="false">
      <c r="A56" s="3" t="n">
        <v>55</v>
      </c>
      <c r="B56" s="4" t="n">
        <v>45509</v>
      </c>
      <c r="C56" s="23" t="n">
        <v>0</v>
      </c>
      <c r="D56" s="23" t="n">
        <v>0</v>
      </c>
      <c r="E56" s="23" t="n">
        <v>23.34</v>
      </c>
      <c r="F56" s="23" t="n">
        <v>31.99</v>
      </c>
      <c r="G56" s="23" t="n">
        <v>0</v>
      </c>
      <c r="H56" s="23" t="n">
        <f aca="false">((C56+D56+E56)-(F56-G56))</f>
        <v>-8.65</v>
      </c>
      <c r="I56" s="24" t="n">
        <f aca="false">ABS(IFERROR(H56/(F56-G56),H56/E56))</f>
        <v>0.270396999062207</v>
      </c>
    </row>
    <row r="57" customFormat="false" ht="15.75" hidden="false" customHeight="false" outlineLevel="0" collapsed="false">
      <c r="A57" s="3" t="n">
        <v>56</v>
      </c>
      <c r="B57" s="4" t="n">
        <v>45509</v>
      </c>
      <c r="C57" s="23" t="n">
        <v>0</v>
      </c>
      <c r="D57" s="23" t="n">
        <v>6</v>
      </c>
      <c r="E57" s="23" t="n">
        <v>21.24</v>
      </c>
      <c r="F57" s="23" t="n">
        <v>29.36</v>
      </c>
      <c r="G57" s="23" t="n">
        <v>5.43</v>
      </c>
      <c r="H57" s="23" t="n">
        <f aca="false">((C57+D57+E57)-(F57-G57))</f>
        <v>3.31</v>
      </c>
      <c r="I57" s="24" t="n">
        <f aca="false">ABS(IFERROR(H57/(F57-G57),H57/E57))</f>
        <v>0.13832010029252</v>
      </c>
    </row>
    <row r="58" customFormat="false" ht="15.75" hidden="false" customHeight="false" outlineLevel="0" collapsed="false">
      <c r="A58" s="3" t="n">
        <v>57</v>
      </c>
      <c r="B58" s="4" t="n">
        <v>45509</v>
      </c>
      <c r="C58" s="23" t="n">
        <v>3</v>
      </c>
      <c r="D58" s="23" t="n">
        <v>6</v>
      </c>
      <c r="E58" s="23" t="n">
        <v>6.99</v>
      </c>
      <c r="F58" s="23" t="n">
        <v>17.59</v>
      </c>
      <c r="G58" s="23" t="n">
        <v>2.62</v>
      </c>
      <c r="H58" s="23" t="n">
        <f aca="false">((C58+D58+E58)-(F58-G58))</f>
        <v>1.02</v>
      </c>
      <c r="I58" s="24" t="n">
        <f aca="false">ABS(IFERROR(H58/(F58-G58),H58/E58))</f>
        <v>0.0681362725450903</v>
      </c>
    </row>
    <row r="59" customFormat="false" ht="15.75" hidden="false" customHeight="false" outlineLevel="0" collapsed="false">
      <c r="A59" s="3" t="n">
        <v>58</v>
      </c>
      <c r="B59" s="4" t="n">
        <v>45509</v>
      </c>
      <c r="C59" s="23" t="n">
        <v>0</v>
      </c>
      <c r="D59" s="23" t="n">
        <v>6</v>
      </c>
      <c r="E59" s="23" t="n">
        <v>14.12</v>
      </c>
      <c r="F59" s="23" t="n">
        <v>21.99</v>
      </c>
      <c r="G59" s="23" t="n">
        <v>2.04</v>
      </c>
      <c r="H59" s="23" t="n">
        <f aca="false">((C59+D59+E59)-(F59-G59))</f>
        <v>0.169999999999998</v>
      </c>
      <c r="I59" s="24" t="n">
        <f aca="false">ABS(IFERROR(H59/(F59-G59),H59/E59))</f>
        <v>0.00852130325814527</v>
      </c>
    </row>
    <row r="60" customFormat="false" ht="15.75" hidden="false" customHeight="false" outlineLevel="0" collapsed="false">
      <c r="A60" s="3" t="n">
        <v>59</v>
      </c>
      <c r="B60" s="4" t="n">
        <v>45509</v>
      </c>
      <c r="C60" s="23" t="n">
        <v>3.25</v>
      </c>
      <c r="D60" s="23" t="n">
        <v>0</v>
      </c>
      <c r="E60" s="23" t="n">
        <v>18.55</v>
      </c>
      <c r="F60" s="23" t="n">
        <v>23.42</v>
      </c>
      <c r="G60" s="23" t="n">
        <v>9.45</v>
      </c>
      <c r="H60" s="23" t="n">
        <f aca="false">((C60+D60+E60)-(F60-G60))</f>
        <v>7.83</v>
      </c>
      <c r="I60" s="24" t="n">
        <f aca="false">ABS(IFERROR(H60/(F60-G60),H60/E60))</f>
        <v>0.560486757337151</v>
      </c>
    </row>
    <row r="61" customFormat="false" ht="15.75" hidden="false" customHeight="false" outlineLevel="0" collapsed="false">
      <c r="A61" s="3" t="n">
        <v>60</v>
      </c>
      <c r="B61" s="4" t="n">
        <v>45509</v>
      </c>
      <c r="C61" s="23" t="n">
        <v>0</v>
      </c>
      <c r="D61" s="23" t="n">
        <v>0</v>
      </c>
      <c r="E61" s="23" t="n">
        <v>39.45</v>
      </c>
      <c r="F61" s="23" t="n">
        <v>42.98</v>
      </c>
      <c r="G61" s="23" t="n">
        <v>0</v>
      </c>
      <c r="H61" s="23" t="n">
        <f aca="false">((C61+D61+E61)-(F61-G61))</f>
        <v>-3.52999999999999</v>
      </c>
      <c r="I61" s="24" t="n">
        <f aca="false">ABS(IFERROR(H61/(F61-G61),H61/E61))</f>
        <v>0.0821312238250348</v>
      </c>
    </row>
    <row r="62" customFormat="false" ht="15.75" hidden="false" customHeight="false" outlineLevel="0" collapsed="false">
      <c r="A62" s="3" t="n">
        <v>61</v>
      </c>
      <c r="B62" s="4" t="n">
        <v>45509</v>
      </c>
      <c r="C62" s="23" t="n">
        <v>0</v>
      </c>
      <c r="D62" s="23" t="n">
        <v>0</v>
      </c>
      <c r="E62" s="23" t="n">
        <v>6.99</v>
      </c>
      <c r="F62" s="23" t="n">
        <v>8.94</v>
      </c>
      <c r="G62" s="23" t="n">
        <v>0</v>
      </c>
      <c r="H62" s="23" t="n">
        <f aca="false">((C62+D62+E62)-(F62-G62))</f>
        <v>-1.95</v>
      </c>
      <c r="I62" s="24" t="n">
        <f aca="false">ABS(IFERROR(H62/(F62-G62),H62/E62))</f>
        <v>0.218120805369127</v>
      </c>
    </row>
    <row r="63" customFormat="false" ht="15.75" hidden="false" customHeight="false" outlineLevel="0" collapsed="false">
      <c r="A63" s="3" t="n">
        <v>62</v>
      </c>
      <c r="B63" s="4" t="n">
        <v>45509</v>
      </c>
      <c r="C63" s="23" t="n">
        <v>1</v>
      </c>
      <c r="D63" s="23" t="n">
        <v>0</v>
      </c>
      <c r="E63" s="23" t="n">
        <v>18.59</v>
      </c>
      <c r="F63" s="23" t="n">
        <v>21.47</v>
      </c>
      <c r="G63" s="23" t="n">
        <v>3.45</v>
      </c>
      <c r="H63" s="23" t="n">
        <f aca="false">((C63+D63+E63)-(F63-G63))</f>
        <v>1.57</v>
      </c>
      <c r="I63" s="24" t="n">
        <f aca="false">ABS(IFERROR(H63/(F63-G63),H63/E63))</f>
        <v>0.0871254162042176</v>
      </c>
    </row>
    <row r="64" customFormat="false" ht="15.75" hidden="false" customHeight="false" outlineLevel="0" collapsed="false">
      <c r="A64" s="3" t="n">
        <v>63</v>
      </c>
      <c r="B64" s="4" t="n">
        <v>45509</v>
      </c>
      <c r="C64" s="23" t="n">
        <v>6.25</v>
      </c>
      <c r="D64" s="23" t="n">
        <v>0</v>
      </c>
      <c r="E64" s="23" t="n">
        <v>12.86</v>
      </c>
      <c r="F64" s="23" t="n">
        <v>20.82</v>
      </c>
      <c r="G64" s="23" t="n">
        <v>3.92</v>
      </c>
      <c r="H64" s="23" t="n">
        <f aca="false">((C64+D64+E64)-(F64-G64))</f>
        <v>2.21</v>
      </c>
      <c r="I64" s="24" t="n">
        <f aca="false">ABS(IFERROR(H64/(F64-G64),H64/E64))</f>
        <v>0.130769230769231</v>
      </c>
    </row>
    <row r="65" customFormat="false" ht="15.75" hidden="false" customHeight="false" outlineLevel="0" collapsed="false">
      <c r="A65" s="3" t="n">
        <v>64</v>
      </c>
      <c r="B65" s="4" t="n">
        <v>45510</v>
      </c>
      <c r="C65" s="23" t="n">
        <v>3.55</v>
      </c>
      <c r="D65" s="23" t="n">
        <v>0</v>
      </c>
      <c r="E65" s="23" t="n">
        <v>11.8</v>
      </c>
      <c r="F65" s="23" t="n">
        <v>19.41</v>
      </c>
      <c r="G65" s="23" t="n">
        <v>7.76</v>
      </c>
      <c r="H65" s="23" t="n">
        <f aca="false">((C65+D65+E65)-(F65-G65))</f>
        <v>3.7</v>
      </c>
      <c r="I65" s="24" t="n">
        <f aca="false">ABS(IFERROR(H65/(F65-G65),H65/E65))</f>
        <v>0.317596566523605</v>
      </c>
    </row>
    <row r="66" customFormat="false" ht="15.75" hidden="false" customHeight="false" outlineLevel="0" collapsed="false">
      <c r="A66" s="3" t="n">
        <v>65</v>
      </c>
      <c r="B66" s="4" t="n">
        <v>45510</v>
      </c>
      <c r="C66" s="23" t="n">
        <v>0</v>
      </c>
      <c r="D66" s="23" t="n">
        <v>0</v>
      </c>
      <c r="E66" s="23" t="n">
        <v>23.99</v>
      </c>
      <c r="F66" s="23" t="n">
        <v>26.17</v>
      </c>
      <c r="G66" s="23" t="n">
        <v>1.76</v>
      </c>
      <c r="H66" s="23" t="n">
        <f aca="false">((C66+D66+E66)-(F66-G66))</f>
        <v>-0.420000000000002</v>
      </c>
      <c r="I66" s="24" t="n">
        <f aca="false">ABS(IFERROR(H66/(F66-G66),H66/E66))</f>
        <v>0.0172060630888981</v>
      </c>
    </row>
    <row r="67" customFormat="false" ht="15.75" hidden="false" customHeight="false" outlineLevel="0" collapsed="false">
      <c r="A67" s="3" t="n">
        <v>66</v>
      </c>
      <c r="B67" s="4" t="n">
        <v>45510</v>
      </c>
      <c r="C67" s="23" t="n">
        <v>0</v>
      </c>
      <c r="D67" s="23" t="n">
        <v>0</v>
      </c>
      <c r="E67" s="23" t="n">
        <v>20.96</v>
      </c>
      <c r="F67" s="23" t="n">
        <v>34.64</v>
      </c>
      <c r="G67" s="23" t="n">
        <v>0</v>
      </c>
      <c r="H67" s="23" t="n">
        <f aca="false">((C67+D67+E67)-(F67-G67))</f>
        <v>-13.68</v>
      </c>
      <c r="I67" s="24" t="n">
        <f aca="false">ABS(IFERROR(H67/(F67-G67),H67/E67))</f>
        <v>0.394919168591224</v>
      </c>
      <c r="J67" s="28"/>
    </row>
    <row r="68" customFormat="false" ht="15.75" hidden="false" customHeight="false" outlineLevel="0" collapsed="false">
      <c r="A68" s="3" t="n">
        <v>67</v>
      </c>
      <c r="B68" s="4" t="n">
        <v>45510</v>
      </c>
      <c r="C68" s="23" t="n">
        <v>0</v>
      </c>
      <c r="D68" s="23" t="n">
        <v>0</v>
      </c>
      <c r="E68" s="23" t="n">
        <v>8.25</v>
      </c>
      <c r="F68" s="23" t="n">
        <v>12.91</v>
      </c>
      <c r="G68" s="23" t="n">
        <v>0</v>
      </c>
      <c r="H68" s="23" t="n">
        <f aca="false">((C68+D68+E68)-(F68-G68))</f>
        <v>-4.66</v>
      </c>
      <c r="I68" s="24" t="n">
        <f aca="false">ABS(IFERROR(H68/(F68-G68),H68/E68))</f>
        <v>0.360960495739737</v>
      </c>
    </row>
    <row r="69" customFormat="false" ht="15.75" hidden="false" customHeight="false" outlineLevel="0" collapsed="false">
      <c r="A69" s="3" t="n">
        <v>68</v>
      </c>
      <c r="B69" s="4" t="n">
        <v>45510</v>
      </c>
      <c r="C69" s="23" t="n">
        <v>0</v>
      </c>
      <c r="D69" s="23" t="n">
        <v>0</v>
      </c>
      <c r="E69" s="23" t="n">
        <v>9.55</v>
      </c>
      <c r="F69" s="23" t="n">
        <v>15.91</v>
      </c>
      <c r="G69" s="23" t="n">
        <v>0</v>
      </c>
      <c r="H69" s="23" t="n">
        <f aca="false">((C69+D69+E69)-(F69-G69))</f>
        <v>-6.36</v>
      </c>
      <c r="I69" s="24" t="n">
        <f aca="false">ABS(IFERROR(H69/(F69-G69),H69/E69))</f>
        <v>0.399748585795097</v>
      </c>
    </row>
    <row r="70" customFormat="false" ht="15.75" hidden="false" customHeight="false" outlineLevel="0" collapsed="false">
      <c r="A70" s="3" t="n">
        <v>69</v>
      </c>
      <c r="B70" s="4" t="n">
        <v>45510</v>
      </c>
      <c r="C70" s="23" t="n">
        <v>1.25</v>
      </c>
      <c r="D70" s="23" t="n">
        <v>0</v>
      </c>
      <c r="E70" s="23" t="n">
        <v>20.57</v>
      </c>
      <c r="F70" s="23" t="n">
        <v>23.75</v>
      </c>
      <c r="G70" s="23" t="n">
        <v>2.85</v>
      </c>
      <c r="H70" s="23" t="n">
        <f aca="false">((C70+D70+E70)-(F70-G70))</f>
        <v>0.920000000000002</v>
      </c>
      <c r="I70" s="24" t="n">
        <f aca="false">ABS(IFERROR(H70/(F70-G70),H70/E70))</f>
        <v>0.0440191387559809</v>
      </c>
    </row>
    <row r="71" customFormat="false" ht="15.75" hidden="false" customHeight="false" outlineLevel="0" collapsed="false">
      <c r="A71" s="3" t="n">
        <v>70</v>
      </c>
      <c r="B71" s="4" t="n">
        <v>45510</v>
      </c>
      <c r="C71" s="23" t="n">
        <v>0</v>
      </c>
      <c r="D71" s="23" t="n">
        <v>0</v>
      </c>
      <c r="E71" s="23" t="n">
        <v>6.99</v>
      </c>
      <c r="F71" s="23" t="n">
        <v>9.94</v>
      </c>
      <c r="G71" s="23" t="n">
        <v>0</v>
      </c>
      <c r="H71" s="23" t="n">
        <f aca="false">((C71+D71+E71)-(F71-G71))</f>
        <v>-2.95</v>
      </c>
      <c r="I71" s="24" t="n">
        <f aca="false">ABS(IFERROR(H71/(F71-G71),H71/E71))</f>
        <v>0.296780684104628</v>
      </c>
    </row>
    <row r="72" customFormat="false" ht="15.75" hidden="false" customHeight="false" outlineLevel="0" collapsed="false">
      <c r="A72" s="3" t="n">
        <v>71</v>
      </c>
      <c r="B72" s="4" t="n">
        <v>45510</v>
      </c>
      <c r="C72" s="23" t="n">
        <v>0</v>
      </c>
      <c r="D72" s="23" t="n">
        <v>0</v>
      </c>
      <c r="E72" s="23" t="n">
        <v>15.96</v>
      </c>
      <c r="F72" s="23" t="n">
        <v>17.61</v>
      </c>
      <c r="G72" s="23" t="n">
        <v>1.68</v>
      </c>
      <c r="H72" s="23" t="n">
        <f aca="false">((C72+D72+E72)-(F72-G72))</f>
        <v>0.0300000000000011</v>
      </c>
      <c r="I72" s="24" t="n">
        <f aca="false">ABS(IFERROR(H72/(F72-G72),H72/E72))</f>
        <v>0.00188323917137484</v>
      </c>
    </row>
    <row r="73" customFormat="false" ht="15.75" hidden="false" customHeight="false" outlineLevel="0" collapsed="false">
      <c r="A73" s="3" t="n">
        <v>72</v>
      </c>
      <c r="B73" s="4" t="n">
        <v>45510</v>
      </c>
      <c r="C73" s="23" t="n">
        <v>2.71</v>
      </c>
      <c r="D73" s="23" t="n">
        <v>0</v>
      </c>
      <c r="E73" s="23" t="n">
        <v>13.16</v>
      </c>
      <c r="F73" s="23" t="n">
        <v>25.1</v>
      </c>
      <c r="G73" s="23" t="n">
        <v>0</v>
      </c>
      <c r="H73" s="23" t="n">
        <f aca="false">((C73+D73+E73)-(F73-G73))</f>
        <v>-9.23</v>
      </c>
      <c r="I73" s="24" t="n">
        <f aca="false">ABS(IFERROR(H73/(F73-G73),H73/E73))</f>
        <v>0.367729083665339</v>
      </c>
    </row>
    <row r="74" customFormat="false" ht="15.75" hidden="false" customHeight="false" outlineLevel="0" collapsed="false">
      <c r="A74" s="3" t="n">
        <v>73</v>
      </c>
      <c r="B74" s="4" t="n">
        <v>45510</v>
      </c>
      <c r="C74" s="23" t="n">
        <v>0</v>
      </c>
      <c r="D74" s="23" t="n">
        <v>0</v>
      </c>
      <c r="E74" s="23" t="n">
        <v>6.38</v>
      </c>
      <c r="F74" s="23" t="n">
        <v>0</v>
      </c>
      <c r="G74" s="23" t="n">
        <v>0</v>
      </c>
      <c r="H74" s="23" t="n">
        <f aca="false">((C74+D74+E74)-(F74-G74))</f>
        <v>6.38</v>
      </c>
      <c r="I74" s="24" t="n">
        <f aca="false">ABS(IFERROR(H74/(F74-G74),H74/E74))</f>
        <v>1</v>
      </c>
    </row>
    <row r="75" customFormat="false" ht="15.75" hidden="false" customHeight="false" outlineLevel="0" collapsed="false">
      <c r="A75" s="3" t="n">
        <v>74</v>
      </c>
      <c r="B75" s="4" t="n">
        <v>45510</v>
      </c>
      <c r="C75" s="23" t="n">
        <v>1.25</v>
      </c>
      <c r="D75" s="23" t="n">
        <v>0</v>
      </c>
      <c r="E75" s="23" t="n">
        <v>11.62</v>
      </c>
      <c r="F75" s="23" t="n">
        <v>14.4</v>
      </c>
      <c r="G75" s="23" t="n">
        <v>0.46</v>
      </c>
      <c r="H75" s="23" t="n">
        <f aca="false">((C75+D75+E75)-(F75-G75))</f>
        <v>-1.07</v>
      </c>
      <c r="I75" s="24" t="n">
        <f aca="false">ABS(IFERROR(H75/(F75-G75),H75/E75))</f>
        <v>0.0767575322812052</v>
      </c>
    </row>
    <row r="76" customFormat="false" ht="15.75" hidden="false" customHeight="false" outlineLevel="0" collapsed="false">
      <c r="A76" s="3" t="n">
        <v>75</v>
      </c>
      <c r="B76" s="4" t="n">
        <v>45510</v>
      </c>
      <c r="C76" s="23" t="n">
        <v>0</v>
      </c>
      <c r="D76" s="23" t="n">
        <v>0</v>
      </c>
      <c r="E76" s="23" t="n">
        <v>19.18</v>
      </c>
      <c r="F76" s="23" t="n">
        <v>21.06</v>
      </c>
      <c r="G76" s="23" t="n">
        <v>8.79</v>
      </c>
      <c r="H76" s="23" t="n">
        <f aca="false">((C76+D76+E76)-(F76-G76))</f>
        <v>6.91</v>
      </c>
      <c r="I76" s="24" t="n">
        <f aca="false">ABS(IFERROR(H76/(F76-G76),H76/E76))</f>
        <v>0.563162184189079</v>
      </c>
    </row>
    <row r="77" customFormat="false" ht="15.75" hidden="false" customHeight="false" outlineLevel="0" collapsed="false">
      <c r="A77" s="3" t="n">
        <v>76</v>
      </c>
      <c r="B77" s="4" t="n">
        <v>45510</v>
      </c>
      <c r="C77" s="23" t="n">
        <v>0</v>
      </c>
      <c r="D77" s="23" t="n">
        <v>0</v>
      </c>
      <c r="E77" s="23" t="n">
        <v>9.67</v>
      </c>
      <c r="F77" s="23" t="n">
        <v>14.9</v>
      </c>
      <c r="G77" s="23" t="n">
        <v>0</v>
      </c>
      <c r="H77" s="23" t="n">
        <f aca="false">((C77+D77+E77)-(F77-G77))</f>
        <v>-5.23</v>
      </c>
      <c r="I77" s="24" t="n">
        <f aca="false">ABS(IFERROR(H77/(F77-G77),H77/E77))</f>
        <v>0.351006711409396</v>
      </c>
    </row>
    <row r="78" customFormat="false" ht="15.75" hidden="false" customHeight="false" outlineLevel="0" collapsed="false">
      <c r="A78" s="3" t="n">
        <v>77</v>
      </c>
      <c r="B78" s="4" t="n">
        <v>45510</v>
      </c>
      <c r="C78" s="23" t="n">
        <v>0</v>
      </c>
      <c r="D78" s="23" t="n">
        <v>0</v>
      </c>
      <c r="E78" s="23" t="n">
        <v>20.64</v>
      </c>
      <c r="F78" s="23" t="n">
        <v>22.62</v>
      </c>
      <c r="G78" s="23" t="n">
        <v>0.63</v>
      </c>
      <c r="H78" s="23" t="n">
        <f aca="false">((C78+D78+E78)-(F78-G78))</f>
        <v>-1.35</v>
      </c>
      <c r="I78" s="24" t="n">
        <f aca="false">ABS(IFERROR(H78/(F78-G78),H78/E78))</f>
        <v>0.0613915416098227</v>
      </c>
    </row>
    <row r="79" customFormat="false" ht="15.75" hidden="false" customHeight="false" outlineLevel="0" collapsed="false">
      <c r="A79" s="3" t="n">
        <v>78</v>
      </c>
      <c r="B79" s="4" t="n">
        <v>45511</v>
      </c>
      <c r="C79" s="23" t="n">
        <v>3.55</v>
      </c>
      <c r="D79" s="23" t="n">
        <v>0</v>
      </c>
      <c r="E79" s="23" t="n">
        <v>9.44</v>
      </c>
      <c r="F79" s="23" t="n">
        <v>14.96</v>
      </c>
      <c r="G79" s="23" t="n">
        <v>1.72</v>
      </c>
      <c r="H79" s="23" t="n">
        <f aca="false">((C79+D79+E79)-(F79-G79))</f>
        <v>-0.250000000000002</v>
      </c>
      <c r="I79" s="24" t="n">
        <f aca="false">ABS(IFERROR(H79/(F79-G79),H79/E79))</f>
        <v>0.0188821752265862</v>
      </c>
    </row>
    <row r="80" customFormat="false" ht="15.75" hidden="false" customHeight="false" outlineLevel="0" collapsed="false">
      <c r="A80" s="3" t="n">
        <v>79</v>
      </c>
      <c r="B80" s="4" t="n">
        <v>45511</v>
      </c>
      <c r="C80" s="23" t="n">
        <v>0</v>
      </c>
      <c r="D80" s="23" t="n">
        <v>0</v>
      </c>
      <c r="E80" s="23" t="n">
        <v>25.54</v>
      </c>
      <c r="F80" s="23" t="n">
        <v>27.05</v>
      </c>
      <c r="G80" s="23" t="n">
        <v>5.15</v>
      </c>
      <c r="H80" s="23" t="n">
        <f aca="false">((C80+D80+E80)-(F80-G80))</f>
        <v>3.64</v>
      </c>
      <c r="I80" s="24" t="n">
        <f aca="false">ABS(IFERROR(H80/(F80-G80),H80/E80))</f>
        <v>0.166210045662101</v>
      </c>
    </row>
    <row r="81" customFormat="false" ht="15.75" hidden="false" customHeight="false" outlineLevel="0" collapsed="false">
      <c r="A81" s="3" t="n">
        <v>80</v>
      </c>
      <c r="B81" s="4" t="n">
        <v>45511</v>
      </c>
      <c r="C81" s="23" t="n">
        <v>0</v>
      </c>
      <c r="D81" s="23" t="n">
        <v>0</v>
      </c>
      <c r="E81" s="23" t="n">
        <v>43.56</v>
      </c>
      <c r="F81" s="23" t="n">
        <v>45.48</v>
      </c>
      <c r="G81" s="23" t="n">
        <v>6.53</v>
      </c>
      <c r="H81" s="23" t="n">
        <f aca="false">((C81+D81+E81)-(F81-G81))</f>
        <v>4.61000000000001</v>
      </c>
      <c r="I81" s="24" t="n">
        <f aca="false">ABS(IFERROR(H81/(F81-G81),H81/E81))</f>
        <v>0.118356867779204</v>
      </c>
    </row>
    <row r="82" customFormat="false" ht="15.75" hidden="false" customHeight="false" outlineLevel="0" collapsed="false">
      <c r="A82" s="3" t="n">
        <v>81</v>
      </c>
      <c r="B82" s="4" t="n">
        <v>45511</v>
      </c>
      <c r="C82" s="23" t="n">
        <v>0</v>
      </c>
      <c r="D82" s="23" t="n">
        <v>0</v>
      </c>
      <c r="E82" s="23" t="n">
        <v>7.18</v>
      </c>
      <c r="F82" s="23" t="n">
        <v>11.97</v>
      </c>
      <c r="G82" s="23" t="n">
        <v>0</v>
      </c>
      <c r="H82" s="23" t="n">
        <f aca="false">((C82+D82+E82)-(F82-G82))</f>
        <v>-4.79</v>
      </c>
      <c r="I82" s="24" t="n">
        <f aca="false">ABS(IFERROR(H82/(F82-G82),H82/E82))</f>
        <v>0.400167084377611</v>
      </c>
    </row>
    <row r="83" customFormat="false" ht="15.75" hidden="false" customHeight="false" outlineLevel="0" collapsed="false">
      <c r="A83" s="3" t="n">
        <v>82</v>
      </c>
      <c r="B83" s="4" t="n">
        <v>45511</v>
      </c>
      <c r="C83" s="23" t="n">
        <v>7</v>
      </c>
      <c r="D83" s="23" t="n">
        <v>0</v>
      </c>
      <c r="E83" s="23" t="n">
        <v>10.7</v>
      </c>
      <c r="F83" s="23" t="n">
        <v>19.3</v>
      </c>
      <c r="G83" s="23" t="n">
        <v>4.33</v>
      </c>
      <c r="H83" s="23" t="n">
        <f aca="false">((C83+D83+E83)-(F83-G83))</f>
        <v>2.73</v>
      </c>
      <c r="I83" s="24" t="n">
        <f aca="false">ABS(IFERROR(H83/(F83-G83),H83/E83))</f>
        <v>0.182364729458918</v>
      </c>
    </row>
    <row r="84" customFormat="false" ht="15.75" hidden="false" customHeight="false" outlineLevel="0" collapsed="false">
      <c r="A84" s="3" t="n">
        <v>83</v>
      </c>
      <c r="B84" s="4" t="n">
        <v>45514</v>
      </c>
      <c r="C84" s="23" t="n">
        <v>3.55</v>
      </c>
      <c r="D84" s="23" t="n">
        <v>0</v>
      </c>
      <c r="E84" s="23" t="n">
        <v>18.21</v>
      </c>
      <c r="F84" s="23" t="n">
        <v>28.42</v>
      </c>
      <c r="G84" s="23" t="n">
        <v>5.68</v>
      </c>
      <c r="H84" s="23" t="n">
        <f aca="false">((C84+D84+E84)-(F84-G84))</f>
        <v>-0.98</v>
      </c>
      <c r="I84" s="24" t="n">
        <f aca="false">ABS(IFERROR(H84/(F84-G84),H84/E84))</f>
        <v>0.0430958663148637</v>
      </c>
    </row>
    <row r="85" customFormat="false" ht="15.75" hidden="false" customHeight="false" outlineLevel="0" collapsed="false">
      <c r="A85" s="3" t="n">
        <v>84</v>
      </c>
      <c r="B85" s="4" t="n">
        <v>45514</v>
      </c>
      <c r="C85" s="23" t="n">
        <v>0</v>
      </c>
      <c r="D85" s="23" t="n">
        <v>0</v>
      </c>
      <c r="E85" s="23" t="n">
        <v>5.4</v>
      </c>
      <c r="F85" s="23" t="n">
        <v>0</v>
      </c>
      <c r="G85" s="23" t="n">
        <v>0</v>
      </c>
      <c r="H85" s="23" t="n">
        <f aca="false">((C85+D85+E85)-(F85-G85))</f>
        <v>5.4</v>
      </c>
      <c r="I85" s="24" t="n">
        <f aca="false">ABS(IFERROR(H85/(F85-G85),H85/E85))</f>
        <v>1</v>
      </c>
    </row>
    <row r="86" customFormat="false" ht="15.75" hidden="false" customHeight="false" outlineLevel="0" collapsed="false">
      <c r="A86" s="3" t="n">
        <v>85</v>
      </c>
      <c r="B86" s="4" t="n">
        <v>45514</v>
      </c>
      <c r="C86" s="23" t="n">
        <v>6.75</v>
      </c>
      <c r="D86" s="23" t="n">
        <v>0</v>
      </c>
      <c r="E86" s="23" t="n">
        <v>10.02</v>
      </c>
      <c r="F86" s="23" t="n">
        <v>18.42</v>
      </c>
      <c r="G86" s="23" t="n">
        <v>2.34</v>
      </c>
      <c r="H86" s="23" t="n">
        <f aca="false">((C86+D86+E86)-(F86-G86))</f>
        <v>0.689999999999998</v>
      </c>
      <c r="I86" s="24" t="n">
        <f aca="false">ABS(IFERROR(H86/(F86-G86),H86/E86))</f>
        <v>0.0429104477611939</v>
      </c>
    </row>
    <row r="87" customFormat="false" ht="15.75" hidden="false" customHeight="false" outlineLevel="0" collapsed="false">
      <c r="A87" s="3" t="n">
        <v>86</v>
      </c>
      <c r="B87" s="4" t="n">
        <v>45514</v>
      </c>
      <c r="C87" s="23" t="n">
        <v>0</v>
      </c>
      <c r="D87" s="23" t="n">
        <v>0</v>
      </c>
      <c r="E87" s="23" t="n">
        <v>27.5</v>
      </c>
      <c r="F87" s="23" t="n">
        <v>29.95</v>
      </c>
      <c r="G87" s="23" t="n">
        <v>0</v>
      </c>
      <c r="H87" s="23" t="n">
        <f aca="false">((C87+D87+E87)-(F87-G87))</f>
        <v>-2.45</v>
      </c>
      <c r="I87" s="24" t="n">
        <f aca="false">ABS(IFERROR(H87/(F87-G87),H87/E87))</f>
        <v>0.0818030050083472</v>
      </c>
    </row>
    <row r="88" customFormat="false" ht="15.75" hidden="false" customHeight="false" outlineLevel="0" collapsed="false">
      <c r="A88" s="3" t="n">
        <v>87</v>
      </c>
      <c r="B88" s="4" t="n">
        <v>45514</v>
      </c>
      <c r="C88" s="23" t="n">
        <v>0</v>
      </c>
      <c r="D88" s="23" t="n">
        <v>0</v>
      </c>
      <c r="E88" s="23" t="n">
        <v>23.04</v>
      </c>
      <c r="F88" s="23" t="n">
        <v>27.9</v>
      </c>
      <c r="G88" s="23" t="n">
        <f aca="false">F88-16.63</f>
        <v>11.27</v>
      </c>
      <c r="H88" s="23" t="n">
        <f aca="false">((C88+D88+E88)-(F88-G88))</f>
        <v>6.41</v>
      </c>
      <c r="I88" s="24" t="n">
        <f aca="false">ABS(IFERROR(H88/(F88-G88),H88/E88))</f>
        <v>0.38544798556825</v>
      </c>
    </row>
    <row r="89" customFormat="false" ht="15.75" hidden="false" customHeight="false" outlineLevel="0" collapsed="false">
      <c r="A89" s="3" t="n">
        <v>88</v>
      </c>
      <c r="B89" s="4" t="n">
        <v>45514</v>
      </c>
      <c r="C89" s="23" t="n">
        <v>0</v>
      </c>
      <c r="D89" s="23" t="n">
        <v>0</v>
      </c>
      <c r="E89" s="23" t="n">
        <v>6.99</v>
      </c>
      <c r="F89" s="23" t="n">
        <v>9.98</v>
      </c>
      <c r="G89" s="23" t="n">
        <v>0</v>
      </c>
      <c r="H89" s="23" t="n">
        <f aca="false">((C89+D89+E89)-(F89-G89))</f>
        <v>-2.99</v>
      </c>
      <c r="I89" s="24" t="n">
        <f aca="false">ABS(IFERROR(H89/(F89-G89),H89/E89))</f>
        <v>0.299599198396794</v>
      </c>
    </row>
    <row r="90" customFormat="false" ht="15.75" hidden="false" customHeight="false" outlineLevel="0" collapsed="false">
      <c r="A90" s="3" t="n">
        <v>89</v>
      </c>
      <c r="B90" s="4" t="n">
        <v>45514</v>
      </c>
      <c r="C90" s="23" t="n">
        <v>3.5</v>
      </c>
      <c r="D90" s="23" t="n">
        <v>0</v>
      </c>
      <c r="E90" s="23" t="n">
        <v>6.99</v>
      </c>
      <c r="F90" s="23" t="n">
        <v>11.82</v>
      </c>
      <c r="G90" s="23" t="n">
        <v>0.91</v>
      </c>
      <c r="H90" s="23" t="n">
        <f aca="false">((C90+D90+E90)-(F90-G90))</f>
        <v>-0.42</v>
      </c>
      <c r="I90" s="24" t="n">
        <f aca="false">ABS(IFERROR(H90/(F90-G90),H90/E90))</f>
        <v>0.0384967919340055</v>
      </c>
    </row>
    <row r="91" customFormat="false" ht="15.75" hidden="false" customHeight="false" outlineLevel="0" collapsed="false">
      <c r="A91" s="3" t="n">
        <v>90</v>
      </c>
      <c r="B91" s="4" t="n">
        <v>45514</v>
      </c>
      <c r="C91" s="23" t="n">
        <v>1</v>
      </c>
      <c r="D91" s="23" t="n">
        <v>0</v>
      </c>
      <c r="E91" s="23" t="n">
        <v>6.99</v>
      </c>
      <c r="F91" s="23" t="n">
        <v>9.29</v>
      </c>
      <c r="G91" s="23" t="n">
        <v>0.35</v>
      </c>
      <c r="H91" s="23" t="n">
        <f aca="false">((C91+D91+E91)-(F91-G91))</f>
        <v>-0.949999999999999</v>
      </c>
      <c r="I91" s="24" t="n">
        <f aca="false">ABS(IFERROR(H91/(F91-G91),H91/E91))</f>
        <v>0.106263982102908</v>
      </c>
    </row>
    <row r="92" customFormat="false" ht="15.75" hidden="false" customHeight="false" outlineLevel="0" collapsed="false">
      <c r="A92" s="3" t="n">
        <v>91</v>
      </c>
      <c r="B92" s="4" t="n">
        <v>45515</v>
      </c>
      <c r="C92" s="23" t="n">
        <v>0</v>
      </c>
      <c r="D92" s="23" t="n">
        <v>0</v>
      </c>
      <c r="E92" s="23" t="n">
        <v>7.58</v>
      </c>
      <c r="F92" s="23" t="n">
        <v>9.73</v>
      </c>
      <c r="G92" s="23" t="n">
        <v>0.97</v>
      </c>
      <c r="H92" s="23" t="n">
        <f aca="false">((C92+D92+E92)-(F92-G92))</f>
        <v>-1.18</v>
      </c>
      <c r="I92" s="24" t="n">
        <f aca="false">ABS(IFERROR(H92/(F92-G92),H92/E92))</f>
        <v>0.134703196347032</v>
      </c>
    </row>
    <row r="93" customFormat="false" ht="15.75" hidden="false" customHeight="false" outlineLevel="0" collapsed="false">
      <c r="A93" s="3" t="n">
        <v>92</v>
      </c>
      <c r="B93" s="4" t="n">
        <v>45515</v>
      </c>
      <c r="C93" s="23" t="n">
        <v>0</v>
      </c>
      <c r="D93" s="23" t="n">
        <v>0</v>
      </c>
      <c r="E93" s="23" t="n">
        <v>7.15</v>
      </c>
      <c r="F93" s="23" t="n">
        <v>9.96</v>
      </c>
      <c r="G93" s="23" t="n">
        <v>0</v>
      </c>
      <c r="H93" s="23" t="n">
        <f aca="false">((C93+D93+E93)-(F93-G93))</f>
        <v>-2.81</v>
      </c>
      <c r="I93" s="24" t="n">
        <f aca="false">ABS(IFERROR(H93/(F93-G93),H93/E93))</f>
        <v>0.282128514056225</v>
      </c>
    </row>
    <row r="94" customFormat="false" ht="15.75" hidden="false" customHeight="false" outlineLevel="0" collapsed="false">
      <c r="A94" s="3" t="n">
        <v>93</v>
      </c>
      <c r="B94" s="4" t="n">
        <v>45515</v>
      </c>
      <c r="C94" s="23" t="n">
        <v>0</v>
      </c>
      <c r="D94" s="23" t="n">
        <v>0</v>
      </c>
      <c r="E94" s="23" t="n">
        <v>6.99</v>
      </c>
      <c r="F94" s="23" t="n">
        <v>9.94</v>
      </c>
      <c r="G94" s="23" t="n">
        <v>0</v>
      </c>
      <c r="H94" s="23" t="n">
        <f aca="false">((C94+D94+E94)-(F94-G94))</f>
        <v>-2.95</v>
      </c>
      <c r="I94" s="24" t="n">
        <f aca="false">ABS(IFERROR(H94/(F94-G94),H94/E94))</f>
        <v>0.296780684104628</v>
      </c>
    </row>
    <row r="95" customFormat="false" ht="15.75" hidden="false" customHeight="false" outlineLevel="0" collapsed="false">
      <c r="A95" s="3" t="n">
        <v>94</v>
      </c>
      <c r="B95" s="4" t="n">
        <v>45515</v>
      </c>
      <c r="C95" s="23" t="n">
        <v>0</v>
      </c>
      <c r="D95" s="23" t="n">
        <v>0</v>
      </c>
      <c r="E95" s="23" t="n">
        <v>6.99</v>
      </c>
      <c r="F95" s="23" t="n">
        <v>8.92</v>
      </c>
      <c r="G95" s="23" t="n">
        <v>0</v>
      </c>
      <c r="H95" s="23" t="n">
        <f aca="false">((C95+D95+E95)-(F95-G95))</f>
        <v>-1.93</v>
      </c>
      <c r="I95" s="24" t="n">
        <f aca="false">ABS(IFERROR(H95/(F95-G95),H95/E95))</f>
        <v>0.216367713004484</v>
      </c>
    </row>
    <row r="96" customFormat="false" ht="15.75" hidden="false" customHeight="false" outlineLevel="0" collapsed="false">
      <c r="A96" s="3" t="n">
        <v>95</v>
      </c>
      <c r="B96" s="4" t="n">
        <v>45515</v>
      </c>
      <c r="C96" s="23" t="n">
        <v>0</v>
      </c>
      <c r="D96" s="23" t="n">
        <v>0</v>
      </c>
      <c r="E96" s="23" t="n">
        <v>19.38</v>
      </c>
      <c r="F96" s="23" t="n">
        <v>21.95</v>
      </c>
      <c r="G96" s="23" t="n">
        <v>0</v>
      </c>
      <c r="H96" s="23" t="n">
        <f aca="false">((C96+D96+E96)-(F96-G96))</f>
        <v>-2.57</v>
      </c>
      <c r="I96" s="24" t="n">
        <f aca="false">ABS(IFERROR(H96/(F96-G96),H96/E96))</f>
        <v>0.117084282460137</v>
      </c>
    </row>
    <row r="97" customFormat="false" ht="15.75" hidden="false" customHeight="false" outlineLevel="0" collapsed="false">
      <c r="A97" s="3" t="n">
        <v>96</v>
      </c>
      <c r="B97" s="4" t="n">
        <v>45515</v>
      </c>
      <c r="C97" s="23" t="n">
        <v>0</v>
      </c>
      <c r="D97" s="23" t="n">
        <v>0</v>
      </c>
      <c r="E97" s="23" t="n">
        <v>25.47</v>
      </c>
      <c r="F97" s="23" t="n">
        <v>27.64</v>
      </c>
      <c r="G97" s="23" t="n">
        <v>4.97</v>
      </c>
      <c r="H97" s="23" t="n">
        <f aca="false">((C97+D97+E97)-(F97-G97))</f>
        <v>2.8</v>
      </c>
      <c r="I97" s="24" t="n">
        <f aca="false">ABS(IFERROR(H97/(F97-G97),H97/E97))</f>
        <v>0.123511248345831</v>
      </c>
    </row>
    <row r="98" customFormat="false" ht="15.75" hidden="false" customHeight="false" outlineLevel="0" collapsed="false">
      <c r="A98" s="3" t="n">
        <v>97</v>
      </c>
      <c r="B98" s="4" t="n">
        <v>45515</v>
      </c>
      <c r="C98" s="23" t="n">
        <v>1.5</v>
      </c>
      <c r="D98" s="23" t="n">
        <v>0</v>
      </c>
      <c r="E98" s="23" t="n">
        <v>16.9</v>
      </c>
      <c r="F98" s="23" t="n">
        <v>22.98</v>
      </c>
      <c r="G98" s="23" t="n">
        <v>0</v>
      </c>
      <c r="H98" s="23" t="n">
        <f aca="false">((C98+D98+E98)-(F98-G98))</f>
        <v>-4.58</v>
      </c>
      <c r="I98" s="24" t="n">
        <f aca="false">ABS(IFERROR(H98/(F98-G98),H98/E98))</f>
        <v>0.199303742384682</v>
      </c>
    </row>
    <row r="99" customFormat="false" ht="15.75" hidden="false" customHeight="false" outlineLevel="0" collapsed="false">
      <c r="A99" s="3" t="n">
        <v>98</v>
      </c>
      <c r="B99" s="4" t="n">
        <v>45515</v>
      </c>
      <c r="C99" s="23" t="n">
        <v>0</v>
      </c>
      <c r="D99" s="23" t="n">
        <v>6</v>
      </c>
      <c r="E99" s="23" t="n">
        <v>6.99</v>
      </c>
      <c r="F99" s="23" t="n">
        <v>14.39</v>
      </c>
      <c r="G99" s="23" t="n">
        <v>3.49</v>
      </c>
      <c r="H99" s="23" t="n">
        <f aca="false">((C99+D99+E99)-(F99-G99))</f>
        <v>2.09</v>
      </c>
      <c r="I99" s="24" t="n">
        <f aca="false">ABS(IFERROR(H99/(F99-G99),H99/E99))</f>
        <v>0.191743119266055</v>
      </c>
    </row>
    <row r="100" customFormat="false" ht="15.75" hidden="false" customHeight="false" outlineLevel="0" collapsed="false">
      <c r="A100" s="3" t="n">
        <v>99</v>
      </c>
      <c r="B100" s="4" t="n">
        <v>45515</v>
      </c>
      <c r="C100" s="23" t="n">
        <v>6.25</v>
      </c>
      <c r="D100" s="23" t="n">
        <v>6</v>
      </c>
      <c r="E100" s="23" t="n">
        <v>24.99</v>
      </c>
      <c r="F100" s="23" t="n">
        <v>40</v>
      </c>
      <c r="G100" s="23" t="n">
        <v>4.98</v>
      </c>
      <c r="H100" s="23" t="n">
        <f aca="false">((C100+D100+E100)-(F100-G100))</f>
        <v>2.22</v>
      </c>
      <c r="I100" s="24" t="n">
        <f aca="false">ABS(IFERROR(H100/(F100-G100),H100/E100))</f>
        <v>0.0633923472301542</v>
      </c>
    </row>
    <row r="101" customFormat="false" ht="15.75" hidden="false" customHeight="false" outlineLevel="0" collapsed="false">
      <c r="A101" s="3" t="n">
        <v>100</v>
      </c>
      <c r="B101" s="4" t="n">
        <v>45515</v>
      </c>
      <c r="C101" s="23" t="n">
        <v>0</v>
      </c>
      <c r="D101" s="23" t="n">
        <v>6</v>
      </c>
      <c r="E101" s="23" t="n">
        <v>13.54</v>
      </c>
      <c r="F101" s="23" t="n">
        <v>22.36</v>
      </c>
      <c r="G101" s="23" t="n">
        <v>1.12</v>
      </c>
      <c r="H101" s="23" t="n">
        <f aca="false">((C101+D101+E101)-(F101-G101))</f>
        <v>-1.7</v>
      </c>
      <c r="I101" s="24" t="n">
        <f aca="false">ABS(IFERROR(H101/(F101-G101),H101/E101))</f>
        <v>0.0800376647834275</v>
      </c>
    </row>
    <row r="102" customFormat="false" ht="15.75" hidden="false" customHeight="false" outlineLevel="0" collapsed="false">
      <c r="A102" s="3" t="n">
        <v>101</v>
      </c>
      <c r="B102" s="4" t="n">
        <v>45515</v>
      </c>
      <c r="C102" s="23" t="n">
        <v>2</v>
      </c>
      <c r="D102" s="23" t="n">
        <v>0</v>
      </c>
      <c r="E102" s="23" t="n">
        <v>7.35</v>
      </c>
      <c r="F102" s="23" t="n">
        <v>13.91</v>
      </c>
      <c r="G102" s="23" t="n">
        <v>1.39</v>
      </c>
      <c r="H102" s="23" t="n">
        <f aca="false">((C102+D102+E102)-(F102-G102))</f>
        <v>-3.17</v>
      </c>
      <c r="I102" s="24" t="n">
        <f aca="false">ABS(IFERROR(H102/(F102-G102),H102/E102))</f>
        <v>0.253194888178914</v>
      </c>
    </row>
    <row r="103" customFormat="false" ht="15.75" hidden="false" customHeight="false" outlineLevel="0" collapsed="false">
      <c r="A103" s="3" t="n">
        <v>102</v>
      </c>
      <c r="B103" s="4" t="n">
        <v>45515</v>
      </c>
      <c r="C103" s="23" t="n">
        <v>0</v>
      </c>
      <c r="D103" s="23" t="n">
        <v>0</v>
      </c>
      <c r="E103" s="23" t="n">
        <v>10.16</v>
      </c>
      <c r="F103" s="23" t="n">
        <v>16.94</v>
      </c>
      <c r="G103" s="23" t="n">
        <v>0</v>
      </c>
      <c r="H103" s="23" t="n">
        <f aca="false">((C103+D103+E103)-(F103-G103))</f>
        <v>-6.78</v>
      </c>
      <c r="I103" s="24" t="n">
        <f aca="false">ABS(IFERROR(H103/(F103-G103),H103/E103))</f>
        <v>0.400236127508855</v>
      </c>
    </row>
    <row r="104" customFormat="false" ht="15.75" hidden="false" customHeight="false" outlineLevel="0" collapsed="false">
      <c r="A104" s="3" t="n">
        <v>103</v>
      </c>
      <c r="B104" s="4" t="n">
        <v>45515</v>
      </c>
      <c r="C104" s="23" t="n">
        <v>0</v>
      </c>
      <c r="D104" s="23" t="n">
        <v>0</v>
      </c>
      <c r="E104" s="23" t="n">
        <v>10.74</v>
      </c>
      <c r="F104" s="23" t="n">
        <v>17.9</v>
      </c>
      <c r="G104" s="23" t="n">
        <v>0</v>
      </c>
      <c r="H104" s="23" t="n">
        <f aca="false">((C104+D104+E104)-(F104-G104))</f>
        <v>-7.16</v>
      </c>
      <c r="I104" s="24" t="n">
        <f aca="false">ABS(IFERROR(H104/(F104-G104),H104/E104))</f>
        <v>0.4</v>
      </c>
    </row>
    <row r="105" customFormat="false" ht="15.75" hidden="false" customHeight="false" outlineLevel="0" collapsed="false">
      <c r="A105" s="3" t="n">
        <v>104</v>
      </c>
      <c r="B105" s="4" t="n">
        <v>45515</v>
      </c>
      <c r="C105" s="23" t="n">
        <v>0</v>
      </c>
      <c r="D105" s="23" t="n">
        <v>0</v>
      </c>
      <c r="E105" s="23" t="n">
        <v>12.85</v>
      </c>
      <c r="F105" s="23" t="n">
        <v>17.98</v>
      </c>
      <c r="G105" s="23" t="n">
        <v>0</v>
      </c>
      <c r="H105" s="23" t="n">
        <f aca="false">((C105+D105+E105)-(F105-G105))</f>
        <v>-5.13</v>
      </c>
      <c r="I105" s="24" t="n">
        <f aca="false">ABS(IFERROR(H105/(F105-G105),H105/E105))</f>
        <v>0.2853170189099</v>
      </c>
    </row>
    <row r="106" customFormat="false" ht="15.75" hidden="false" customHeight="false" outlineLevel="0" collapsed="false">
      <c r="A106" s="3" t="n">
        <v>105</v>
      </c>
      <c r="B106" s="4" t="n">
        <v>45515</v>
      </c>
      <c r="C106" s="23" t="n">
        <v>0</v>
      </c>
      <c r="D106" s="23" t="n">
        <v>0</v>
      </c>
      <c r="E106" s="23" t="n">
        <v>9.56</v>
      </c>
      <c r="F106" s="23" t="n">
        <v>15.93</v>
      </c>
      <c r="G106" s="23" t="n">
        <v>0</v>
      </c>
      <c r="H106" s="23" t="n">
        <f aca="false">((C106+D106+E106)-(F106-G106))</f>
        <v>-6.37</v>
      </c>
      <c r="I106" s="24" t="n">
        <f aca="false">ABS(IFERROR(H106/(F106-G106),H106/E106))</f>
        <v>0.399874450721908</v>
      </c>
    </row>
    <row r="107" customFormat="false" ht="15.75" hidden="false" customHeight="false" outlineLevel="0" collapsed="false">
      <c r="A107" s="3" t="n">
        <v>106</v>
      </c>
      <c r="B107" s="4" t="n">
        <v>45516</v>
      </c>
      <c r="C107" s="23" t="n">
        <v>3.5</v>
      </c>
      <c r="D107" s="23" t="n">
        <v>0</v>
      </c>
      <c r="E107" s="23" t="n">
        <v>6.99</v>
      </c>
      <c r="F107" s="23" t="n">
        <v>11.97</v>
      </c>
      <c r="G107" s="23" t="n">
        <v>0.01</v>
      </c>
      <c r="H107" s="23" t="n">
        <f aca="false">((C107+D107+E107)-(F107-G107))</f>
        <v>-1.47</v>
      </c>
      <c r="I107" s="24" t="n">
        <f aca="false">ABS(IFERROR(H107/(F107-G107),H107/E107))</f>
        <v>0.122909698996656</v>
      </c>
    </row>
    <row r="108" customFormat="false" ht="15.75" hidden="false" customHeight="false" outlineLevel="0" collapsed="false">
      <c r="A108" s="3" t="n">
        <v>107</v>
      </c>
      <c r="B108" s="4" t="n">
        <v>45516</v>
      </c>
      <c r="C108" s="23" t="n">
        <v>9</v>
      </c>
      <c r="D108" s="23" t="n">
        <v>0</v>
      </c>
      <c r="E108" s="23" t="n">
        <v>16.79</v>
      </c>
      <c r="F108" s="23" t="n">
        <v>27.98</v>
      </c>
      <c r="G108" s="23" t="n">
        <v>2.02</v>
      </c>
      <c r="H108" s="23" t="n">
        <f aca="false">((C108+D108+E108)-(F108-G108))</f>
        <v>-0.170000000000002</v>
      </c>
      <c r="I108" s="24" t="n">
        <f aca="false">ABS(IFERROR(H108/(F108-G108),H108/E108))</f>
        <v>0.00654853620955322</v>
      </c>
    </row>
    <row r="109" customFormat="false" ht="15.75" hidden="false" customHeight="false" outlineLevel="0" collapsed="false">
      <c r="A109" s="3" t="n">
        <v>108</v>
      </c>
      <c r="B109" s="4" t="n">
        <v>45516</v>
      </c>
      <c r="C109" s="23" t="n">
        <v>2.25</v>
      </c>
      <c r="D109" s="23" t="n">
        <v>0</v>
      </c>
      <c r="E109" s="23" t="n">
        <v>20.64</v>
      </c>
      <c r="F109" s="23" t="n">
        <v>26.03</v>
      </c>
      <c r="G109" s="23" t="n">
        <v>0</v>
      </c>
      <c r="H109" s="23" t="n">
        <f aca="false">((C109+D109+E109)-(F109-G109))</f>
        <v>-3.14</v>
      </c>
      <c r="I109" s="24" t="n">
        <f aca="false">ABS(IFERROR(H109/(F109-G109),H109/E109))</f>
        <v>0.120630042258932</v>
      </c>
    </row>
    <row r="110" customFormat="false" ht="15.75" hidden="false" customHeight="false" outlineLevel="0" collapsed="false">
      <c r="A110" s="3" t="n">
        <v>109</v>
      </c>
      <c r="B110" s="4" t="n">
        <v>45516</v>
      </c>
      <c r="C110" s="23" t="n">
        <v>1</v>
      </c>
      <c r="D110" s="23" t="n">
        <v>0</v>
      </c>
      <c r="E110" s="23" t="n">
        <v>12.81</v>
      </c>
      <c r="F110" s="23" t="n">
        <v>17.97</v>
      </c>
      <c r="G110" s="23" t="n">
        <v>1.8</v>
      </c>
      <c r="H110" s="23" t="n">
        <f aca="false">((C110+D110+E110)-(F110-G110))</f>
        <v>-2.36</v>
      </c>
      <c r="I110" s="24" t="n">
        <f aca="false">ABS(IFERROR(H110/(F110-G110),H110/E110))</f>
        <v>0.145949288806432</v>
      </c>
    </row>
    <row r="111" customFormat="false" ht="15.75" hidden="false" customHeight="false" outlineLevel="0" collapsed="false">
      <c r="A111" s="3" t="n">
        <v>110</v>
      </c>
      <c r="B111" s="4" t="n">
        <v>45516</v>
      </c>
      <c r="C111" s="23" t="n">
        <v>24</v>
      </c>
      <c r="D111" s="23" t="n">
        <v>0</v>
      </c>
      <c r="E111" s="23" t="n">
        <v>14.95</v>
      </c>
      <c r="F111" s="23" t="n">
        <v>45.91</v>
      </c>
      <c r="G111" s="23" t="n">
        <v>0</v>
      </c>
      <c r="H111" s="23" t="n">
        <f aca="false">((C111+D111+E111)-(F111-G111))</f>
        <v>-6.95999999999999</v>
      </c>
      <c r="I111" s="24" t="n">
        <f aca="false">ABS(IFERROR(H111/(F111-G111),H111/E111))</f>
        <v>0.151600958396863</v>
      </c>
    </row>
    <row r="112" customFormat="false" ht="15.75" hidden="false" customHeight="false" outlineLevel="0" collapsed="false">
      <c r="A112" s="3" t="n">
        <v>111</v>
      </c>
      <c r="B112" s="4" t="n">
        <v>45516</v>
      </c>
      <c r="C112" s="23" t="n">
        <v>0</v>
      </c>
      <c r="D112" s="23" t="n">
        <v>0</v>
      </c>
      <c r="E112" s="23" t="n">
        <v>32.17</v>
      </c>
      <c r="F112" s="23" t="n">
        <v>46.77</v>
      </c>
      <c r="G112" s="23" t="n">
        <v>0</v>
      </c>
      <c r="H112" s="23" t="n">
        <f aca="false">((C112+D112+E112)-(F112-G112))</f>
        <v>-14.6</v>
      </c>
      <c r="I112" s="24" t="n">
        <f aca="false">ABS(IFERROR(H112/(F112-G112),H112/E112))</f>
        <v>0.312165918323712</v>
      </c>
    </row>
    <row r="113" customFormat="false" ht="15.75" hidden="false" customHeight="false" outlineLevel="0" collapsed="false">
      <c r="A113" s="3" t="n">
        <v>112</v>
      </c>
      <c r="B113" s="4" t="n">
        <v>45516</v>
      </c>
      <c r="C113" s="23" t="n">
        <v>0</v>
      </c>
      <c r="D113" s="23" t="n">
        <v>0</v>
      </c>
      <c r="E113" s="23" t="n">
        <v>24.42</v>
      </c>
      <c r="F113" s="23" t="n">
        <v>30.12</v>
      </c>
      <c r="G113" s="23" t="n">
        <v>3.01</v>
      </c>
      <c r="H113" s="23" t="n">
        <f aca="false">((C113+D113+E113)-(F113-G113))</f>
        <v>-2.69</v>
      </c>
      <c r="I113" s="24" t="n">
        <f aca="false">ABS(IFERROR(H113/(F113-G113),H113/E113))</f>
        <v>0.0992253780892659</v>
      </c>
    </row>
    <row r="114" customFormat="false" ht="15.75" hidden="false" customHeight="false" outlineLevel="0" collapsed="false">
      <c r="A114" s="3" t="n">
        <v>113</v>
      </c>
      <c r="B114" s="4" t="n">
        <v>45516</v>
      </c>
      <c r="C114" s="23" t="n">
        <v>7.5</v>
      </c>
      <c r="D114" s="23" t="n">
        <v>0</v>
      </c>
      <c r="E114" s="23" t="n">
        <v>11.82</v>
      </c>
      <c r="F114" s="23" t="n">
        <v>21.97</v>
      </c>
      <c r="G114" s="23" t="n">
        <v>0</v>
      </c>
      <c r="H114" s="23" t="n">
        <f aca="false">((C114+D114+E114)-(F114-G114))</f>
        <v>-2.65</v>
      </c>
      <c r="I114" s="24" t="n">
        <f aca="false">ABS(IFERROR(H114/(F114-G114),H114/E114))</f>
        <v>0.12061902594447</v>
      </c>
    </row>
    <row r="115" customFormat="false" ht="15.75" hidden="false" customHeight="false" outlineLevel="0" collapsed="false">
      <c r="A115" s="3" t="n">
        <v>114</v>
      </c>
      <c r="B115" s="4" t="n">
        <v>45516</v>
      </c>
      <c r="C115" s="23" t="n">
        <v>1</v>
      </c>
      <c r="D115" s="23" t="n">
        <v>0</v>
      </c>
      <c r="E115" s="23" t="n">
        <v>7.39</v>
      </c>
      <c r="F115" s="23" t="n">
        <v>13.99</v>
      </c>
      <c r="G115" s="23" t="n">
        <v>0</v>
      </c>
      <c r="H115" s="23" t="n">
        <f aca="false">((C115+D115+E115)-(F115-G115))</f>
        <v>-5.6</v>
      </c>
      <c r="I115" s="24" t="n">
        <f aca="false">ABS(IFERROR(H115/(F115-G115),H115/E115))</f>
        <v>0.400285918513224</v>
      </c>
    </row>
    <row r="116" customFormat="false" ht="15.75" hidden="false" customHeight="false" outlineLevel="0" collapsed="false">
      <c r="A116" s="3" t="n">
        <v>115</v>
      </c>
      <c r="B116" s="4" t="n">
        <v>45517</v>
      </c>
      <c r="C116" s="23" t="n">
        <v>0</v>
      </c>
      <c r="D116" s="23" t="n">
        <v>0</v>
      </c>
      <c r="E116" s="23" t="n">
        <v>8.35</v>
      </c>
      <c r="F116" s="23" t="n">
        <v>13.92</v>
      </c>
      <c r="G116" s="23" t="n">
        <v>0</v>
      </c>
      <c r="H116" s="23" t="n">
        <f aca="false">((C116+D116+E116)-(F116-G116))</f>
        <v>-5.57</v>
      </c>
      <c r="I116" s="24" t="n">
        <f aca="false">ABS(IFERROR(H116/(F116-G116),H116/E116))</f>
        <v>0.40014367816092</v>
      </c>
    </row>
    <row r="117" customFormat="false" ht="15.75" hidden="false" customHeight="false" outlineLevel="0" collapsed="false">
      <c r="A117" s="3" t="n">
        <v>116</v>
      </c>
      <c r="B117" s="4" t="n">
        <v>45517</v>
      </c>
      <c r="C117" s="23" t="n">
        <v>0</v>
      </c>
      <c r="D117" s="23" t="n">
        <v>0</v>
      </c>
      <c r="E117" s="23" t="n">
        <v>15.49</v>
      </c>
      <c r="F117" s="23" t="n">
        <v>24.91</v>
      </c>
      <c r="G117" s="23" t="n">
        <v>0</v>
      </c>
      <c r="H117" s="23" t="n">
        <f aca="false">((C117+D117+E117)-(F117-G117))</f>
        <v>-9.42</v>
      </c>
      <c r="I117" s="24" t="n">
        <f aca="false">ABS(IFERROR(H117/(F117-G117),H117/E117))</f>
        <v>0.378161380971497</v>
      </c>
    </row>
    <row r="118" customFormat="false" ht="15.75" hidden="false" customHeight="false" outlineLevel="0" collapsed="false">
      <c r="A118" s="3" t="n">
        <v>117</v>
      </c>
      <c r="B118" s="4" t="n">
        <v>45517</v>
      </c>
      <c r="C118" s="23" t="n">
        <v>0</v>
      </c>
      <c r="D118" s="23" t="n">
        <v>0</v>
      </c>
      <c r="E118" s="23" t="n">
        <v>11.38</v>
      </c>
      <c r="F118" s="23" t="n">
        <v>16.57</v>
      </c>
      <c r="G118" s="23" t="n">
        <v>6.63</v>
      </c>
      <c r="H118" s="23" t="n">
        <f aca="false">((C118+D118+E118)-(F118-G118))</f>
        <v>1.44</v>
      </c>
      <c r="I118" s="24" t="n">
        <f aca="false">ABS(IFERROR(H118/(F118-G118),H118/E118))</f>
        <v>0.14486921529175</v>
      </c>
    </row>
    <row r="119" customFormat="false" ht="15.75" hidden="false" customHeight="false" outlineLevel="0" collapsed="false">
      <c r="A119" s="3" t="n">
        <v>118</v>
      </c>
      <c r="B119" s="4" t="n">
        <v>45517</v>
      </c>
      <c r="C119" s="23" t="n">
        <v>0</v>
      </c>
      <c r="D119" s="23" t="n">
        <v>0</v>
      </c>
      <c r="E119" s="23" t="n">
        <v>15.58</v>
      </c>
      <c r="F119" s="23" t="n">
        <v>25.96</v>
      </c>
      <c r="G119" s="23" t="n">
        <v>0</v>
      </c>
      <c r="H119" s="23" t="n">
        <f aca="false">((C119+D119+E119)-(F119-G119))</f>
        <v>-10.38</v>
      </c>
      <c r="I119" s="24" t="n">
        <f aca="false">ABS(IFERROR(H119/(F119-G119),H119/E119))</f>
        <v>0.399845916795069</v>
      </c>
    </row>
    <row r="120" customFormat="false" ht="15.75" hidden="false" customHeight="false" outlineLevel="0" collapsed="false">
      <c r="A120" s="3" t="n">
        <v>119</v>
      </c>
      <c r="B120" s="4" t="n">
        <v>45517</v>
      </c>
      <c r="C120" s="23" t="n">
        <v>0</v>
      </c>
      <c r="D120" s="23" t="n">
        <v>0</v>
      </c>
      <c r="E120" s="23" t="n">
        <v>29.45</v>
      </c>
      <c r="F120" s="23" t="n">
        <v>35.99</v>
      </c>
      <c r="G120" s="23" t="n">
        <v>0</v>
      </c>
      <c r="H120" s="23" t="n">
        <f aca="false">((C120+D120+E120)-(F120-G120))</f>
        <v>-6.54</v>
      </c>
      <c r="I120" s="24" t="n">
        <f aca="false">ABS(IFERROR(H120/(F120-G120),H120/E120))</f>
        <v>0.181717143651014</v>
      </c>
    </row>
    <row r="121" customFormat="false" ht="15.75" hidden="false" customHeight="false" outlineLevel="0" collapsed="false">
      <c r="A121" s="3" t="n">
        <v>120</v>
      </c>
      <c r="B121" s="4" t="n">
        <v>45517</v>
      </c>
      <c r="C121" s="23" t="n">
        <v>2.5</v>
      </c>
      <c r="D121" s="23" t="n">
        <v>0</v>
      </c>
      <c r="E121" s="23" t="n">
        <v>8.12</v>
      </c>
      <c r="F121" s="23" t="n">
        <v>11.99</v>
      </c>
      <c r="G121" s="23" t="n">
        <v>5.17</v>
      </c>
      <c r="H121" s="23" t="n">
        <f aca="false">((C121+D121+E121)-(F121-G121))</f>
        <v>3.8</v>
      </c>
      <c r="I121" s="24" t="n">
        <f aca="false">ABS(IFERROR(H121/(F121-G121),H121/E121))</f>
        <v>0.557184750733138</v>
      </c>
    </row>
    <row r="122" customFormat="false" ht="15.75" hidden="false" customHeight="false" outlineLevel="0" collapsed="false">
      <c r="A122" s="3" t="n">
        <v>121</v>
      </c>
      <c r="B122" s="4" t="n">
        <v>45517</v>
      </c>
      <c r="C122" s="23" t="n">
        <v>0</v>
      </c>
      <c r="D122" s="23" t="n">
        <v>0</v>
      </c>
      <c r="E122" s="23" t="n">
        <v>21.84</v>
      </c>
      <c r="F122" s="23" t="n">
        <v>29.93</v>
      </c>
      <c r="G122" s="23" t="n">
        <v>0</v>
      </c>
      <c r="H122" s="23" t="n">
        <f aca="false">((C122+D122+E122)-(F122-G122))</f>
        <v>-8.09</v>
      </c>
      <c r="I122" s="24" t="n">
        <f aca="false">ABS(IFERROR(H122/(F122-G122),H122/E122))</f>
        <v>0.270297360507852</v>
      </c>
    </row>
    <row r="123" customFormat="false" ht="15.75" hidden="false" customHeight="false" outlineLevel="0" collapsed="false">
      <c r="A123" s="3" t="n">
        <v>122</v>
      </c>
      <c r="B123" s="4" t="n">
        <v>45517</v>
      </c>
      <c r="C123" s="23" t="n">
        <v>6</v>
      </c>
      <c r="D123" s="23" t="n">
        <v>0</v>
      </c>
      <c r="E123" s="23" t="n">
        <v>11.66</v>
      </c>
      <c r="F123" s="23" t="n">
        <v>25.95</v>
      </c>
      <c r="G123" s="23" t="n">
        <v>0</v>
      </c>
      <c r="H123" s="23" t="n">
        <f aca="false">((C123+D123+E123)-(F123-G123))</f>
        <v>-8.29</v>
      </c>
      <c r="I123" s="24" t="n">
        <f aca="false">ABS(IFERROR(H123/(F123-G123),H123/E123))</f>
        <v>0.319460500963391</v>
      </c>
    </row>
    <row r="124" customFormat="false" ht="15.75" hidden="false" customHeight="false" outlineLevel="0" collapsed="false">
      <c r="A124" s="3" t="n">
        <v>123</v>
      </c>
      <c r="B124" s="4" t="n">
        <v>45517</v>
      </c>
      <c r="C124" s="23" t="n">
        <v>2</v>
      </c>
      <c r="D124" s="23" t="n">
        <v>0</v>
      </c>
      <c r="E124" s="23" t="n">
        <v>15.24</v>
      </c>
      <c r="F124" s="23" t="n">
        <v>18.9</v>
      </c>
      <c r="G124" s="23" t="n">
        <v>3</v>
      </c>
      <c r="H124" s="23" t="n">
        <f aca="false">((C124+D124+E124)-(F124-G124))</f>
        <v>1.34</v>
      </c>
      <c r="I124" s="24" t="n">
        <f aca="false">ABS(IFERROR(H124/(F124-G124),H124/E124))</f>
        <v>0.0842767295597486</v>
      </c>
    </row>
    <row r="125" customFormat="false" ht="15.75" hidden="false" customHeight="false" outlineLevel="0" collapsed="false">
      <c r="A125" s="3" t="n">
        <v>124</v>
      </c>
      <c r="B125" s="4" t="n">
        <v>45517</v>
      </c>
      <c r="C125" s="23" t="n">
        <v>0</v>
      </c>
      <c r="D125" s="23" t="n">
        <v>0</v>
      </c>
      <c r="E125" s="23" t="n">
        <v>11.56</v>
      </c>
      <c r="F125" s="23" t="n">
        <v>12.98</v>
      </c>
      <c r="G125" s="23" t="n">
        <v>1.08</v>
      </c>
      <c r="H125" s="23" t="n">
        <f aca="false">((C125+D125+E125)-(F125-G125))</f>
        <v>-0.34</v>
      </c>
      <c r="I125" s="24" t="n">
        <f aca="false">ABS(IFERROR(H125/(F125-G125),H125/E125))</f>
        <v>0.0285714285714286</v>
      </c>
    </row>
    <row r="126" customFormat="false" ht="15.75" hidden="false" customHeight="false" outlineLevel="0" collapsed="false">
      <c r="A126" s="3" t="n">
        <v>125</v>
      </c>
      <c r="B126" s="4" t="n">
        <v>45517</v>
      </c>
      <c r="C126" s="23" t="n">
        <v>0</v>
      </c>
      <c r="D126" s="23" t="n">
        <v>0</v>
      </c>
      <c r="E126" s="23" t="n">
        <v>6.99</v>
      </c>
      <c r="F126" s="23" t="n">
        <v>8.95</v>
      </c>
      <c r="G126" s="23" t="n">
        <v>0</v>
      </c>
      <c r="H126" s="23" t="n">
        <f aca="false">((C126+D126+E126)-(F126-G126))</f>
        <v>-1.96</v>
      </c>
      <c r="I126" s="24" t="n">
        <f aca="false">ABS(IFERROR(H126/(F126-G126),H126/E126))</f>
        <v>0.218994413407821</v>
      </c>
    </row>
    <row r="127" customFormat="false" ht="15.75" hidden="false" customHeight="false" outlineLevel="0" collapsed="false">
      <c r="A127" s="3" t="n">
        <v>126</v>
      </c>
      <c r="B127" s="4" t="n">
        <v>45517</v>
      </c>
      <c r="C127" s="23" t="n">
        <v>0</v>
      </c>
      <c r="D127" s="23" t="n">
        <v>0</v>
      </c>
      <c r="E127" s="23" t="n">
        <v>7.1</v>
      </c>
      <c r="F127" s="23" t="n">
        <v>9.96</v>
      </c>
      <c r="G127" s="23" t="n">
        <v>0</v>
      </c>
      <c r="H127" s="23" t="n">
        <f aca="false">((C127+D127+E127)-(F127-G127))</f>
        <v>-2.86</v>
      </c>
      <c r="I127" s="24" t="n">
        <f aca="false">ABS(IFERROR(H127/(F127-G127),H127/E127))</f>
        <v>0.28714859437751</v>
      </c>
    </row>
    <row r="128" customFormat="false" ht="15.75" hidden="false" customHeight="false" outlineLevel="0" collapsed="false">
      <c r="A128" s="3" t="n">
        <v>127</v>
      </c>
      <c r="B128" s="4" t="n">
        <v>45517</v>
      </c>
      <c r="C128" s="23" t="n">
        <v>0</v>
      </c>
      <c r="D128" s="23" t="n">
        <v>0</v>
      </c>
      <c r="E128" s="23" t="n">
        <v>6.68</v>
      </c>
      <c r="F128" s="23" t="n">
        <v>0</v>
      </c>
      <c r="G128" s="23" t="n">
        <v>0</v>
      </c>
      <c r="H128" s="23" t="n">
        <f aca="false">((C128+D128+E128)-(F128-G128))</f>
        <v>6.68</v>
      </c>
      <c r="I128" s="24" t="n">
        <f aca="false">ABS(IFERROR(H128/(F128-G128),H128/E128))</f>
        <v>1</v>
      </c>
    </row>
    <row r="129" customFormat="false" ht="15.75" hidden="false" customHeight="false" outlineLevel="0" collapsed="false">
      <c r="A129" s="3" t="n">
        <v>128</v>
      </c>
      <c r="B129" s="4" t="n">
        <v>45518</v>
      </c>
      <c r="C129" s="23" t="n">
        <v>0</v>
      </c>
      <c r="D129" s="23" t="n">
        <v>0</v>
      </c>
      <c r="E129" s="23" t="n">
        <v>8.11</v>
      </c>
      <c r="F129" s="23" t="n">
        <v>13.52</v>
      </c>
      <c r="G129" s="23" t="n">
        <v>1.35</v>
      </c>
      <c r="H129" s="23" t="n">
        <f aca="false">((C129+D129+E129)-(F129-G129))</f>
        <v>-4.06</v>
      </c>
      <c r="I129" s="24" t="n">
        <f aca="false">ABS(IFERROR(H129/(F129-G129),H129/E129))</f>
        <v>0.333607230895645</v>
      </c>
    </row>
    <row r="130" customFormat="false" ht="15.75" hidden="false" customHeight="false" outlineLevel="0" collapsed="false">
      <c r="A130" s="3" t="n">
        <v>129</v>
      </c>
      <c r="B130" s="4" t="n">
        <v>45518</v>
      </c>
      <c r="C130" s="23" t="n">
        <v>0</v>
      </c>
      <c r="D130" s="23" t="n">
        <v>0</v>
      </c>
      <c r="E130" s="23" t="n">
        <v>16.12</v>
      </c>
      <c r="F130" s="23" t="n">
        <v>19.98</v>
      </c>
      <c r="G130" s="23" t="n">
        <v>0</v>
      </c>
      <c r="H130" s="23" t="n">
        <f aca="false">((C130+D130+E130)-(F130-G130))</f>
        <v>-3.86</v>
      </c>
      <c r="I130" s="24" t="n">
        <f aca="false">ABS(IFERROR(H130/(F130-G130),H130/E130))</f>
        <v>0.193193193193193</v>
      </c>
    </row>
    <row r="131" customFormat="false" ht="15.75" hidden="false" customHeight="false" outlineLevel="0" collapsed="false">
      <c r="A131" s="3" t="n">
        <v>130</v>
      </c>
      <c r="B131" s="4" t="n">
        <v>45518</v>
      </c>
      <c r="C131" s="23" t="n">
        <v>0</v>
      </c>
      <c r="D131" s="23" t="n">
        <v>0</v>
      </c>
      <c r="E131" s="23" t="n">
        <v>13.99</v>
      </c>
      <c r="F131" s="23" t="n">
        <v>17.99</v>
      </c>
      <c r="G131" s="23" t="n">
        <v>0</v>
      </c>
      <c r="H131" s="23" t="n">
        <f aca="false">((C131+D131+E131)-(F131-G131))</f>
        <v>-4</v>
      </c>
      <c r="I131" s="24" t="n">
        <f aca="false">ABS(IFERROR(H131/(F131-G131),H131/E131))</f>
        <v>0.222345747637576</v>
      </c>
    </row>
    <row r="132" customFormat="false" ht="15.75" hidden="false" customHeight="false" outlineLevel="0" collapsed="false">
      <c r="A132" s="3" t="n">
        <v>131</v>
      </c>
      <c r="B132" s="4" t="n">
        <v>45518</v>
      </c>
      <c r="C132" s="23" t="n">
        <v>0</v>
      </c>
      <c r="D132" s="23" t="n">
        <v>0</v>
      </c>
      <c r="E132" s="23" t="n">
        <v>6.99</v>
      </c>
      <c r="F132" s="23" t="n">
        <v>8.97</v>
      </c>
      <c r="G132" s="23" t="n">
        <v>0</v>
      </c>
      <c r="H132" s="23" t="n">
        <f aca="false">((C132+D132+E132)-(F132-G132))</f>
        <v>-1.98</v>
      </c>
      <c r="I132" s="24" t="n">
        <f aca="false">ABS(IFERROR(H132/(F132-G132),H132/E132))</f>
        <v>0.220735785953177</v>
      </c>
    </row>
    <row r="133" customFormat="false" ht="15.75" hidden="false" customHeight="false" outlineLevel="0" collapsed="false">
      <c r="A133" s="3" t="n">
        <v>132</v>
      </c>
      <c r="B133" s="4" t="n">
        <v>45518</v>
      </c>
      <c r="C133" s="23" t="n">
        <v>0</v>
      </c>
      <c r="D133" s="23" t="n">
        <v>0</v>
      </c>
      <c r="E133" s="23" t="n">
        <v>6.99</v>
      </c>
      <c r="F133" s="23" t="n">
        <v>9.04</v>
      </c>
      <c r="G133" s="23" t="n">
        <v>2.71</v>
      </c>
      <c r="H133" s="23" t="n">
        <f aca="false">((C133+D133+E133)-(F133-G133))</f>
        <v>0.660000000000001</v>
      </c>
      <c r="I133" s="24" t="n">
        <f aca="false">ABS(IFERROR(H133/(F133-G133),H133/E133))</f>
        <v>0.104265402843602</v>
      </c>
    </row>
    <row r="134" customFormat="false" ht="15.75" hidden="false" customHeight="false" outlineLevel="0" collapsed="false">
      <c r="A134" s="3" t="n">
        <v>133</v>
      </c>
      <c r="B134" s="4" t="n">
        <v>45518</v>
      </c>
      <c r="C134" s="23" t="n">
        <v>0</v>
      </c>
      <c r="D134" s="23" t="n">
        <v>0</v>
      </c>
      <c r="E134" s="23" t="n">
        <v>8.23</v>
      </c>
      <c r="F134" s="23" t="n">
        <v>12.96</v>
      </c>
      <c r="G134" s="23" t="n">
        <v>0</v>
      </c>
      <c r="H134" s="23" t="n">
        <f aca="false">((C134+D134+E134)-(F134-G134))</f>
        <v>-4.73</v>
      </c>
      <c r="I134" s="24" t="n">
        <f aca="false">ABS(IFERROR(H134/(F134-G134),H134/E134))</f>
        <v>0.364969135802469</v>
      </c>
    </row>
    <row r="135" customFormat="false" ht="15.75" hidden="false" customHeight="false" outlineLevel="0" collapsed="false">
      <c r="A135" s="3" t="n">
        <v>134</v>
      </c>
      <c r="B135" s="4" t="n">
        <v>45518</v>
      </c>
      <c r="C135" s="23" t="n">
        <v>1.97</v>
      </c>
      <c r="D135" s="23" t="n">
        <v>0</v>
      </c>
      <c r="E135" s="23" t="n">
        <v>7.37</v>
      </c>
      <c r="F135" s="23" t="n">
        <v>13.04</v>
      </c>
      <c r="G135" s="23" t="n">
        <v>0</v>
      </c>
      <c r="H135" s="23" t="n">
        <f aca="false">((C135+D135+E135)-(F135-G135))</f>
        <v>-3.7</v>
      </c>
      <c r="I135" s="24" t="n">
        <f aca="false">ABS(IFERROR(H135/(F135-G135),H135/E135))</f>
        <v>0.283742331288344</v>
      </c>
    </row>
    <row r="136" customFormat="false" ht="15.75" hidden="false" customHeight="false" outlineLevel="0" collapsed="false">
      <c r="A136" s="3" t="n">
        <v>135</v>
      </c>
      <c r="B136" s="4" t="n">
        <v>45518</v>
      </c>
      <c r="C136" s="23" t="n">
        <v>3.55</v>
      </c>
      <c r="D136" s="23" t="n">
        <v>0</v>
      </c>
      <c r="E136" s="23" t="n">
        <v>9.96</v>
      </c>
      <c r="F136" s="23" t="n">
        <v>18.65</v>
      </c>
      <c r="G136" s="23" t="n">
        <v>7.46</v>
      </c>
      <c r="H136" s="23" t="n">
        <f aca="false">((C136+D136+E136)-(F136-G136))</f>
        <v>2.32</v>
      </c>
      <c r="I136" s="24" t="n">
        <f aca="false">ABS(IFERROR(H136/(F136-G136),H136/E136))</f>
        <v>0.207327971403039</v>
      </c>
    </row>
    <row r="137" customFormat="false" ht="15.75" hidden="false" customHeight="false" outlineLevel="0" collapsed="false">
      <c r="A137" s="3" t="n">
        <v>136</v>
      </c>
      <c r="B137" s="4" t="n">
        <v>45518</v>
      </c>
      <c r="C137" s="23" t="n">
        <v>0</v>
      </c>
      <c r="D137" s="23" t="n">
        <v>0</v>
      </c>
      <c r="E137" s="23" t="n">
        <v>13.26</v>
      </c>
      <c r="F137" s="23" t="n">
        <v>15.15</v>
      </c>
      <c r="G137" s="23" t="n">
        <v>0</v>
      </c>
      <c r="H137" s="23" t="n">
        <f aca="false">((C137+D137+E137)-(F137-G137))</f>
        <v>-1.89</v>
      </c>
      <c r="I137" s="24" t="n">
        <f aca="false">ABS(IFERROR(H137/(F137-G137),H137/E137))</f>
        <v>0.124752475247525</v>
      </c>
    </row>
    <row r="138" customFormat="false" ht="15.75" hidden="false" customHeight="false" outlineLevel="0" collapsed="false">
      <c r="A138" s="3" t="n">
        <v>137</v>
      </c>
      <c r="B138" s="4" t="n">
        <v>45518</v>
      </c>
      <c r="C138" s="23" t="n">
        <v>0</v>
      </c>
      <c r="D138" s="23" t="n">
        <v>0</v>
      </c>
      <c r="E138" s="23" t="n">
        <v>16.1</v>
      </c>
      <c r="F138" s="23" t="n">
        <v>18.26</v>
      </c>
      <c r="G138" s="23" t="n">
        <v>2.74</v>
      </c>
      <c r="H138" s="23" t="n">
        <f aca="false">((C138+D138+E138)-(F138-G138))</f>
        <v>0.58</v>
      </c>
      <c r="I138" s="24" t="n">
        <f aca="false">ABS(IFERROR(H138/(F138-G138),H138/E138))</f>
        <v>0.0373711340206186</v>
      </c>
    </row>
    <row r="139" customFormat="false" ht="15.75" hidden="false" customHeight="false" outlineLevel="0" collapsed="false">
      <c r="A139" s="3" t="n">
        <v>138</v>
      </c>
      <c r="B139" s="4" t="n">
        <v>45518</v>
      </c>
      <c r="C139" s="23" t="n">
        <v>0</v>
      </c>
      <c r="D139" s="23" t="n">
        <v>0</v>
      </c>
      <c r="E139" s="23" t="n">
        <v>17</v>
      </c>
      <c r="F139" s="23" t="n">
        <v>20.98</v>
      </c>
      <c r="G139" s="23" t="n">
        <v>0</v>
      </c>
      <c r="H139" s="23" t="n">
        <f aca="false">((C139+D139+E139)-(F139-G139))</f>
        <v>-3.98</v>
      </c>
      <c r="I139" s="24" t="n">
        <f aca="false">ABS(IFERROR(H139/(F139-G139),H139/E139))</f>
        <v>0.189704480457579</v>
      </c>
    </row>
    <row r="140" customFormat="false" ht="15.75" hidden="false" customHeight="false" outlineLevel="0" collapsed="false">
      <c r="A140" s="3" t="n">
        <v>139</v>
      </c>
      <c r="B140" s="4" t="n">
        <v>45518</v>
      </c>
      <c r="C140" s="23" t="n">
        <v>0</v>
      </c>
      <c r="D140" s="23" t="n">
        <v>0</v>
      </c>
      <c r="E140" s="23" t="n">
        <v>8.14</v>
      </c>
      <c r="F140" s="23" t="n">
        <v>12.11</v>
      </c>
      <c r="G140" s="23" t="n">
        <v>0</v>
      </c>
      <c r="H140" s="23" t="n">
        <f aca="false">((C140+D140+E140)-(F140-G140))</f>
        <v>-3.97</v>
      </c>
      <c r="I140" s="24" t="n">
        <f aca="false">ABS(IFERROR(H140/(F140-G140),H140/E140))</f>
        <v>0.327828241123039</v>
      </c>
    </row>
    <row r="141" customFormat="false" ht="15.75" hidden="false" customHeight="false" outlineLevel="0" collapsed="false">
      <c r="A141" s="3" t="n">
        <v>140</v>
      </c>
      <c r="B141" s="4" t="n">
        <v>45518</v>
      </c>
      <c r="C141" s="23" t="n">
        <v>0</v>
      </c>
      <c r="D141" s="23" t="n">
        <v>0</v>
      </c>
      <c r="E141" s="23" t="n">
        <v>24.59</v>
      </c>
      <c r="F141" s="23" t="n">
        <v>26.72</v>
      </c>
      <c r="G141" s="23" t="n">
        <v>2.55</v>
      </c>
      <c r="H141" s="23" t="n">
        <f aca="false">((C141+D141+E141)-(F141-G141))</f>
        <v>0.420000000000002</v>
      </c>
      <c r="I141" s="24" t="n">
        <f aca="false">ABS(IFERROR(H141/(F141-G141),H141/E141))</f>
        <v>0.0173769135291685</v>
      </c>
    </row>
    <row r="142" customFormat="false" ht="15.75" hidden="false" customHeight="false" outlineLevel="0" collapsed="false">
      <c r="A142" s="3" t="n">
        <v>141</v>
      </c>
      <c r="B142" s="4" t="n">
        <v>45518</v>
      </c>
      <c r="C142" s="23" t="n">
        <v>0</v>
      </c>
      <c r="D142" s="23" t="n">
        <v>0</v>
      </c>
      <c r="E142" s="23" t="n">
        <v>11.2</v>
      </c>
      <c r="F142" s="23" t="n">
        <v>14.96</v>
      </c>
      <c r="G142" s="23" t="n">
        <v>0</v>
      </c>
      <c r="H142" s="23" t="n">
        <f aca="false">((C142+D142+E142)-(F142-G142))</f>
        <v>-3.76</v>
      </c>
      <c r="I142" s="24" t="n">
        <f aca="false">ABS(IFERROR(H142/(F142-G142),H142/E142))</f>
        <v>0.251336898395722</v>
      </c>
    </row>
    <row r="143" customFormat="false" ht="15.75" hidden="false" customHeight="false" outlineLevel="0" collapsed="false">
      <c r="A143" s="3" t="n">
        <v>142</v>
      </c>
      <c r="B143" s="4" t="n">
        <v>45520</v>
      </c>
      <c r="C143" s="23" t="n">
        <v>3.55</v>
      </c>
      <c r="D143" s="23" t="n">
        <v>0</v>
      </c>
      <c r="E143" s="23" t="n">
        <v>9.97</v>
      </c>
      <c r="F143" s="23" t="n">
        <v>15.91</v>
      </c>
      <c r="G143" s="23" t="n">
        <v>0</v>
      </c>
      <c r="H143" s="23" t="n">
        <f aca="false">((C143+D143+E143)-(F143-G143))</f>
        <v>-2.39</v>
      </c>
      <c r="I143" s="24" t="n">
        <f aca="false">ABS(IFERROR(H143/(F143-G143),H143/E143))</f>
        <v>0.15021998742929</v>
      </c>
    </row>
    <row r="144" customFormat="false" ht="15.75" hidden="false" customHeight="false" outlineLevel="0" collapsed="false">
      <c r="A144" s="3" t="n">
        <v>143</v>
      </c>
      <c r="B144" s="4" t="n">
        <v>45520</v>
      </c>
      <c r="C144" s="23" t="n">
        <v>0</v>
      </c>
      <c r="D144" s="23" t="n">
        <v>0</v>
      </c>
      <c r="E144" s="23" t="n">
        <v>8.89</v>
      </c>
      <c r="F144" s="23" t="n">
        <v>11.91</v>
      </c>
      <c r="G144" s="23" t="n">
        <v>0</v>
      </c>
      <c r="H144" s="23" t="n">
        <f aca="false">((C144+D144+E144)-(F144-G144))</f>
        <v>-3.02</v>
      </c>
      <c r="I144" s="24" t="n">
        <f aca="false">ABS(IFERROR(H144/(F144-G144),H144/E144))</f>
        <v>0.253568429890848</v>
      </c>
    </row>
    <row r="145" customFormat="false" ht="15.75" hidden="false" customHeight="false" outlineLevel="0" collapsed="false">
      <c r="A145" s="3" t="n">
        <v>144</v>
      </c>
      <c r="B145" s="4" t="n">
        <v>45520</v>
      </c>
      <c r="C145" s="23" t="n">
        <v>0</v>
      </c>
      <c r="D145" s="23" t="n">
        <v>0</v>
      </c>
      <c r="E145" s="23" t="n">
        <v>24.14</v>
      </c>
      <c r="F145" s="23" t="n">
        <v>26.97</v>
      </c>
      <c r="G145" s="23" t="n">
        <v>0</v>
      </c>
      <c r="H145" s="23" t="n">
        <f aca="false">((C145+D145+E145)-(F145-G145))</f>
        <v>-2.83</v>
      </c>
      <c r="I145" s="24" t="n">
        <f aca="false">ABS(IFERROR(H145/(F145-G145),H145/E145))</f>
        <v>0.104931405265109</v>
      </c>
    </row>
    <row r="146" customFormat="false" ht="15.75" hidden="false" customHeight="false" outlineLevel="0" collapsed="false">
      <c r="A146" s="3" t="n">
        <v>145</v>
      </c>
      <c r="B146" s="4" t="n">
        <v>45520</v>
      </c>
      <c r="C146" s="23" t="n">
        <v>1</v>
      </c>
      <c r="D146" s="23" t="n">
        <v>0</v>
      </c>
      <c r="E146" s="23" t="n">
        <v>8.1</v>
      </c>
      <c r="F146" s="23" t="n">
        <v>13.98</v>
      </c>
      <c r="G146" s="23" t="n">
        <v>0</v>
      </c>
      <c r="H146" s="23" t="n">
        <f aca="false">((C146+D146+E146)-(F146-G146))</f>
        <v>-4.88</v>
      </c>
      <c r="I146" s="24" t="n">
        <f aca="false">ABS(IFERROR(H146/(F146-G146),H146/E146))</f>
        <v>0.349070100143062</v>
      </c>
    </row>
    <row r="147" customFormat="false" ht="15.75" hidden="false" customHeight="false" outlineLevel="0" collapsed="false">
      <c r="A147" s="3" t="n">
        <v>146</v>
      </c>
      <c r="B147" s="4" t="n">
        <v>45520</v>
      </c>
      <c r="C147" s="23" t="n">
        <v>0</v>
      </c>
      <c r="D147" s="23" t="n">
        <v>0</v>
      </c>
      <c r="E147" s="23" t="n">
        <v>7.15</v>
      </c>
      <c r="F147" s="23" t="n">
        <v>10.9</v>
      </c>
      <c r="G147" s="23" t="n">
        <v>0</v>
      </c>
      <c r="H147" s="23" t="n">
        <f aca="false">((C147+D147+E147)-(F147-G147))</f>
        <v>-3.75</v>
      </c>
      <c r="I147" s="24" t="n">
        <f aca="false">ABS(IFERROR(H147/(F147-G147),H147/E147))</f>
        <v>0.344036697247706</v>
      </c>
    </row>
    <row r="148" customFormat="false" ht="15.75" hidden="false" customHeight="false" outlineLevel="0" collapsed="false">
      <c r="A148" s="3" t="n">
        <v>147</v>
      </c>
      <c r="B148" s="4" t="n">
        <v>45520</v>
      </c>
      <c r="C148" s="23" t="n">
        <v>0</v>
      </c>
      <c r="D148" s="23" t="n">
        <v>0</v>
      </c>
      <c r="E148" s="23" t="n">
        <v>10.77</v>
      </c>
      <c r="F148" s="23" t="n">
        <v>14.95</v>
      </c>
      <c r="G148" s="23" t="n">
        <v>0</v>
      </c>
      <c r="H148" s="23" t="n">
        <f aca="false">((C148+D148+E148)-(F148-G148))</f>
        <v>-4.18</v>
      </c>
      <c r="I148" s="24" t="n">
        <f aca="false">ABS(IFERROR(H148/(F148-G148),H148/E148))</f>
        <v>0.279598662207358</v>
      </c>
    </row>
    <row r="149" customFormat="false" ht="15.75" hidden="false" customHeight="false" outlineLevel="0" collapsed="false">
      <c r="A149" s="3" t="n">
        <v>148</v>
      </c>
      <c r="B149" s="4" t="n">
        <v>45520</v>
      </c>
      <c r="C149" s="23" t="n">
        <v>0</v>
      </c>
      <c r="D149" s="23" t="n">
        <v>0</v>
      </c>
      <c r="E149" s="23" t="n">
        <v>12.53</v>
      </c>
      <c r="F149" s="23" t="n">
        <v>15.95</v>
      </c>
      <c r="G149" s="23" t="n">
        <v>0</v>
      </c>
      <c r="H149" s="23" t="n">
        <f aca="false">((C149+D149+E149)-(F149-G149))</f>
        <v>-3.42</v>
      </c>
      <c r="I149" s="24" t="n">
        <f aca="false">ABS(IFERROR(H149/(F149-G149),H149/E149))</f>
        <v>0.214420062695925</v>
      </c>
    </row>
    <row r="150" customFormat="false" ht="15.75" hidden="false" customHeight="false" outlineLevel="0" collapsed="false">
      <c r="A150" s="3" t="n">
        <v>149</v>
      </c>
      <c r="B150" s="4" t="n">
        <v>45520</v>
      </c>
      <c r="C150" s="23" t="n">
        <v>0</v>
      </c>
      <c r="D150" s="23" t="n">
        <v>0</v>
      </c>
      <c r="E150" s="23" t="n">
        <v>18.85</v>
      </c>
      <c r="F150" s="23" t="n">
        <v>21.93</v>
      </c>
      <c r="G150" s="23" t="n">
        <v>0</v>
      </c>
      <c r="H150" s="23" t="n">
        <f aca="false">((C150+D150+E150)-(F150-G150))</f>
        <v>-3.08</v>
      </c>
      <c r="I150" s="24" t="n">
        <f aca="false">ABS(IFERROR(H150/(F150-G150),H150/E150))</f>
        <v>0.140446876424989</v>
      </c>
    </row>
    <row r="151" customFormat="false" ht="15.75" hidden="false" customHeight="false" outlineLevel="0" collapsed="false">
      <c r="A151" s="3" t="n">
        <v>150</v>
      </c>
      <c r="B151" s="4" t="n">
        <v>45520</v>
      </c>
      <c r="C151" s="23" t="n">
        <v>0</v>
      </c>
      <c r="D151" s="23" t="n">
        <v>0</v>
      </c>
      <c r="E151" s="23" t="n">
        <v>4.43</v>
      </c>
      <c r="F151" s="23" t="n">
        <v>5.25</v>
      </c>
      <c r="G151" s="23" t="n">
        <v>0</v>
      </c>
      <c r="H151" s="23" t="n">
        <f aca="false">((C151+D151+E151)-(F151-G151))</f>
        <v>-0.82</v>
      </c>
      <c r="I151" s="24" t="n">
        <f aca="false">ABS(IFERROR(H151/(F151-G151),H151/E151))</f>
        <v>0.156190476190476</v>
      </c>
    </row>
    <row r="152" customFormat="false" ht="15.75" hidden="false" customHeight="false" outlineLevel="0" collapsed="false">
      <c r="A152" s="3" t="n">
        <v>151</v>
      </c>
      <c r="B152" s="4" t="n">
        <v>45520</v>
      </c>
      <c r="C152" s="23" t="n">
        <v>0</v>
      </c>
      <c r="D152" s="23" t="n">
        <v>0</v>
      </c>
      <c r="E152" s="23" t="n">
        <v>6.99</v>
      </c>
      <c r="F152" s="23" t="n">
        <v>8.97</v>
      </c>
      <c r="G152" s="23" t="n">
        <v>0</v>
      </c>
      <c r="H152" s="23" t="n">
        <f aca="false">((C152+D152+E152)-(F152-G152))</f>
        <v>-1.98</v>
      </c>
      <c r="I152" s="24" t="n">
        <f aca="false">ABS(IFERROR(H152/(F152-G152),H152/E152))</f>
        <v>0.220735785953177</v>
      </c>
    </row>
    <row r="153" customFormat="false" ht="15.75" hidden="false" customHeight="false" outlineLevel="0" collapsed="false">
      <c r="A153" s="3" t="n">
        <v>152</v>
      </c>
      <c r="B153" s="4" t="n">
        <v>45520</v>
      </c>
      <c r="C153" s="23" t="n">
        <v>0</v>
      </c>
      <c r="D153" s="23" t="n">
        <v>0</v>
      </c>
      <c r="E153" s="23" t="n">
        <v>10.67</v>
      </c>
      <c r="F153" s="23" t="n">
        <v>14.99</v>
      </c>
      <c r="G153" s="23" t="n">
        <v>0</v>
      </c>
      <c r="H153" s="23" t="n">
        <f aca="false">((C153+D153+E153)-(F153-G153))</f>
        <v>-4.32</v>
      </c>
      <c r="I153" s="24" t="n">
        <f aca="false">ABS(IFERROR(H153/(F153-G153),H153/E153))</f>
        <v>0.28819212808539</v>
      </c>
    </row>
    <row r="154" customFormat="false" ht="15.75" hidden="false" customHeight="false" outlineLevel="0" collapsed="false">
      <c r="A154" s="3" t="n">
        <v>153</v>
      </c>
      <c r="B154" s="4" t="n">
        <v>45520</v>
      </c>
      <c r="C154" s="23" t="n">
        <v>0</v>
      </c>
      <c r="D154" s="23" t="n">
        <v>0</v>
      </c>
      <c r="E154" s="23" t="n">
        <v>22.85</v>
      </c>
      <c r="F154" s="23" t="n">
        <v>25.98</v>
      </c>
      <c r="G154" s="23" t="n">
        <v>0</v>
      </c>
      <c r="H154" s="23" t="n">
        <f aca="false">((C154+D154+E154)-(F154-G154))</f>
        <v>-3.13</v>
      </c>
      <c r="I154" s="24" t="n">
        <f aca="false">ABS(IFERROR(H154/(F154-G154),H154/E154))</f>
        <v>0.120477290223249</v>
      </c>
    </row>
    <row r="155" customFormat="false" ht="15.75" hidden="false" customHeight="false" outlineLevel="0" collapsed="false">
      <c r="A155" s="3" t="n">
        <v>154</v>
      </c>
      <c r="B155" s="4" t="n">
        <v>45522</v>
      </c>
      <c r="C155" s="23" t="n">
        <v>0</v>
      </c>
      <c r="D155" s="23" t="n">
        <v>0</v>
      </c>
      <c r="E155" s="23" t="n">
        <v>24.72</v>
      </c>
      <c r="F155" s="23" t="n">
        <v>28.96</v>
      </c>
      <c r="G155" s="23" t="n">
        <v>0</v>
      </c>
      <c r="H155" s="23" t="n">
        <f aca="false">((C155+D155+E155)-(F155-G155))</f>
        <v>-4.24</v>
      </c>
      <c r="I155" s="24" t="n">
        <f aca="false">ABS(IFERROR(H155/(F155-G155),H155/E155))</f>
        <v>0.146408839779006</v>
      </c>
    </row>
    <row r="156" customFormat="false" ht="15.75" hidden="false" customHeight="false" outlineLevel="0" collapsed="false">
      <c r="A156" s="3" t="n">
        <v>155</v>
      </c>
      <c r="B156" s="4" t="n">
        <v>45522</v>
      </c>
      <c r="C156" s="23" t="n">
        <v>0</v>
      </c>
      <c r="D156" s="23" t="n">
        <v>0</v>
      </c>
      <c r="E156" s="23" t="n">
        <v>37.7</v>
      </c>
      <c r="F156" s="23" t="n">
        <v>40.73</v>
      </c>
      <c r="G156" s="23" t="n">
        <v>1.83</v>
      </c>
      <c r="H156" s="23" t="n">
        <f aca="false">((C156+D156+E156)-(F156-G156))</f>
        <v>-1.2</v>
      </c>
      <c r="I156" s="24" t="n">
        <f aca="false">ABS(IFERROR(H156/(F156-G156),H156/E156))</f>
        <v>0.0308483290488431</v>
      </c>
    </row>
    <row r="157" customFormat="false" ht="15.75" hidden="false" customHeight="false" outlineLevel="0" collapsed="false">
      <c r="A157" s="3" t="n">
        <v>156</v>
      </c>
      <c r="B157" s="4" t="n">
        <v>45522</v>
      </c>
      <c r="C157" s="23" t="n">
        <v>1</v>
      </c>
      <c r="D157" s="23" t="n">
        <v>0</v>
      </c>
      <c r="E157" s="23" t="n">
        <v>32.38</v>
      </c>
      <c r="F157" s="23" t="n">
        <v>35.79</v>
      </c>
      <c r="G157" s="23" t="n">
        <v>6.87</v>
      </c>
      <c r="H157" s="23" t="n">
        <f aca="false">((C157+D157+E157)-(F157-G157))</f>
        <v>4.46</v>
      </c>
      <c r="I157" s="24" t="n">
        <f aca="false">ABS(IFERROR(H157/(F157-G157),H157/E157))</f>
        <v>0.154218533886584</v>
      </c>
    </row>
    <row r="158" customFormat="false" ht="15.75" hidden="false" customHeight="false" outlineLevel="0" collapsed="false">
      <c r="A158" s="3" t="n">
        <v>157</v>
      </c>
      <c r="B158" s="4" t="n">
        <v>45522</v>
      </c>
      <c r="C158" s="23" t="n">
        <v>0</v>
      </c>
      <c r="D158" s="23" t="n">
        <v>0</v>
      </c>
      <c r="E158" s="23" t="n">
        <v>14.98</v>
      </c>
      <c r="F158" s="23" t="n">
        <v>24.97</v>
      </c>
      <c r="G158" s="23" t="n">
        <v>0</v>
      </c>
      <c r="H158" s="23" t="n">
        <f aca="false">((C158+D158+E158)-(F158-G158))</f>
        <v>-9.99</v>
      </c>
      <c r="I158" s="24" t="n">
        <f aca="false">ABS(IFERROR(H158/(F158-G158),H158/E158))</f>
        <v>0.400080096115338</v>
      </c>
    </row>
    <row r="159" customFormat="false" ht="15.75" hidden="false" customHeight="false" outlineLevel="0" collapsed="false">
      <c r="A159" s="3" t="n">
        <v>158</v>
      </c>
      <c r="B159" s="4" t="n">
        <v>45522</v>
      </c>
      <c r="C159" s="23" t="n">
        <v>4</v>
      </c>
      <c r="D159" s="23" t="n">
        <v>0</v>
      </c>
      <c r="E159" s="23" t="n">
        <v>6.99</v>
      </c>
      <c r="F159" s="23" t="n">
        <v>12.32</v>
      </c>
      <c r="G159" s="23" t="n">
        <v>3.37</v>
      </c>
      <c r="H159" s="23" t="n">
        <f aca="false">((C159+D159+E159)-(F159-G159))</f>
        <v>2.04</v>
      </c>
      <c r="I159" s="24" t="n">
        <f aca="false">ABS(IFERROR(H159/(F159-G159),H159/E159))</f>
        <v>0.227932960893855</v>
      </c>
    </row>
    <row r="160" customFormat="false" ht="15.75" hidden="false" customHeight="false" outlineLevel="0" collapsed="false">
      <c r="A160" s="3" t="n">
        <v>159</v>
      </c>
      <c r="B160" s="4" t="n">
        <v>45522</v>
      </c>
      <c r="C160" s="23" t="n">
        <v>4</v>
      </c>
      <c r="D160" s="23" t="n">
        <v>0</v>
      </c>
      <c r="E160" s="23" t="n">
        <v>9.43</v>
      </c>
      <c r="F160" s="23" t="n">
        <v>14.92</v>
      </c>
      <c r="G160" s="23" t="n">
        <v>1.94</v>
      </c>
      <c r="H160" s="23" t="n">
        <f aca="false">((C160+D160+E160)-(F160-G160))</f>
        <v>0.449999999999999</v>
      </c>
      <c r="I160" s="24" t="n">
        <f aca="false">ABS(IFERROR(H160/(F160-G160),H160/E160))</f>
        <v>0.034668721109399</v>
      </c>
    </row>
    <row r="161" customFormat="false" ht="15.75" hidden="false" customHeight="false" outlineLevel="0" collapsed="false">
      <c r="A161" s="3" t="n">
        <v>160</v>
      </c>
      <c r="B161" s="4" t="n">
        <v>45522</v>
      </c>
      <c r="C161" s="23" t="n">
        <v>4</v>
      </c>
      <c r="D161" s="23" t="n">
        <v>0</v>
      </c>
      <c r="E161" s="23" t="n">
        <v>8.74</v>
      </c>
      <c r="F161" s="23" t="n">
        <v>14.13</v>
      </c>
      <c r="G161" s="23" t="n">
        <v>4.14</v>
      </c>
      <c r="H161" s="23" t="n">
        <f aca="false">((C161+D161+E161)-(F161-G161))</f>
        <v>2.75</v>
      </c>
      <c r="I161" s="24" t="n">
        <f aca="false">ABS(IFERROR(H161/(F161-G161),H161/E161))</f>
        <v>0.275275275275275</v>
      </c>
    </row>
    <row r="162" customFormat="false" ht="15.75" hidden="false" customHeight="false" outlineLevel="0" collapsed="false">
      <c r="A162" s="3" t="n">
        <v>161</v>
      </c>
      <c r="B162" s="4" t="n">
        <v>45522</v>
      </c>
      <c r="C162" s="23" t="n">
        <v>4</v>
      </c>
      <c r="D162" s="23" t="n">
        <v>0</v>
      </c>
      <c r="E162" s="23" t="n">
        <v>6.99</v>
      </c>
      <c r="F162" s="23" t="n">
        <v>12.43</v>
      </c>
      <c r="G162" s="23" t="n">
        <v>1.51</v>
      </c>
      <c r="H162" s="23" t="n">
        <f aca="false">((C162+D162+E162)-(F162-G162))</f>
        <v>0.0700000000000003</v>
      </c>
      <c r="I162" s="24" t="n">
        <f aca="false">ABS(IFERROR(H162/(F162-G162),H162/E162))</f>
        <v>0.00641025641025644</v>
      </c>
    </row>
    <row r="163" customFormat="false" ht="15.75" hidden="false" customHeight="false" outlineLevel="0" collapsed="false">
      <c r="A163" s="3" t="n">
        <v>162</v>
      </c>
      <c r="B163" s="4" t="n">
        <v>45522</v>
      </c>
      <c r="C163" s="23" t="n">
        <v>0</v>
      </c>
      <c r="D163" s="23" t="n">
        <v>0</v>
      </c>
      <c r="E163" s="23" t="n">
        <v>24.12</v>
      </c>
      <c r="F163" s="23" t="n">
        <v>28.9</v>
      </c>
      <c r="G163" s="23" t="n">
        <v>0</v>
      </c>
      <c r="H163" s="23" t="n">
        <f aca="false">((C163+D163+E163)-(F163-G163))</f>
        <v>-4.78</v>
      </c>
      <c r="I163" s="24" t="n">
        <f aca="false">ABS(IFERROR(H163/(F163-G163),H163/E163))</f>
        <v>0.165397923875432</v>
      </c>
    </row>
    <row r="164" customFormat="false" ht="15.75" hidden="false" customHeight="false" outlineLevel="0" collapsed="false">
      <c r="A164" s="3" t="n">
        <v>163</v>
      </c>
      <c r="B164" s="4" t="n">
        <v>45522</v>
      </c>
      <c r="C164" s="23" t="n">
        <v>4</v>
      </c>
      <c r="D164" s="23" t="n">
        <v>0</v>
      </c>
      <c r="E164" s="23" t="n">
        <v>17.47</v>
      </c>
      <c r="F164" s="23" t="n">
        <v>24.9</v>
      </c>
      <c r="G164" s="23" t="n">
        <v>0</v>
      </c>
      <c r="H164" s="23" t="n">
        <f aca="false">((C164+D164+E164)-(F164-G164))</f>
        <v>-3.43</v>
      </c>
      <c r="I164" s="24" t="n">
        <f aca="false">ABS(IFERROR(H164/(F164-G164),H164/E164))</f>
        <v>0.137751004016064</v>
      </c>
    </row>
    <row r="165" customFormat="false" ht="15.75" hidden="false" customHeight="false" outlineLevel="0" collapsed="false">
      <c r="A165" s="3" t="n">
        <v>164</v>
      </c>
      <c r="B165" s="4" t="n">
        <v>45522</v>
      </c>
      <c r="C165" s="23" t="n">
        <v>0</v>
      </c>
      <c r="D165" s="23" t="n">
        <v>0</v>
      </c>
      <c r="E165" s="23" t="n">
        <v>12.5</v>
      </c>
      <c r="F165" s="23" t="n">
        <v>17.97</v>
      </c>
      <c r="G165" s="23" t="n">
        <v>0</v>
      </c>
      <c r="H165" s="23" t="n">
        <f aca="false">((C165+D165+E165)-(F165-G165))</f>
        <v>-5.47</v>
      </c>
      <c r="I165" s="24" t="n">
        <f aca="false">ABS(IFERROR(H165/(F165-G165),H165/E165))</f>
        <v>0.304396215915415</v>
      </c>
    </row>
    <row r="166" customFormat="false" ht="15.75" hidden="false" customHeight="false" outlineLevel="0" collapsed="false">
      <c r="A166" s="3" t="n">
        <v>165</v>
      </c>
      <c r="B166" s="4" t="n">
        <v>45522</v>
      </c>
      <c r="C166" s="23" t="n">
        <v>9.5</v>
      </c>
      <c r="D166" s="23" t="n">
        <v>5</v>
      </c>
      <c r="E166" s="23" t="n">
        <v>11.66</v>
      </c>
      <c r="F166" s="23" t="n">
        <v>28.44</v>
      </c>
      <c r="G166" s="23" t="n">
        <v>0.54</v>
      </c>
      <c r="H166" s="23" t="n">
        <f aca="false">((C166+D166+E166)-(F166-G166))</f>
        <v>-1.74</v>
      </c>
      <c r="I166" s="24" t="n">
        <f aca="false">ABS(IFERROR(H166/(F166-G166),H166/E166))</f>
        <v>0.0623655913978495</v>
      </c>
    </row>
    <row r="167" customFormat="false" ht="15.75" hidden="false" customHeight="false" outlineLevel="0" collapsed="false">
      <c r="A167" s="3" t="n">
        <v>166</v>
      </c>
      <c r="B167" s="4" t="n">
        <v>45522</v>
      </c>
      <c r="C167" s="23" t="n">
        <v>3.75</v>
      </c>
      <c r="D167" s="23" t="n">
        <v>5</v>
      </c>
      <c r="E167" s="23" t="n">
        <v>6.99</v>
      </c>
      <c r="F167" s="23" t="n">
        <v>17.36</v>
      </c>
      <c r="G167" s="23" t="n">
        <v>3.38</v>
      </c>
      <c r="H167" s="23" t="n">
        <f aca="false">((C167+D167+E167)-(F167-G167))</f>
        <v>1.76</v>
      </c>
      <c r="I167" s="24" t="n">
        <f aca="false">ABS(IFERROR(H167/(F167-G167),H167/E167))</f>
        <v>0.125894134477825</v>
      </c>
    </row>
    <row r="168" customFormat="false" ht="15.75" hidden="false" customHeight="false" outlineLevel="0" collapsed="false">
      <c r="A168" s="3" t="n">
        <v>167</v>
      </c>
      <c r="B168" s="4" t="n">
        <v>45522</v>
      </c>
      <c r="C168" s="23" t="n">
        <v>1</v>
      </c>
      <c r="D168" s="23" t="n">
        <v>5</v>
      </c>
      <c r="E168" s="23" t="n">
        <v>6.99</v>
      </c>
      <c r="F168" s="23" t="n">
        <v>14.45</v>
      </c>
      <c r="G168" s="23" t="n">
        <v>3.49</v>
      </c>
      <c r="H168" s="23" t="n">
        <f aca="false">((C168+D168+E168)-(F168-G168))</f>
        <v>2.03</v>
      </c>
      <c r="I168" s="24" t="n">
        <f aca="false">ABS(IFERROR(H168/(F168-G168),H168/E168))</f>
        <v>0.18521897810219</v>
      </c>
    </row>
    <row r="169" customFormat="false" ht="15.75" hidden="false" customHeight="false" outlineLevel="0" collapsed="false">
      <c r="A169" s="3" t="n">
        <v>168</v>
      </c>
      <c r="B169" s="4" t="n">
        <v>45524</v>
      </c>
      <c r="C169" s="23" t="n">
        <v>0</v>
      </c>
      <c r="D169" s="23" t="n">
        <v>0</v>
      </c>
      <c r="E169" s="23" t="n">
        <v>16.09</v>
      </c>
      <c r="F169" s="23" t="n">
        <v>20.27</v>
      </c>
      <c r="G169" s="23" t="n">
        <v>2.03</v>
      </c>
      <c r="H169" s="23" t="n">
        <f aca="false">((C169+D169+E169)-(F169-G169))</f>
        <v>-2.15</v>
      </c>
      <c r="I169" s="24" t="n">
        <f aca="false">ABS(IFERROR(H169/(F169-G169),H169/E169))</f>
        <v>0.117872807017544</v>
      </c>
    </row>
    <row r="170" customFormat="false" ht="15.75" hidden="false" customHeight="false" outlineLevel="0" collapsed="false">
      <c r="A170" s="3" t="n">
        <v>169</v>
      </c>
      <c r="B170" s="4" t="n">
        <v>45524</v>
      </c>
      <c r="C170" s="23" t="n">
        <v>0</v>
      </c>
      <c r="D170" s="23" t="n">
        <v>0</v>
      </c>
      <c r="E170" s="23" t="n">
        <v>8.67</v>
      </c>
      <c r="F170" s="23" t="n">
        <v>13.32</v>
      </c>
      <c r="G170" s="23" t="n">
        <v>5.33</v>
      </c>
      <c r="H170" s="23" t="n">
        <f aca="false">((C170+D170+E170)-(F170-G170))</f>
        <v>0.68</v>
      </c>
      <c r="I170" s="24" t="n">
        <f aca="false">ABS(IFERROR(H170/(F170-G170),H170/E170))</f>
        <v>0.0851063829787234</v>
      </c>
    </row>
    <row r="171" customFormat="false" ht="15.75" hidden="false" customHeight="false" outlineLevel="0" collapsed="false">
      <c r="A171" s="3" t="n">
        <v>170</v>
      </c>
      <c r="B171" s="4" t="n">
        <v>45524</v>
      </c>
      <c r="C171" s="23" t="n">
        <v>0</v>
      </c>
      <c r="D171" s="23" t="n">
        <v>0</v>
      </c>
      <c r="E171" s="23" t="n">
        <v>22.67</v>
      </c>
      <c r="F171" s="23" t="n">
        <v>28.91</v>
      </c>
      <c r="G171" s="23" t="n">
        <v>0</v>
      </c>
      <c r="H171" s="23" t="n">
        <f aca="false">((C171+D171+E171)-(F171-G171))</f>
        <v>-6.24</v>
      </c>
      <c r="I171" s="24" t="n">
        <f aca="false">ABS(IFERROR(H171/(F171-G171),H171/E171))</f>
        <v>0.215842269111034</v>
      </c>
    </row>
    <row r="172" customFormat="false" ht="15.75" hidden="false" customHeight="false" outlineLevel="0" collapsed="false">
      <c r="A172" s="3" t="n">
        <v>171</v>
      </c>
      <c r="B172" s="4" t="n">
        <v>45524</v>
      </c>
      <c r="C172" s="23" t="n">
        <v>0</v>
      </c>
      <c r="D172" s="23" t="n">
        <v>0</v>
      </c>
      <c r="E172" s="23" t="n">
        <v>6.99</v>
      </c>
      <c r="F172" s="23" t="n">
        <v>10.92</v>
      </c>
      <c r="G172" s="23" t="n">
        <v>0</v>
      </c>
      <c r="H172" s="23" t="n">
        <f aca="false">((C172+D172+E172)-(F172-G172))</f>
        <v>-3.93</v>
      </c>
      <c r="I172" s="24" t="n">
        <f aca="false">ABS(IFERROR(H172/(F172-G172),H172/E172))</f>
        <v>0.35989010989011</v>
      </c>
    </row>
    <row r="173" customFormat="false" ht="15.75" hidden="false" customHeight="false" outlineLevel="0" collapsed="false">
      <c r="A173" s="3" t="n">
        <v>172</v>
      </c>
      <c r="B173" s="4" t="n">
        <v>45524</v>
      </c>
      <c r="C173" s="23" t="n">
        <v>0</v>
      </c>
      <c r="D173" s="23" t="n">
        <v>0</v>
      </c>
      <c r="E173" s="23" t="n">
        <v>18.06</v>
      </c>
      <c r="F173" s="23" t="n">
        <v>23.97</v>
      </c>
      <c r="G173" s="23" t="n">
        <v>0</v>
      </c>
      <c r="H173" s="23" t="n">
        <f aca="false">((C173+D173+E173)-(F173-G173))</f>
        <v>-5.91</v>
      </c>
      <c r="I173" s="24" t="n">
        <f aca="false">ABS(IFERROR(H173/(F173-G173),H173/E173))</f>
        <v>0.246558197747184</v>
      </c>
    </row>
    <row r="174" customFormat="false" ht="15.75" hidden="false" customHeight="false" outlineLevel="0" collapsed="false">
      <c r="A174" s="3" t="n">
        <v>173</v>
      </c>
      <c r="B174" s="4" t="n">
        <v>45524</v>
      </c>
      <c r="C174" s="23" t="n">
        <v>4.25</v>
      </c>
      <c r="D174" s="23" t="n">
        <v>0</v>
      </c>
      <c r="E174" s="23" t="n">
        <v>6.99</v>
      </c>
      <c r="F174" s="23" t="n">
        <v>12.98</v>
      </c>
      <c r="G174" s="23" t="n">
        <v>0</v>
      </c>
      <c r="H174" s="23" t="n">
        <f aca="false">((C174+D174+E174)-(F174-G174))</f>
        <v>-1.74</v>
      </c>
      <c r="I174" s="24" t="n">
        <f aca="false">ABS(IFERROR(H174/(F174-G174),H174/E174))</f>
        <v>0.134052388289676</v>
      </c>
    </row>
    <row r="175" customFormat="false" ht="15.75" hidden="false" customHeight="false" outlineLevel="0" collapsed="false">
      <c r="A175" s="3" t="n">
        <v>174</v>
      </c>
      <c r="B175" s="4" t="n">
        <v>45524</v>
      </c>
      <c r="C175" s="23" t="n">
        <v>0</v>
      </c>
      <c r="D175" s="23" t="n">
        <v>0</v>
      </c>
      <c r="E175" s="23" t="n">
        <v>7.3</v>
      </c>
      <c r="F175" s="23" t="n">
        <v>0</v>
      </c>
      <c r="G175" s="23" t="n">
        <v>0</v>
      </c>
      <c r="H175" s="23" t="n">
        <f aca="false">((C175+D175+E175)-(F175-G175))</f>
        <v>7.3</v>
      </c>
      <c r="I175" s="24" t="n">
        <f aca="false">ABS(IFERROR(H175/(F175-G175),H175/E175))</f>
        <v>1</v>
      </c>
    </row>
    <row r="176" customFormat="false" ht="15.75" hidden="false" customHeight="false" outlineLevel="0" collapsed="false">
      <c r="A176" s="3" t="n">
        <v>175</v>
      </c>
      <c r="B176" s="4" t="n">
        <v>45524</v>
      </c>
      <c r="C176" s="23" t="n">
        <v>1.5</v>
      </c>
      <c r="D176" s="23" t="n">
        <v>0</v>
      </c>
      <c r="E176" s="23" t="n">
        <v>6.99</v>
      </c>
      <c r="F176" s="23" t="n">
        <v>10.92</v>
      </c>
      <c r="G176" s="23" t="n">
        <v>0</v>
      </c>
      <c r="H176" s="23" t="n">
        <f aca="false">((C176+D176+E176)-(F176-G176))</f>
        <v>-2.43</v>
      </c>
      <c r="I176" s="24" t="n">
        <f aca="false">ABS(IFERROR(H176/(F176-G176),H176/E176))</f>
        <v>0.222527472527473</v>
      </c>
    </row>
    <row r="177" customFormat="false" ht="15.75" hidden="false" customHeight="false" outlineLevel="0" collapsed="false">
      <c r="A177" s="3" t="n">
        <v>176</v>
      </c>
      <c r="B177" s="4" t="n">
        <v>45524</v>
      </c>
      <c r="C177" s="23" t="n">
        <v>0</v>
      </c>
      <c r="D177" s="23" t="n">
        <v>0</v>
      </c>
      <c r="E177" s="23" t="n">
        <v>8.86</v>
      </c>
      <c r="F177" s="23" t="n">
        <v>13.34</v>
      </c>
      <c r="G177" s="23" t="n">
        <v>5.34</v>
      </c>
      <c r="H177" s="23" t="n">
        <f aca="false">((C177+D177+E177)-(F177-G177))</f>
        <v>0.859999999999999</v>
      </c>
      <c r="I177" s="24" t="n">
        <f aca="false">ABS(IFERROR(H177/(F177-G177),H177/E177))</f>
        <v>0.1075</v>
      </c>
    </row>
    <row r="178" customFormat="false" ht="15.75" hidden="false" customHeight="false" outlineLevel="0" collapsed="false">
      <c r="A178" s="3" t="n">
        <v>177</v>
      </c>
      <c r="B178" s="4" t="n">
        <v>45524</v>
      </c>
      <c r="C178" s="23" t="n">
        <v>0</v>
      </c>
      <c r="D178" s="23" t="n">
        <v>0</v>
      </c>
      <c r="E178" s="23" t="n">
        <v>10.39</v>
      </c>
      <c r="F178" s="23" t="n">
        <v>13.74</v>
      </c>
      <c r="G178" s="23" t="n">
        <v>5.5</v>
      </c>
      <c r="H178" s="23" t="n">
        <f aca="false">((C178+D178+E178)-(F178-G178))</f>
        <v>2.15</v>
      </c>
      <c r="I178" s="24" t="n">
        <f aca="false">ABS(IFERROR(H178/(F178-G178),H178/E178))</f>
        <v>0.260922330097087</v>
      </c>
    </row>
    <row r="179" customFormat="false" ht="15.75" hidden="false" customHeight="false" outlineLevel="0" collapsed="false">
      <c r="A179" s="3" t="n">
        <v>178</v>
      </c>
      <c r="B179" s="4" t="n">
        <v>45524</v>
      </c>
      <c r="C179" s="23" t="n">
        <v>0</v>
      </c>
      <c r="D179" s="23" t="n">
        <v>0</v>
      </c>
      <c r="E179" s="23" t="n">
        <v>7.08</v>
      </c>
      <c r="F179" s="23" t="n">
        <v>9.08</v>
      </c>
      <c r="G179" s="23" t="n">
        <v>0</v>
      </c>
      <c r="H179" s="23" t="n">
        <f aca="false">((C179+D179+E179)-(F179-G179))</f>
        <v>-2</v>
      </c>
      <c r="I179" s="24" t="n">
        <f aca="false">ABS(IFERROR(H179/(F179-G179),H179/E179))</f>
        <v>0.220264317180617</v>
      </c>
    </row>
    <row r="180" customFormat="false" ht="15.75" hidden="false" customHeight="false" outlineLevel="0" collapsed="false">
      <c r="A180" s="3" t="n">
        <v>179</v>
      </c>
      <c r="B180" s="4" t="n">
        <v>45524</v>
      </c>
      <c r="C180" s="23" t="n">
        <v>0</v>
      </c>
      <c r="D180" s="23" t="n">
        <v>0</v>
      </c>
      <c r="E180" s="23" t="n">
        <v>8.8</v>
      </c>
      <c r="F180" s="23" t="n">
        <v>12.04</v>
      </c>
      <c r="G180" s="23" t="n">
        <v>4.82</v>
      </c>
      <c r="H180" s="23" t="n">
        <f aca="false">((C180+D180+E180)-(F180-G180))</f>
        <v>1.58</v>
      </c>
      <c r="I180" s="24" t="n">
        <f aca="false">ABS(IFERROR(H180/(F180-G180),H180/E180))</f>
        <v>0.218836565096953</v>
      </c>
    </row>
    <row r="181" customFormat="false" ht="15.75" hidden="false" customHeight="false" outlineLevel="0" collapsed="false">
      <c r="A181" s="3" t="n">
        <v>180</v>
      </c>
      <c r="B181" s="4" t="n">
        <v>45524</v>
      </c>
      <c r="C181" s="23" t="n">
        <v>0</v>
      </c>
      <c r="D181" s="23" t="n">
        <v>0</v>
      </c>
      <c r="E181" s="23" t="n">
        <v>6.99</v>
      </c>
      <c r="F181" s="23" t="n">
        <v>9.96</v>
      </c>
      <c r="G181" s="23" t="n">
        <v>0</v>
      </c>
      <c r="H181" s="23" t="n">
        <f aca="false">((C181+D181+E181)-(F181-G181))</f>
        <v>-2.97</v>
      </c>
      <c r="I181" s="24" t="n">
        <f aca="false">ABS(IFERROR(H181/(F181-G181),H181/E181))</f>
        <v>0.298192771084337</v>
      </c>
    </row>
    <row r="182" customFormat="false" ht="15.75" hidden="false" customHeight="false" outlineLevel="0" collapsed="false">
      <c r="A182" s="3" t="n">
        <v>181</v>
      </c>
      <c r="B182" s="4" t="n">
        <v>45524</v>
      </c>
      <c r="C182" s="23" t="n">
        <v>0</v>
      </c>
      <c r="D182" s="23" t="n">
        <v>0</v>
      </c>
      <c r="E182" s="23" t="n">
        <v>21.7</v>
      </c>
      <c r="F182" s="23" t="n">
        <v>23.67</v>
      </c>
      <c r="G182" s="23" t="n">
        <v>1.7</v>
      </c>
      <c r="H182" s="23" t="n">
        <f aca="false">((C182+D182+E182)-(F182-G182))</f>
        <v>-0.270000000000003</v>
      </c>
      <c r="I182" s="24" t="n">
        <f aca="false">ABS(IFERROR(H182/(F182-G182),H182/E182))</f>
        <v>0.0122894856622669</v>
      </c>
    </row>
    <row r="183" customFormat="false" ht="15.75" hidden="false" customHeight="false" outlineLevel="0" collapsed="false">
      <c r="A183" s="3" t="n">
        <v>182</v>
      </c>
      <c r="B183" s="4" t="n">
        <v>45524</v>
      </c>
      <c r="C183" s="23" t="n">
        <v>0</v>
      </c>
      <c r="D183" s="23" t="n">
        <v>0</v>
      </c>
      <c r="E183" s="23" t="n">
        <v>6.99</v>
      </c>
      <c r="F183" s="23" t="n">
        <v>8.91</v>
      </c>
      <c r="G183" s="23" t="n">
        <v>0</v>
      </c>
      <c r="H183" s="23" t="n">
        <f aca="false">((C183+D183+E183)-(F183-G183))</f>
        <v>-1.92</v>
      </c>
      <c r="I183" s="24" t="n">
        <f aca="false">ABS(IFERROR(H183/(F183-G183),H183/E183))</f>
        <v>0.215488215488215</v>
      </c>
    </row>
    <row r="184" customFormat="false" ht="15.75" hidden="false" customHeight="false" outlineLevel="0" collapsed="false">
      <c r="A184" s="3" t="n">
        <v>183</v>
      </c>
      <c r="B184" s="4" t="n">
        <v>45529</v>
      </c>
      <c r="C184" s="23" t="n">
        <v>0</v>
      </c>
      <c r="D184" s="23" t="n">
        <v>0</v>
      </c>
      <c r="E184" s="23" t="n">
        <v>8.84</v>
      </c>
      <c r="F184" s="23" t="n">
        <v>13.9</v>
      </c>
      <c r="G184" s="23" t="n">
        <v>0</v>
      </c>
      <c r="H184" s="23" t="n">
        <f aca="false">((C184+D184+E184)-(F184-G184))</f>
        <v>-5.06</v>
      </c>
      <c r="I184" s="24" t="n">
        <f aca="false">ABS(IFERROR(H184/(F184-G184),H184/E184))</f>
        <v>0.364028776978417</v>
      </c>
    </row>
    <row r="185" customFormat="false" ht="15.75" hidden="false" customHeight="false" outlineLevel="0" collapsed="false">
      <c r="A185" s="3" t="n">
        <v>184</v>
      </c>
      <c r="B185" s="4" t="n">
        <v>45529</v>
      </c>
      <c r="C185" s="23" t="n">
        <v>0</v>
      </c>
      <c r="D185" s="23" t="n">
        <v>0</v>
      </c>
      <c r="E185" s="23" t="n">
        <v>9.1</v>
      </c>
      <c r="F185" s="23" t="n">
        <v>1</v>
      </c>
      <c r="G185" s="23" t="n">
        <v>0</v>
      </c>
      <c r="H185" s="23" t="n">
        <f aca="false">((C185+D185+E185)-(F185-G185))</f>
        <v>8.1</v>
      </c>
      <c r="I185" s="24" t="n">
        <f aca="false">ABS(IFERROR(H185/(F185-G185),H185/E185))</f>
        <v>8.1</v>
      </c>
    </row>
    <row r="186" customFormat="false" ht="15.75" hidden="false" customHeight="false" outlineLevel="0" collapsed="false">
      <c r="A186" s="3" t="n">
        <v>185</v>
      </c>
      <c r="B186" s="4" t="n">
        <v>45529</v>
      </c>
      <c r="C186" s="23" t="n">
        <v>0</v>
      </c>
      <c r="D186" s="23" t="n">
        <v>7</v>
      </c>
      <c r="E186" s="23" t="n">
        <v>8.8</v>
      </c>
      <c r="F186" s="23" t="n">
        <v>17.35</v>
      </c>
      <c r="G186" s="23" t="n">
        <v>3.39</v>
      </c>
      <c r="H186" s="23" t="n">
        <f aca="false">((C186+D186+E186)-(F186-G186))</f>
        <v>1.84</v>
      </c>
      <c r="I186" s="24" t="n">
        <f aca="false">ABS(IFERROR(H186/(F186-G186),H186/E186))</f>
        <v>0.131805157593123</v>
      </c>
    </row>
    <row r="187" customFormat="false" ht="15.75" hidden="false" customHeight="false" outlineLevel="0" collapsed="false">
      <c r="A187" s="3" t="n">
        <v>186</v>
      </c>
      <c r="B187" s="4" t="n">
        <v>45529</v>
      </c>
      <c r="C187" s="23" t="n">
        <v>0</v>
      </c>
      <c r="D187" s="23" t="n">
        <v>7</v>
      </c>
      <c r="E187" s="23" t="n">
        <v>6.99</v>
      </c>
      <c r="F187" s="23" t="n">
        <v>1</v>
      </c>
      <c r="G187" s="23" t="n">
        <v>0</v>
      </c>
      <c r="H187" s="23" t="n">
        <f aca="false">((C187+D187+E187)-(F187-G187))</f>
        <v>12.99</v>
      </c>
      <c r="I187" s="24" t="n">
        <f aca="false">ABS(IFERROR(H187/(F187-G187),H187/E187))</f>
        <v>12.99</v>
      </c>
    </row>
    <row r="188" customFormat="false" ht="15.75" hidden="false" customHeight="false" outlineLevel="0" collapsed="false">
      <c r="A188" s="3" t="n">
        <v>187</v>
      </c>
      <c r="B188" s="4" t="n">
        <v>45529</v>
      </c>
      <c r="C188" s="23" t="n">
        <v>0</v>
      </c>
      <c r="D188" s="23" t="n">
        <v>0</v>
      </c>
      <c r="E188" s="23" t="n">
        <v>1.8</v>
      </c>
      <c r="F188" s="23" t="n">
        <v>2.13</v>
      </c>
      <c r="G188" s="23" t="n">
        <v>0</v>
      </c>
      <c r="H188" s="23" t="n">
        <f aca="false">((C188+D188+E188)-(F188-G188))</f>
        <v>-0.33</v>
      </c>
      <c r="I188" s="24" t="n">
        <f aca="false">ABS(IFERROR(H188/(F188-G188),H188/E188))</f>
        <v>0.154929577464789</v>
      </c>
    </row>
    <row r="189" customFormat="false" ht="15.75" hidden="false" customHeight="false" outlineLevel="0" collapsed="false">
      <c r="A189" s="3" t="n">
        <v>188</v>
      </c>
      <c r="B189" s="4" t="n">
        <v>45529</v>
      </c>
      <c r="C189" s="23" t="n">
        <v>0</v>
      </c>
      <c r="D189" s="23" t="n">
        <v>7</v>
      </c>
      <c r="E189" s="23" t="n">
        <v>12.68</v>
      </c>
      <c r="F189" s="23" t="n">
        <v>21.38</v>
      </c>
      <c r="G189" s="23" t="n">
        <v>4.46</v>
      </c>
      <c r="H189" s="23" t="n">
        <f aca="false">((C189+D189+E189)-(F189-G189))</f>
        <v>2.76</v>
      </c>
      <c r="I189" s="24" t="n">
        <f aca="false">ABS(IFERROR(H189/(F189-G189),H189/E189))</f>
        <v>0.163120567375887</v>
      </c>
    </row>
    <row r="190" customFormat="false" ht="15.75" hidden="false" customHeight="false" outlineLevel="0" collapsed="false">
      <c r="A190" s="3" t="n">
        <v>189</v>
      </c>
      <c r="B190" s="4" t="n">
        <v>45542</v>
      </c>
      <c r="C190" s="23" t="n">
        <v>0</v>
      </c>
      <c r="D190" s="23" t="n">
        <v>0</v>
      </c>
      <c r="E190" s="23" t="n">
        <v>11.59</v>
      </c>
      <c r="F190" s="23" t="n">
        <v>16.14</v>
      </c>
      <c r="G190" s="23" t="n">
        <v>0</v>
      </c>
      <c r="H190" s="23" t="n">
        <f aca="false">((C190+D190+E190)-(F190-G190))</f>
        <v>-4.55</v>
      </c>
      <c r="I190" s="24" t="n">
        <f aca="false">ABS(IFERROR(H190/(F190-G190),H190/E190))</f>
        <v>0.281908302354399</v>
      </c>
    </row>
    <row r="191" customFormat="false" ht="15.75" hidden="false" customHeight="false" outlineLevel="0" collapsed="false">
      <c r="A191" s="3" t="n">
        <v>190</v>
      </c>
      <c r="B191" s="4" t="n">
        <v>45542</v>
      </c>
      <c r="C191" s="23" t="n">
        <v>0</v>
      </c>
      <c r="D191" s="23" t="n">
        <v>0</v>
      </c>
      <c r="E191" s="23" t="n">
        <v>38.38</v>
      </c>
      <c r="F191" s="23" t="n">
        <v>41.36</v>
      </c>
      <c r="G191" s="23" t="n">
        <v>2.41</v>
      </c>
      <c r="H191" s="23" t="n">
        <f aca="false">((C191+D191+E191)-(F191-G191))</f>
        <v>-0.57</v>
      </c>
      <c r="I191" s="24" t="n">
        <f aca="false">ABS(IFERROR(H191/(F191-G191),H191/E191))</f>
        <v>0.0146341463414634</v>
      </c>
    </row>
    <row r="192" customFormat="false" ht="15.75" hidden="false" customHeight="false" outlineLevel="0" collapsed="false">
      <c r="A192" s="3" t="n">
        <v>191</v>
      </c>
      <c r="B192" s="4" t="n">
        <v>45542</v>
      </c>
      <c r="C192" s="23" t="n">
        <v>0</v>
      </c>
      <c r="D192" s="23" t="n">
        <v>0</v>
      </c>
      <c r="E192" s="23" t="n">
        <v>6.99</v>
      </c>
      <c r="F192" s="23" t="n">
        <v>9.95</v>
      </c>
      <c r="G192" s="23" t="n">
        <v>0</v>
      </c>
      <c r="H192" s="23" t="n">
        <f aca="false">((C192+D192+E192)-(F192-G192))</f>
        <v>-2.96</v>
      </c>
      <c r="I192" s="24" t="n">
        <f aca="false">ABS(IFERROR(H192/(F192-G192),H192/E192))</f>
        <v>0.29748743718593</v>
      </c>
    </row>
    <row r="193" customFormat="false" ht="15.75" hidden="false" customHeight="false" outlineLevel="0" collapsed="false">
      <c r="A193" s="3" t="n">
        <v>192</v>
      </c>
      <c r="B193" s="4" t="n">
        <v>45542</v>
      </c>
      <c r="C193" s="23" t="n">
        <v>0</v>
      </c>
      <c r="D193" s="23" t="n">
        <v>0</v>
      </c>
      <c r="E193" s="23" t="n">
        <v>11.62</v>
      </c>
      <c r="F193" s="23" t="n">
        <v>13.07</v>
      </c>
      <c r="G193" s="23" t="n">
        <v>0.11</v>
      </c>
      <c r="H193" s="23" t="n">
        <f aca="false">((C193+D193+E193)-(F193-G193))</f>
        <v>-1.34</v>
      </c>
      <c r="I193" s="24" t="n">
        <f aca="false">ABS(IFERROR(H193/(F193-G193),H193/E193))</f>
        <v>0.103395061728395</v>
      </c>
    </row>
    <row r="194" customFormat="false" ht="15.75" hidden="false" customHeight="false" outlineLevel="0" collapsed="false">
      <c r="A194" s="3" t="n">
        <v>193</v>
      </c>
      <c r="B194" s="4" t="n">
        <v>45542</v>
      </c>
      <c r="C194" s="23" t="n">
        <v>0</v>
      </c>
      <c r="D194" s="23" t="n">
        <v>0</v>
      </c>
      <c r="E194" s="23" t="n">
        <v>14.19</v>
      </c>
      <c r="F194" s="23" t="n">
        <v>16.64</v>
      </c>
      <c r="G194" s="23" t="n">
        <v>6.66</v>
      </c>
      <c r="H194" s="23" t="n">
        <f aca="false">((C194+D194+E194)-(F194-G194))</f>
        <v>4.21</v>
      </c>
      <c r="I194" s="24" t="n">
        <f aca="false">ABS(IFERROR(H194/(F194-G194),H194/E194))</f>
        <v>0.421843687374749</v>
      </c>
    </row>
    <row r="195" customFormat="false" ht="15.75" hidden="false" customHeight="false" outlineLevel="0" collapsed="false">
      <c r="A195" s="3" t="n">
        <v>194</v>
      </c>
      <c r="B195" s="4" t="n">
        <v>45542</v>
      </c>
      <c r="C195" s="23" t="n">
        <v>0</v>
      </c>
      <c r="D195" s="23" t="n">
        <v>0</v>
      </c>
      <c r="E195" s="23" t="n">
        <v>20.28</v>
      </c>
      <c r="F195" s="23" t="n">
        <v>24.92</v>
      </c>
      <c r="G195" s="23" t="n">
        <v>0</v>
      </c>
      <c r="H195" s="23" t="n">
        <f aca="false">((C195+D195+E195)-(F195-G195))</f>
        <v>-4.64</v>
      </c>
      <c r="I195" s="24" t="n">
        <f aca="false">ABS(IFERROR(H195/(F195-G195),H195/E195))</f>
        <v>0.186195826645265</v>
      </c>
    </row>
    <row r="196" customFormat="false" ht="15.75" hidden="false" customHeight="false" outlineLevel="0" collapsed="false">
      <c r="A196" s="3" t="n">
        <v>195</v>
      </c>
      <c r="B196" s="4" t="n">
        <v>45543</v>
      </c>
      <c r="C196" s="23" t="n">
        <v>0</v>
      </c>
      <c r="D196" s="23" t="n">
        <v>0</v>
      </c>
      <c r="E196" s="23" t="n">
        <v>6.99</v>
      </c>
      <c r="F196" s="23" t="n">
        <v>9.93</v>
      </c>
      <c r="G196" s="23" t="n">
        <v>0</v>
      </c>
      <c r="H196" s="23" t="n">
        <f aca="false">((C196+D196+E196)-(F196-G196))</f>
        <v>-2.94</v>
      </c>
      <c r="I196" s="24" t="n">
        <f aca="false">ABS(IFERROR(H196/(F196-G196),H196/E196))</f>
        <v>0.29607250755287</v>
      </c>
    </row>
    <row r="197" customFormat="false" ht="15.75" hidden="false" customHeight="false" outlineLevel="0" collapsed="false">
      <c r="A197" s="3" t="n">
        <v>196</v>
      </c>
      <c r="B197" s="4" t="n">
        <v>45543</v>
      </c>
      <c r="C197" s="23" t="n">
        <v>0</v>
      </c>
      <c r="D197" s="23" t="n">
        <v>0</v>
      </c>
      <c r="E197" s="23" t="n">
        <v>7.13</v>
      </c>
      <c r="F197" s="23" t="n">
        <v>11.11</v>
      </c>
      <c r="G197" s="23" t="n">
        <v>0</v>
      </c>
      <c r="H197" s="23" t="n">
        <f aca="false">((C197+D197+E197)-(F197-G197))</f>
        <v>-3.98</v>
      </c>
      <c r="I197" s="24" t="n">
        <f aca="false">ABS(IFERROR(H197/(F197-G197),H197/E197))</f>
        <v>0.358235823582358</v>
      </c>
    </row>
    <row r="198" customFormat="false" ht="15.75" hidden="false" customHeight="false" outlineLevel="0" collapsed="false">
      <c r="A198" s="3" t="n">
        <v>197</v>
      </c>
      <c r="B198" s="4" t="n">
        <v>45543</v>
      </c>
      <c r="C198" s="23" t="n">
        <v>0</v>
      </c>
      <c r="D198" s="23" t="n">
        <v>0</v>
      </c>
      <c r="E198" s="23" t="n">
        <v>6.99</v>
      </c>
      <c r="F198" s="23" t="n">
        <v>8.96</v>
      </c>
      <c r="G198" s="23" t="n">
        <v>0</v>
      </c>
      <c r="H198" s="23" t="n">
        <f aca="false">((C198+D198+E198)-(F198-G198))</f>
        <v>-1.97</v>
      </c>
      <c r="I198" s="24" t="n">
        <f aca="false">ABS(IFERROR(H198/(F198-G198),H198/E198))</f>
        <v>0.219866071428571</v>
      </c>
    </row>
    <row r="199" customFormat="false" ht="15.75" hidden="false" customHeight="false" outlineLevel="0" collapsed="false">
      <c r="A199" s="3" t="n">
        <v>198</v>
      </c>
      <c r="B199" s="4" t="n">
        <v>45543</v>
      </c>
      <c r="C199" s="23" t="n">
        <v>0</v>
      </c>
      <c r="D199" s="23" t="n">
        <v>0</v>
      </c>
      <c r="E199" s="23" t="n">
        <v>12.84</v>
      </c>
      <c r="F199" s="23" t="n">
        <v>17.98</v>
      </c>
      <c r="G199" s="23" t="n">
        <v>0</v>
      </c>
      <c r="H199" s="23" t="n">
        <f aca="false">((C199+D199+E199)-(F199-G199))</f>
        <v>-5.14</v>
      </c>
      <c r="I199" s="24" t="n">
        <f aca="false">ABS(IFERROR(H199/(F199-G199),H199/E199))</f>
        <v>0.28587319243604</v>
      </c>
    </row>
    <row r="200" customFormat="false" ht="15.75" hidden="false" customHeight="false" outlineLevel="0" collapsed="false">
      <c r="A200" s="3" t="n">
        <v>199</v>
      </c>
      <c r="B200" s="4" t="n">
        <v>45543</v>
      </c>
      <c r="C200" s="23" t="n">
        <v>3.25</v>
      </c>
      <c r="D200" s="23" t="n">
        <v>0</v>
      </c>
      <c r="E200" s="23" t="n">
        <v>22.56</v>
      </c>
      <c r="F200" s="23" t="n">
        <v>36.95</v>
      </c>
      <c r="G200" s="23" t="n">
        <v>0</v>
      </c>
      <c r="H200" s="23" t="n">
        <f aca="false">((C200+D200+E200)-(F200-G200))</f>
        <v>-11.14</v>
      </c>
      <c r="I200" s="24" t="n">
        <f aca="false">ABS(IFERROR(H200/(F200-G200),H200/E200))</f>
        <v>0.30148849797023</v>
      </c>
    </row>
    <row r="201" customFormat="false" ht="15.75" hidden="false" customHeight="false" outlineLevel="0" collapsed="false">
      <c r="A201" s="3" t="n">
        <v>200</v>
      </c>
      <c r="B201" s="4" t="n">
        <v>45543</v>
      </c>
      <c r="C201" s="23" t="n">
        <v>0</v>
      </c>
      <c r="D201" s="23" t="n">
        <v>0</v>
      </c>
      <c r="E201" s="23" t="n">
        <v>38.16</v>
      </c>
      <c r="F201" s="23" t="n">
        <v>41.16</v>
      </c>
      <c r="G201" s="23" t="n">
        <v>13.33</v>
      </c>
      <c r="H201" s="23" t="n">
        <f aca="false">((C201+D201+E201)-(F201-G201))</f>
        <v>10.33</v>
      </c>
      <c r="I201" s="24" t="n">
        <f aca="false">ABS(IFERROR(H201/(F201-G201),H201/E201))</f>
        <v>0.371182177506288</v>
      </c>
    </row>
    <row r="202" customFormat="false" ht="15.75" hidden="false" customHeight="false" outlineLevel="0" collapsed="false">
      <c r="A202" s="3" t="n">
        <v>201</v>
      </c>
      <c r="B202" s="4" t="n">
        <v>45543</v>
      </c>
      <c r="C202" s="23" t="n">
        <v>2.75</v>
      </c>
      <c r="D202" s="23" t="n">
        <v>0</v>
      </c>
      <c r="E202" s="23" t="n">
        <v>23.68</v>
      </c>
      <c r="F202" s="23" t="n">
        <v>28.74</v>
      </c>
      <c r="G202" s="23" t="n">
        <v>0.81</v>
      </c>
      <c r="H202" s="23" t="n">
        <f aca="false">((C202+D202+E202)-(F202-G202))</f>
        <v>-1.5</v>
      </c>
      <c r="I202" s="24" t="n">
        <f aca="false">ABS(IFERROR(H202/(F202-G202),H202/E202))</f>
        <v>0.0537056928034372</v>
      </c>
    </row>
    <row r="203" customFormat="false" ht="15.75" hidden="false" customHeight="false" outlineLevel="0" collapsed="false">
      <c r="A203" s="3" t="n">
        <v>202</v>
      </c>
      <c r="B203" s="4" t="n">
        <v>45543</v>
      </c>
      <c r="C203" s="23" t="n">
        <v>0</v>
      </c>
      <c r="D203" s="23" t="n">
        <v>0</v>
      </c>
      <c r="E203" s="23" t="n">
        <v>10.88</v>
      </c>
      <c r="F203" s="23" t="n">
        <v>24.89</v>
      </c>
      <c r="G203" s="23" t="n">
        <v>0</v>
      </c>
      <c r="H203" s="23" t="n">
        <f aca="false">((C203+D203+E203)-(F203-G203))</f>
        <v>-14.01</v>
      </c>
      <c r="I203" s="24" t="n">
        <f aca="false">ABS(IFERROR(H203/(F203-G203),H203/E203))</f>
        <v>0.562876657292085</v>
      </c>
    </row>
    <row r="204" customFormat="false" ht="15.75" hidden="false" customHeight="false" outlineLevel="0" collapsed="false">
      <c r="A204" s="3" t="n">
        <v>203</v>
      </c>
      <c r="B204" s="4" t="n">
        <v>45543</v>
      </c>
      <c r="C204" s="23" t="n">
        <v>0</v>
      </c>
      <c r="D204" s="23" t="n">
        <v>0</v>
      </c>
      <c r="E204" s="23" t="n">
        <v>35.23</v>
      </c>
      <c r="F204" s="23" t="n">
        <v>37.81</v>
      </c>
      <c r="G204" s="23" t="n">
        <v>0</v>
      </c>
      <c r="H204" s="23" t="n">
        <f aca="false">((C204+D204+E204)-(F204-G204))</f>
        <v>-2.58000000000001</v>
      </c>
      <c r="I204" s="24" t="n">
        <f aca="false">ABS(IFERROR(H204/(F204-G204),H204/E204))</f>
        <v>0.0682359164242265</v>
      </c>
    </row>
    <row r="205" customFormat="false" ht="15.75" hidden="false" customHeight="false" outlineLevel="0" collapsed="false">
      <c r="A205" s="3" t="n">
        <v>204</v>
      </c>
      <c r="B205" s="4" t="n">
        <v>45543</v>
      </c>
      <c r="C205" s="23" t="n">
        <v>0</v>
      </c>
      <c r="D205" s="23" t="n">
        <v>5</v>
      </c>
      <c r="E205" s="23" t="n">
        <v>10.77</v>
      </c>
      <c r="F205" s="23" t="n">
        <v>17.39</v>
      </c>
      <c r="G205" s="23" t="n">
        <v>1.48</v>
      </c>
      <c r="H205" s="23" t="n">
        <f aca="false">((C205+D205+E205)-(F205-G205))</f>
        <v>-0.140000000000001</v>
      </c>
      <c r="I205" s="24" t="n">
        <f aca="false">ABS(IFERROR(H205/(F205-G205),H205/E205))</f>
        <v>0.00879949717159023</v>
      </c>
    </row>
    <row r="206" customFormat="false" ht="15.75" hidden="false" customHeight="false" outlineLevel="0" collapsed="false">
      <c r="A206" s="3" t="n">
        <v>205</v>
      </c>
      <c r="B206" s="4" t="n">
        <v>45543</v>
      </c>
      <c r="C206" s="23" t="n">
        <v>0</v>
      </c>
      <c r="D206" s="23" t="n">
        <v>5</v>
      </c>
      <c r="E206" s="23" t="n">
        <v>7.23</v>
      </c>
      <c r="F206" s="23" t="n">
        <v>13.59</v>
      </c>
      <c r="G206" s="23" t="n">
        <v>2.62</v>
      </c>
      <c r="H206" s="23" t="n">
        <f aca="false">((C206+D206+E206)-(F206-G206))</f>
        <v>1.26</v>
      </c>
      <c r="I206" s="24" t="n">
        <f aca="false">ABS(IFERROR(H206/(F206-G206),H206/E206))</f>
        <v>0.11485870556062</v>
      </c>
    </row>
    <row r="207" customFormat="false" ht="15.75" hidden="false" customHeight="false" outlineLevel="0" collapsed="false">
      <c r="A207" s="3" t="n">
        <v>206</v>
      </c>
      <c r="B207" s="4" t="n">
        <v>45543</v>
      </c>
      <c r="C207" s="23" t="n">
        <v>1.25</v>
      </c>
      <c r="D207" s="23" t="n">
        <v>0</v>
      </c>
      <c r="E207" s="23" t="n">
        <v>13.7</v>
      </c>
      <c r="F207" s="23" t="n">
        <v>16.54</v>
      </c>
      <c r="G207" s="23" t="n">
        <v>7.45</v>
      </c>
      <c r="H207" s="23" t="n">
        <f aca="false">((C207+D207+E207)-(F207-G207))</f>
        <v>5.86</v>
      </c>
      <c r="I207" s="24" t="n">
        <f aca="false">ABS(IFERROR(H207/(F207-G207),H207/E207))</f>
        <v>0.644664466446645</v>
      </c>
    </row>
    <row r="208" customFormat="false" ht="15.75" hidden="false" customHeight="false" outlineLevel="0" collapsed="false">
      <c r="A208" s="3" t="n">
        <v>207</v>
      </c>
      <c r="B208" s="4" t="n">
        <v>45549</v>
      </c>
      <c r="C208" s="23" t="n">
        <v>1</v>
      </c>
      <c r="D208" s="23" t="n">
        <v>4</v>
      </c>
      <c r="E208" s="23" t="n">
        <v>7.58</v>
      </c>
      <c r="F208" s="23" t="n">
        <v>1</v>
      </c>
      <c r="G208" s="23" t="n">
        <v>0</v>
      </c>
      <c r="H208" s="23" t="n">
        <f aca="false">((C208+D208+E208)-(F208-G208))</f>
        <v>11.58</v>
      </c>
      <c r="I208" s="24" t="n">
        <f aca="false">ABS(IFERROR(H208/(F208-G208),H208/E208))</f>
        <v>11.58</v>
      </c>
    </row>
    <row r="209" customFormat="false" ht="15.75" hidden="false" customHeight="false" outlineLevel="0" collapsed="false">
      <c r="A209" s="3" t="n">
        <v>208</v>
      </c>
      <c r="B209" s="4" t="n">
        <v>45549</v>
      </c>
      <c r="C209" s="23" t="n">
        <v>1.25</v>
      </c>
      <c r="D209" s="23" t="n">
        <v>4</v>
      </c>
      <c r="E209" s="23" t="n">
        <v>8.9</v>
      </c>
      <c r="F209" s="23" t="n">
        <v>16.92</v>
      </c>
      <c r="G209" s="23" t="n">
        <v>0</v>
      </c>
      <c r="H209" s="23" t="n">
        <f aca="false">((C209+D209+E209)-(F209-G209))</f>
        <v>-2.77</v>
      </c>
      <c r="I209" s="24" t="n">
        <f aca="false">ABS(IFERROR(H209/(F209-G209),H209/E209))</f>
        <v>0.16371158392435</v>
      </c>
    </row>
    <row r="210" customFormat="false" ht="15.75" hidden="false" customHeight="false" outlineLevel="0" collapsed="false">
      <c r="A210" s="3" t="n">
        <v>209</v>
      </c>
      <c r="B210" s="4" t="n">
        <v>45549</v>
      </c>
      <c r="C210" s="23" t="n">
        <v>3.55</v>
      </c>
      <c r="D210" s="23" t="n">
        <v>4</v>
      </c>
      <c r="E210" s="23" t="n">
        <v>19.58</v>
      </c>
      <c r="F210" s="23" t="n">
        <v>29.9</v>
      </c>
      <c r="G210" s="23" t="n">
        <v>1.28</v>
      </c>
      <c r="H210" s="23" t="n">
        <f aca="false">((C210+D210+E210)-(F210-G210))</f>
        <v>-1.49</v>
      </c>
      <c r="I210" s="24" t="n">
        <f aca="false">ABS(IFERROR(H210/(F210-G210),H210/E210))</f>
        <v>0.0520614954577218</v>
      </c>
    </row>
    <row r="211" customFormat="false" ht="15.75" hidden="false" customHeight="false" outlineLevel="0" collapsed="false">
      <c r="A211" s="3" t="n">
        <v>210</v>
      </c>
      <c r="B211" s="4" t="n">
        <v>45549</v>
      </c>
      <c r="C211" s="23" t="n">
        <v>0</v>
      </c>
      <c r="D211" s="23" t="n">
        <v>0</v>
      </c>
      <c r="E211" s="23" t="n">
        <v>4.43</v>
      </c>
      <c r="F211" s="23" t="n">
        <v>5.25</v>
      </c>
      <c r="G211" s="23" t="n">
        <v>0</v>
      </c>
      <c r="H211" s="23" t="n">
        <f aca="false">((C211+D211+E211)-(F211-G211))</f>
        <v>-0.82</v>
      </c>
      <c r="I211" s="24" t="n">
        <f aca="false">ABS(IFERROR(H211/(F211-G211),H211/E211))</f>
        <v>0.156190476190476</v>
      </c>
    </row>
    <row r="212" customFormat="false" ht="15.75" hidden="false" customHeight="false" outlineLevel="0" collapsed="false">
      <c r="A212" s="3" t="n">
        <v>211</v>
      </c>
      <c r="B212" s="4" t="n">
        <v>45549</v>
      </c>
      <c r="C212" s="23" t="n">
        <v>1</v>
      </c>
      <c r="D212" s="23" t="n">
        <v>0</v>
      </c>
      <c r="E212" s="23" t="n">
        <v>16.89</v>
      </c>
      <c r="F212" s="23" t="n">
        <v>19.53</v>
      </c>
      <c r="G212" s="23" t="n">
        <v>3.62</v>
      </c>
      <c r="H212" s="23" t="n">
        <f aca="false">((C212+D212+E212)-(F212-G212))</f>
        <v>1.98</v>
      </c>
      <c r="I212" s="24" t="n">
        <f aca="false">ABS(IFERROR(H212/(F212-G212),H212/E212))</f>
        <v>0.124450031426776</v>
      </c>
    </row>
    <row r="213" customFormat="false" ht="15.75" hidden="false" customHeight="false" outlineLevel="0" collapsed="false">
      <c r="A213" s="3" t="n">
        <v>212</v>
      </c>
      <c r="B213" s="4" t="n">
        <v>45549</v>
      </c>
      <c r="C213" s="23" t="n">
        <v>0</v>
      </c>
      <c r="D213" s="23" t="n">
        <v>0</v>
      </c>
      <c r="E213" s="23" t="n">
        <v>6.99</v>
      </c>
      <c r="F213" s="23" t="n">
        <v>10.94</v>
      </c>
      <c r="G213" s="23" t="n">
        <v>0</v>
      </c>
      <c r="H213" s="23" t="n">
        <f aca="false">((C213+D213+E213)-(F213-G213))</f>
        <v>-3.95</v>
      </c>
      <c r="I213" s="24" t="n">
        <f aca="false">ABS(IFERROR(H213/(F213-G213),H213/E213))</f>
        <v>0.361060329067642</v>
      </c>
    </row>
    <row r="214" customFormat="false" ht="15.75" hidden="false" customHeight="false" outlineLevel="0" collapsed="false">
      <c r="A214" s="3" t="n">
        <v>213</v>
      </c>
      <c r="B214" s="4" t="n">
        <v>45549</v>
      </c>
      <c r="C214" s="23" t="n">
        <v>0</v>
      </c>
      <c r="D214" s="23" t="n">
        <v>0</v>
      </c>
      <c r="E214" s="23" t="n">
        <v>6.99</v>
      </c>
      <c r="F214" s="23" t="n">
        <v>9.83</v>
      </c>
      <c r="G214" s="23" t="n">
        <v>3.93</v>
      </c>
      <c r="H214" s="23" t="n">
        <f aca="false">((C214+D214+E214)-(F214-G214))</f>
        <v>1.09</v>
      </c>
      <c r="I214" s="24" t="n">
        <f aca="false">ABS(IFERROR(H214/(F214-G214),H214/E214))</f>
        <v>0.184745762711864</v>
      </c>
    </row>
    <row r="215" customFormat="false" ht="15.75" hidden="false" customHeight="false" outlineLevel="0" collapsed="false">
      <c r="A215" s="3" t="n">
        <v>214</v>
      </c>
      <c r="B215" s="4" t="n">
        <v>45549</v>
      </c>
      <c r="C215" s="23" t="n">
        <v>1.21</v>
      </c>
      <c r="D215" s="23" t="n">
        <v>0</v>
      </c>
      <c r="E215" s="23" t="n">
        <v>11.95</v>
      </c>
      <c r="F215" s="23" t="n">
        <v>21.34</v>
      </c>
      <c r="G215" s="23" t="n">
        <v>0</v>
      </c>
      <c r="H215" s="23" t="n">
        <f aca="false">((C215+D215+E215)-(F215-G215))</f>
        <v>-8.18</v>
      </c>
      <c r="I215" s="24" t="n">
        <f aca="false">ABS(IFERROR(H215/(F215-G215),H215/E215))</f>
        <v>0.38331771321462</v>
      </c>
    </row>
    <row r="216" customFormat="false" ht="15.75" hidden="false" customHeight="false" outlineLevel="0" collapsed="false">
      <c r="A216" s="3" t="n">
        <v>215</v>
      </c>
      <c r="B216" s="4" t="n">
        <v>45549</v>
      </c>
      <c r="C216" s="23" t="n">
        <v>0</v>
      </c>
      <c r="D216" s="23" t="n">
        <v>0</v>
      </c>
      <c r="E216" s="23" t="n">
        <v>16.03</v>
      </c>
      <c r="F216" s="23" t="n">
        <v>19.99</v>
      </c>
      <c r="G216" s="23" t="n">
        <v>0</v>
      </c>
      <c r="H216" s="23" t="n">
        <f aca="false">((C216+D216+E216)-(F216-G216))</f>
        <v>-3.96</v>
      </c>
      <c r="I216" s="24" t="n">
        <f aca="false">ABS(IFERROR(H216/(F216-G216),H216/E216))</f>
        <v>0.198099049524762</v>
      </c>
    </row>
    <row r="217" customFormat="false" ht="15.75" hidden="false" customHeight="false" outlineLevel="0" collapsed="false">
      <c r="A217" s="3" t="n">
        <v>216</v>
      </c>
      <c r="B217" s="4" t="n">
        <v>45549</v>
      </c>
      <c r="C217" s="23" t="n">
        <v>0</v>
      </c>
      <c r="D217" s="23" t="n">
        <v>0</v>
      </c>
      <c r="E217" s="23" t="n">
        <v>6.99</v>
      </c>
      <c r="F217" s="23" t="n">
        <v>8.94</v>
      </c>
      <c r="G217" s="23" t="n">
        <v>0</v>
      </c>
      <c r="H217" s="23" t="n">
        <f aca="false">((C217+D217+E217)-(F217-G217))</f>
        <v>-1.95</v>
      </c>
      <c r="I217" s="24" t="n">
        <f aca="false">ABS(IFERROR(H217/(F217-G217),H217/E217))</f>
        <v>0.218120805369127</v>
      </c>
    </row>
    <row r="218" customFormat="false" ht="15.75" hidden="false" customHeight="false" outlineLevel="0" collapsed="false">
      <c r="A218" s="3" t="n">
        <v>217</v>
      </c>
      <c r="B218" s="4" t="n">
        <v>45549</v>
      </c>
      <c r="C218" s="23" t="n">
        <v>0</v>
      </c>
      <c r="D218" s="23" t="n">
        <v>0</v>
      </c>
      <c r="E218" s="23" t="n">
        <v>6.99</v>
      </c>
      <c r="F218" s="23" t="n">
        <v>8.96</v>
      </c>
      <c r="G218" s="23" t="n">
        <v>0</v>
      </c>
      <c r="H218" s="23" t="n">
        <f aca="false">((C218+D218+E218)-(F218-G218))</f>
        <v>-1.97</v>
      </c>
      <c r="I218" s="24" t="n">
        <f aca="false">ABS(IFERROR(H218/(F218-G218),H218/E218))</f>
        <v>0.219866071428571</v>
      </c>
    </row>
    <row r="219" customFormat="false" ht="15.75" hidden="false" customHeight="false" outlineLevel="0" collapsed="false">
      <c r="A219" s="3" t="n">
        <v>218</v>
      </c>
      <c r="B219" s="4" t="n">
        <v>45549</v>
      </c>
      <c r="C219" s="23" t="n">
        <v>1.25</v>
      </c>
      <c r="D219" s="23" t="n">
        <v>0</v>
      </c>
      <c r="E219" s="23" t="n">
        <v>6.99</v>
      </c>
      <c r="F219" s="23" t="n">
        <v>9.49</v>
      </c>
      <c r="G219" s="23" t="n">
        <v>1.59</v>
      </c>
      <c r="H219" s="23" t="n">
        <f aca="false">((C219+D219+E219)-(F219-G219))</f>
        <v>0.34</v>
      </c>
      <c r="I219" s="24" t="n">
        <f aca="false">ABS(IFERROR(H219/(F219-G219),H219/E219))</f>
        <v>0.0430379746835443</v>
      </c>
    </row>
    <row r="220" customFormat="false" ht="15.75" hidden="false" customHeight="false" outlineLevel="0" collapsed="false">
      <c r="A220" s="3" t="n">
        <v>219</v>
      </c>
      <c r="B220" s="4" t="n">
        <v>45549</v>
      </c>
      <c r="C220" s="23" t="n">
        <v>2.75</v>
      </c>
      <c r="D220" s="23" t="n">
        <v>0</v>
      </c>
      <c r="E220" s="23" t="n">
        <v>9.14</v>
      </c>
      <c r="F220" s="23" t="n">
        <v>13.99</v>
      </c>
      <c r="G220" s="23" t="n">
        <v>2.1</v>
      </c>
      <c r="H220" s="23" t="n">
        <f aca="false">((C220+D220+E220)-(F220-G220))</f>
        <v>0</v>
      </c>
      <c r="I220" s="24" t="n">
        <f aca="false">ABS(IFERROR(H220/(F220-G220),H220/E220))</f>
        <v>0</v>
      </c>
    </row>
    <row r="221" customFormat="false" ht="15.75" hidden="false" customHeight="false" outlineLevel="0" collapsed="false">
      <c r="A221" s="3" t="n">
        <v>220</v>
      </c>
      <c r="B221" s="4" t="n">
        <v>45549</v>
      </c>
      <c r="C221" s="23" t="n">
        <v>0</v>
      </c>
      <c r="D221" s="23" t="n">
        <v>0</v>
      </c>
      <c r="E221" s="23" t="n">
        <v>17.09</v>
      </c>
      <c r="F221" s="23" t="n">
        <v>20.04</v>
      </c>
      <c r="G221" s="23" t="n">
        <v>8.02</v>
      </c>
      <c r="H221" s="23" t="n">
        <f aca="false">((C221+D221+E221)-(F221-G221))</f>
        <v>5.07</v>
      </c>
      <c r="I221" s="24" t="n">
        <f aca="false">ABS(IFERROR(H221/(F221-G221),H221/E221))</f>
        <v>0.421797004991681</v>
      </c>
    </row>
    <row r="222" customFormat="false" ht="15.75" hidden="false" customHeight="false" outlineLevel="0" collapsed="false">
      <c r="A222" s="3" t="n">
        <v>221</v>
      </c>
      <c r="B222" s="4" t="n">
        <v>45549</v>
      </c>
      <c r="C222" s="23" t="n">
        <v>0</v>
      </c>
      <c r="D222" s="23" t="n">
        <v>0</v>
      </c>
      <c r="E222" s="23" t="n">
        <v>8.79</v>
      </c>
      <c r="F222" s="23" t="n">
        <v>11.94</v>
      </c>
      <c r="G222" s="23" t="n">
        <v>0</v>
      </c>
      <c r="H222" s="23" t="n">
        <f aca="false">((C222+D222+E222)-(F222-G222))</f>
        <v>-3.15</v>
      </c>
      <c r="I222" s="24" t="n">
        <f aca="false">ABS(IFERROR(H222/(F222-G222),H222/E222))</f>
        <v>0.263819095477387</v>
      </c>
    </row>
    <row r="223" customFormat="false" ht="15.75" hidden="false" customHeight="false" outlineLevel="0" collapsed="false">
      <c r="A223" s="3" t="n">
        <v>222</v>
      </c>
      <c r="B223" s="4" t="n">
        <v>45549</v>
      </c>
      <c r="C223" s="23" t="n">
        <v>0</v>
      </c>
      <c r="D223" s="23" t="n">
        <v>0</v>
      </c>
      <c r="E223" s="23" t="n">
        <v>14.25</v>
      </c>
      <c r="F223" s="23" t="n">
        <v>15.81</v>
      </c>
      <c r="G223" s="23" t="n">
        <v>0.83</v>
      </c>
      <c r="H223" s="23" t="n">
        <f aca="false">((C223+D223+E223)-(F223-G223))</f>
        <v>-0.73</v>
      </c>
      <c r="I223" s="24" t="n">
        <f aca="false">ABS(IFERROR(H223/(F223-G223),H223/E223))</f>
        <v>0.0487316421895861</v>
      </c>
    </row>
    <row r="224" customFormat="false" ht="15.75" hidden="false" customHeight="false" outlineLevel="0" collapsed="false">
      <c r="A224" s="3" t="n">
        <v>223</v>
      </c>
      <c r="B224" s="4" t="n">
        <v>45555</v>
      </c>
      <c r="C224" s="23" t="n">
        <v>0</v>
      </c>
      <c r="D224" s="23" t="n">
        <v>0</v>
      </c>
      <c r="E224" s="23" t="n">
        <v>15.44</v>
      </c>
      <c r="F224" s="23" t="n">
        <v>18.31</v>
      </c>
      <c r="G224" s="23" t="n">
        <v>0</v>
      </c>
      <c r="H224" s="23" t="n">
        <f aca="false">((C224+D224+E224)-(F224-G224))</f>
        <v>-2.87</v>
      </c>
      <c r="I224" s="24" t="n">
        <f aca="false">ABS(IFERROR(H224/(F224-G224),H224/E224))</f>
        <v>0.156744948115784</v>
      </c>
    </row>
    <row r="225" customFormat="false" ht="15.75" hidden="false" customHeight="false" outlineLevel="0" collapsed="false">
      <c r="A225" s="3" t="n">
        <v>224</v>
      </c>
      <c r="B225" s="4" t="n">
        <v>45555</v>
      </c>
      <c r="C225" s="23" t="n">
        <v>0</v>
      </c>
      <c r="D225" s="23" t="n">
        <v>0</v>
      </c>
      <c r="E225" s="23" t="n">
        <v>12.56</v>
      </c>
      <c r="F225" s="23" t="n">
        <v>14.02</v>
      </c>
      <c r="G225" s="23" t="n">
        <v>1.08</v>
      </c>
      <c r="H225" s="23" t="n">
        <f aca="false">((C225+D225+E225)-(F225-G225))</f>
        <v>-0.379999999999999</v>
      </c>
      <c r="I225" s="24" t="n">
        <f aca="false">ABS(IFERROR(H225/(F225-G225),H225/E225))</f>
        <v>0.0293663060278206</v>
      </c>
    </row>
    <row r="226" customFormat="false" ht="15.75" hidden="false" customHeight="false" outlineLevel="0" collapsed="false">
      <c r="A226" s="3" t="n">
        <v>225</v>
      </c>
      <c r="B226" s="4" t="n">
        <v>45555</v>
      </c>
      <c r="C226" s="23" t="n">
        <v>0</v>
      </c>
      <c r="D226" s="23" t="n">
        <v>7</v>
      </c>
      <c r="E226" s="23" t="n">
        <v>9.38</v>
      </c>
      <c r="F226" s="23" t="n">
        <v>17.85</v>
      </c>
      <c r="G226" s="23" t="n">
        <v>5.89</v>
      </c>
      <c r="H226" s="23" t="n">
        <f aca="false">((C226+D226+E226)-(F226-G226))</f>
        <v>4.42</v>
      </c>
      <c r="I226" s="24" t="n">
        <f aca="false">ABS(IFERROR(H226/(F226-G226),H226/E226))</f>
        <v>0.369565217391305</v>
      </c>
    </row>
    <row r="227" customFormat="false" ht="15.75" hidden="false" customHeight="false" outlineLevel="0" collapsed="false">
      <c r="A227" s="3" t="n">
        <v>226</v>
      </c>
      <c r="B227" s="4" t="n">
        <v>45555</v>
      </c>
      <c r="C227" s="23" t="n">
        <v>0</v>
      </c>
      <c r="D227" s="23" t="n">
        <v>7</v>
      </c>
      <c r="E227" s="23" t="n">
        <v>17.16</v>
      </c>
      <c r="F227" s="23" t="n">
        <v>26.2</v>
      </c>
      <c r="G227" s="23" t="n">
        <v>3.23</v>
      </c>
      <c r="H227" s="23" t="n">
        <f aca="false">((C227+D227+E227)-(F227-G227))</f>
        <v>1.19</v>
      </c>
      <c r="I227" s="24" t="n">
        <f aca="false">ABS(IFERROR(H227/(F227-G227),H227/E227))</f>
        <v>0.0518067043970397</v>
      </c>
    </row>
    <row r="228" customFormat="false" ht="15.75" hidden="false" customHeight="false" outlineLevel="0" collapsed="false">
      <c r="A228" s="3" t="n">
        <v>227</v>
      </c>
      <c r="B228" s="4" t="n">
        <v>45555</v>
      </c>
      <c r="C228" s="23" t="n">
        <v>0</v>
      </c>
      <c r="D228" s="23" t="n">
        <v>0</v>
      </c>
      <c r="E228" s="23" t="n">
        <v>14.34</v>
      </c>
      <c r="F228" s="23" t="n">
        <v>15.95</v>
      </c>
      <c r="G228" s="23" t="n">
        <v>0.03</v>
      </c>
      <c r="H228" s="23" t="n">
        <f aca="false">((C228+D228+E228)-(F228-G228))</f>
        <v>-1.58</v>
      </c>
      <c r="I228" s="24" t="n">
        <f aca="false">ABS(IFERROR(H228/(F228-G228),H228/E228))</f>
        <v>0.0992462311557789</v>
      </c>
    </row>
    <row r="229" customFormat="false" ht="15.75" hidden="false" customHeight="false" outlineLevel="0" collapsed="false">
      <c r="A229" s="3" t="n">
        <v>228</v>
      </c>
      <c r="B229" s="4" t="n">
        <v>45555</v>
      </c>
      <c r="C229" s="23" t="n">
        <v>0</v>
      </c>
      <c r="D229" s="23" t="n">
        <v>0</v>
      </c>
      <c r="E229" s="23" t="n">
        <v>8.22</v>
      </c>
      <c r="F229" s="23" t="n">
        <v>11.94</v>
      </c>
      <c r="G229" s="23" t="n">
        <v>0</v>
      </c>
      <c r="H229" s="23" t="n">
        <f aca="false">((C229+D229+E229)-(F229-G229))</f>
        <v>-3.72</v>
      </c>
      <c r="I229" s="24" t="n">
        <f aca="false">ABS(IFERROR(H229/(F229-G229),H229/E229))</f>
        <v>0.311557788944724</v>
      </c>
    </row>
    <row r="230" customFormat="false" ht="15.75" hidden="false" customHeight="false" outlineLevel="0" collapsed="false">
      <c r="A230" s="3" t="n">
        <v>229</v>
      </c>
      <c r="B230" s="4" t="n">
        <v>45555</v>
      </c>
      <c r="C230" s="23" t="n">
        <v>0</v>
      </c>
      <c r="D230" s="23" t="n">
        <v>0</v>
      </c>
      <c r="E230" s="23" t="n">
        <v>9.25</v>
      </c>
      <c r="F230" s="23" t="n">
        <v>11.27</v>
      </c>
      <c r="G230" s="23" t="n">
        <v>0</v>
      </c>
      <c r="H230" s="23" t="n">
        <f aca="false">((C230+D230+E230)-(F230-G230))</f>
        <v>-2.02</v>
      </c>
      <c r="I230" s="24" t="n">
        <f aca="false">ABS(IFERROR(H230/(F230-G230),H230/E230))</f>
        <v>0.179236912156167</v>
      </c>
    </row>
    <row r="231" customFormat="false" ht="15.75" hidden="false" customHeight="false" outlineLevel="0" collapsed="false">
      <c r="A231" s="3" t="n">
        <v>230</v>
      </c>
      <c r="B231" s="4" t="n">
        <v>45555</v>
      </c>
      <c r="C231" s="23" t="n">
        <v>0</v>
      </c>
      <c r="D231" s="23" t="n">
        <v>0</v>
      </c>
      <c r="E231" s="23" t="n">
        <v>6.99</v>
      </c>
      <c r="F231" s="23" t="n">
        <v>8.92</v>
      </c>
      <c r="G231" s="23" t="n">
        <v>0</v>
      </c>
      <c r="H231" s="23" t="n">
        <f aca="false">((C231+D231+E231)-(F231-G231))</f>
        <v>-1.93</v>
      </c>
      <c r="I231" s="24" t="n">
        <f aca="false">ABS(IFERROR(H231/(F231-G231),H231/E231))</f>
        <v>0.216367713004484</v>
      </c>
    </row>
    <row r="232" customFormat="false" ht="15.75" hidden="false" customHeight="false" outlineLevel="0" collapsed="false">
      <c r="A232" s="3" t="n">
        <v>231</v>
      </c>
      <c r="B232" s="4" t="n">
        <v>45555</v>
      </c>
      <c r="C232" s="23" t="n">
        <v>0</v>
      </c>
      <c r="D232" s="23" t="n">
        <v>0</v>
      </c>
      <c r="E232" s="23" t="n">
        <v>6.99</v>
      </c>
      <c r="F232" s="23" t="n">
        <v>8.97</v>
      </c>
      <c r="G232" s="23" t="n">
        <v>0</v>
      </c>
      <c r="H232" s="23" t="n">
        <f aca="false">((C232+D232+E232)-(F232-G232))</f>
        <v>-1.98</v>
      </c>
      <c r="I232" s="24" t="n">
        <f aca="false">ABS(IFERROR(H232/(F232-G232),H232/E232))</f>
        <v>0.220735785953177</v>
      </c>
    </row>
    <row r="233" customFormat="false" ht="15.75" hidden="false" customHeight="false" outlineLevel="0" collapsed="false">
      <c r="A233" s="3" t="n">
        <v>232</v>
      </c>
      <c r="B233" s="4" t="n">
        <v>45555</v>
      </c>
      <c r="C233" s="23" t="n">
        <v>0</v>
      </c>
      <c r="D233" s="23" t="n">
        <v>0</v>
      </c>
      <c r="E233" s="23" t="n">
        <v>13.51</v>
      </c>
      <c r="F233" s="23" t="n">
        <v>18.98</v>
      </c>
      <c r="G233" s="23" t="n">
        <v>0</v>
      </c>
      <c r="H233" s="23" t="n">
        <f aca="false">((C233+D233+E233)-(F233-G233))</f>
        <v>-5.47</v>
      </c>
      <c r="I233" s="24" t="n">
        <f aca="false">ABS(IFERROR(H233/(F233-G233),H233/E233))</f>
        <v>0.288198103266596</v>
      </c>
    </row>
    <row r="234" customFormat="false" ht="15.75" hidden="false" customHeight="false" outlineLevel="0" collapsed="false">
      <c r="A234" s="3" t="n">
        <v>233</v>
      </c>
      <c r="B234" s="4" t="n">
        <v>45555</v>
      </c>
      <c r="C234" s="23" t="n">
        <v>0</v>
      </c>
      <c r="D234" s="23" t="n">
        <v>0</v>
      </c>
      <c r="E234" s="23" t="n">
        <v>12.44</v>
      </c>
      <c r="F234" s="23" t="n">
        <v>14.92</v>
      </c>
      <c r="G234" s="23" t="n">
        <v>0</v>
      </c>
      <c r="H234" s="23" t="n">
        <f aca="false">((C234+D234+E234)-(F234-G234))</f>
        <v>-2.48</v>
      </c>
      <c r="I234" s="24" t="n">
        <f aca="false">ABS(IFERROR(H234/(F234-G234),H234/E234))</f>
        <v>0.166219839142091</v>
      </c>
    </row>
    <row r="235" customFormat="false" ht="15.75" hidden="false" customHeight="false" outlineLevel="0" collapsed="false">
      <c r="A235" s="3" t="n">
        <v>234</v>
      </c>
      <c r="B235" s="4" t="n">
        <v>45555</v>
      </c>
      <c r="C235" s="23" t="n">
        <v>0</v>
      </c>
      <c r="D235" s="23" t="n">
        <v>0</v>
      </c>
      <c r="E235" s="23" t="n">
        <v>6.99</v>
      </c>
      <c r="F235" s="23" t="n">
        <v>10.94</v>
      </c>
      <c r="G235" s="23" t="n">
        <v>0</v>
      </c>
      <c r="H235" s="23" t="n">
        <f aca="false">((C235+D235+E235)-(F235-G235))</f>
        <v>-3.95</v>
      </c>
      <c r="I235" s="24" t="n">
        <f aca="false">ABS(IFERROR(H235/(F235-G235),H235/E235))</f>
        <v>0.361060329067642</v>
      </c>
    </row>
    <row r="236" customFormat="false" ht="15.75" hidden="false" customHeight="false" outlineLevel="0" collapsed="false">
      <c r="A236" s="3" t="n">
        <v>235</v>
      </c>
      <c r="B236" s="4" t="n">
        <v>45555</v>
      </c>
      <c r="C236" s="23" t="n">
        <v>0</v>
      </c>
      <c r="D236" s="23" t="n">
        <v>0</v>
      </c>
      <c r="E236" s="23" t="n">
        <v>17.24</v>
      </c>
      <c r="F236" s="23" t="n">
        <v>0</v>
      </c>
      <c r="G236" s="23" t="n">
        <v>0</v>
      </c>
      <c r="H236" s="23" t="n">
        <f aca="false">((C236+D236+E236)-(F236-G236))</f>
        <v>17.24</v>
      </c>
      <c r="I236" s="24" t="n">
        <f aca="false">ABS(IFERROR(H236/(F236-G236),H236/E236))</f>
        <v>1</v>
      </c>
    </row>
    <row r="237" customFormat="false" ht="15.75" hidden="false" customHeight="false" outlineLevel="0" collapsed="false">
      <c r="A237" s="3" t="n">
        <v>236</v>
      </c>
      <c r="B237" s="4" t="n">
        <v>45555</v>
      </c>
      <c r="C237" s="23" t="n">
        <v>0</v>
      </c>
      <c r="D237" s="23" t="n">
        <v>0</v>
      </c>
      <c r="E237" s="23" t="n">
        <v>14.51</v>
      </c>
      <c r="F237" s="23" t="n">
        <v>18.88</v>
      </c>
      <c r="G237" s="23" t="n">
        <v>1.89</v>
      </c>
      <c r="H237" s="23" t="n">
        <f aca="false">((C237+D237+E237)-(F237-G237))</f>
        <v>-2.48</v>
      </c>
      <c r="I237" s="24" t="n">
        <f aca="false">ABS(IFERROR(H237/(F237-G237),H237/E237))</f>
        <v>0.145968216597999</v>
      </c>
    </row>
    <row r="238" customFormat="false" ht="15.75" hidden="false" customHeight="false" outlineLevel="0" collapsed="false">
      <c r="A238" s="3" t="n">
        <v>237</v>
      </c>
      <c r="B238" s="4" t="n">
        <v>45555</v>
      </c>
      <c r="C238" s="23" t="n">
        <v>0</v>
      </c>
      <c r="D238" s="23" t="n">
        <v>0</v>
      </c>
      <c r="E238" s="23" t="n">
        <v>2.25</v>
      </c>
      <c r="F238" s="23" t="n">
        <v>0</v>
      </c>
      <c r="G238" s="23" t="n">
        <v>0</v>
      </c>
      <c r="H238" s="23" t="n">
        <f aca="false">((C238+D238+E238)-(F238-G238))</f>
        <v>2.25</v>
      </c>
      <c r="I238" s="24" t="n">
        <f aca="false">ABS(IFERROR(H238/(F238-G238),H238/E238))</f>
        <v>1</v>
      </c>
    </row>
    <row r="239" customFormat="false" ht="15.75" hidden="false" customHeight="false" outlineLevel="0" collapsed="false">
      <c r="A239" s="3" t="n">
        <v>238</v>
      </c>
      <c r="B239" s="4" t="n">
        <v>45556</v>
      </c>
      <c r="C239" s="23" t="n">
        <v>0</v>
      </c>
      <c r="D239" s="23" t="n">
        <v>5</v>
      </c>
      <c r="E239" s="23" t="n">
        <v>12.76</v>
      </c>
      <c r="F239" s="23" t="n">
        <v>19.44</v>
      </c>
      <c r="G239" s="23" t="n">
        <v>2.49</v>
      </c>
      <c r="H239" s="23" t="n">
        <f aca="false">((C239+D239+E239)-(F239-G239))</f>
        <v>0.809999999999995</v>
      </c>
      <c r="I239" s="24" t="n">
        <f aca="false">ABS(IFERROR(H239/(F239-G239),H239/E239))</f>
        <v>0.0477876106194687</v>
      </c>
    </row>
    <row r="240" customFormat="false" ht="15.75" hidden="false" customHeight="false" outlineLevel="0" collapsed="false">
      <c r="A240" s="3" t="n">
        <v>239</v>
      </c>
      <c r="B240" s="4" t="n">
        <v>45556</v>
      </c>
      <c r="C240" s="23" t="n">
        <v>0</v>
      </c>
      <c r="D240" s="23" t="n">
        <v>5</v>
      </c>
      <c r="E240" s="23" t="n">
        <v>6.99</v>
      </c>
      <c r="F240" s="23" t="n">
        <v>13.36</v>
      </c>
      <c r="G240" s="23" t="n">
        <v>2.43</v>
      </c>
      <c r="H240" s="23" t="n">
        <f aca="false">((C240+D240+E240)-(F240-G240))</f>
        <v>1.06</v>
      </c>
      <c r="I240" s="24" t="n">
        <f aca="false">ABS(IFERROR(H240/(F240-G240),H240/E240))</f>
        <v>0.0969807868252516</v>
      </c>
    </row>
    <row r="241" customFormat="false" ht="15.75" hidden="false" customHeight="false" outlineLevel="0" collapsed="false">
      <c r="A241" s="3" t="n">
        <v>240</v>
      </c>
      <c r="B241" s="4" t="n">
        <v>45556</v>
      </c>
      <c r="C241" s="23" t="n">
        <v>1</v>
      </c>
      <c r="D241" s="23" t="n">
        <v>5</v>
      </c>
      <c r="E241" s="23" t="n">
        <v>20.81</v>
      </c>
      <c r="F241" s="23" t="n">
        <v>29.08</v>
      </c>
      <c r="G241" s="23" t="n">
        <v>2.06</v>
      </c>
      <c r="H241" s="23" t="n">
        <f aca="false">((C241+D241+E241)-(F241-G241))</f>
        <v>-0.210000000000001</v>
      </c>
      <c r="I241" s="24" t="n">
        <f aca="false">ABS(IFERROR(H241/(F241-G241),H241/E241))</f>
        <v>0.00777202072538863</v>
      </c>
    </row>
    <row r="242" customFormat="false" ht="15.75" hidden="false" customHeight="false" outlineLevel="0" collapsed="false">
      <c r="A242" s="3" t="n">
        <v>241</v>
      </c>
      <c r="B242" s="4" t="n">
        <v>45556</v>
      </c>
      <c r="C242" s="23" t="n">
        <v>0</v>
      </c>
      <c r="D242" s="23" t="n">
        <v>0</v>
      </c>
      <c r="E242" s="23" t="n">
        <v>13.1</v>
      </c>
      <c r="F242" s="23" t="n">
        <v>15.9</v>
      </c>
      <c r="G242" s="23" t="n">
        <v>0</v>
      </c>
      <c r="H242" s="23" t="n">
        <f aca="false">((C242+D242+E242)-(F242-G242))</f>
        <v>-2.8</v>
      </c>
      <c r="I242" s="24" t="n">
        <f aca="false">ABS(IFERROR(H242/(F242-G242),H242/E242))</f>
        <v>0.176100628930818</v>
      </c>
    </row>
    <row r="243" customFormat="false" ht="15.75" hidden="false" customHeight="false" outlineLevel="0" collapsed="false">
      <c r="A243" s="3" t="n">
        <v>242</v>
      </c>
      <c r="B243" s="4" t="n">
        <v>45556</v>
      </c>
      <c r="C243" s="23" t="n">
        <v>1.5</v>
      </c>
      <c r="D243" s="23" t="n">
        <v>5</v>
      </c>
      <c r="E243" s="23" t="n">
        <v>8.91</v>
      </c>
      <c r="F243" s="23" t="n">
        <v>17.14</v>
      </c>
      <c r="G243" s="23" t="n">
        <v>0.41</v>
      </c>
      <c r="H243" s="23" t="n">
        <f aca="false">((C243+D243+E243)-(F243-G243))</f>
        <v>-1.32</v>
      </c>
      <c r="I243" s="24" t="n">
        <f aca="false">ABS(IFERROR(H243/(F243-G243),H243/E243))</f>
        <v>0.0789001793185894</v>
      </c>
    </row>
    <row r="244" customFormat="false" ht="15.75" hidden="false" customHeight="false" outlineLevel="0" collapsed="false">
      <c r="A244" s="3" t="n">
        <v>243</v>
      </c>
      <c r="B244" s="4" t="n">
        <v>45560</v>
      </c>
      <c r="C244" s="23" t="n">
        <v>0</v>
      </c>
      <c r="D244" s="23" t="n">
        <v>0</v>
      </c>
      <c r="E244" s="23" t="n">
        <v>9.23</v>
      </c>
      <c r="F244" s="23" t="n">
        <v>10.95</v>
      </c>
      <c r="G244" s="23" t="n">
        <v>0</v>
      </c>
      <c r="H244" s="23" t="n">
        <f aca="false">((C244+D244+E244)-(F244-G244))</f>
        <v>-1.72</v>
      </c>
      <c r="I244" s="24" t="n">
        <f aca="false">ABS(IFERROR(H244/(F244-G244),H244/E244))</f>
        <v>0.157077625570776</v>
      </c>
    </row>
    <row r="245" customFormat="false" ht="15.75" hidden="false" customHeight="false" outlineLevel="0" collapsed="false">
      <c r="A245" s="3" t="n">
        <v>244</v>
      </c>
      <c r="B245" s="4" t="n">
        <v>45560</v>
      </c>
      <c r="C245" s="23" t="n">
        <v>1</v>
      </c>
      <c r="D245" s="23" t="n">
        <v>0</v>
      </c>
      <c r="E245" s="23" t="n">
        <v>7.07</v>
      </c>
      <c r="F245" s="23" t="n">
        <v>12.24</v>
      </c>
      <c r="G245" s="23" t="n">
        <v>0</v>
      </c>
      <c r="H245" s="23" t="n">
        <f aca="false">((C245+D245+E245)-(F245-G245))</f>
        <v>-4.17</v>
      </c>
      <c r="I245" s="24" t="n">
        <f aca="false">ABS(IFERROR(H245/(F245-G245),H245/E245))</f>
        <v>0.340686274509804</v>
      </c>
    </row>
    <row r="246" customFormat="false" ht="15.75" hidden="false" customHeight="false" outlineLevel="0" collapsed="false">
      <c r="A246" s="3" t="n">
        <v>245</v>
      </c>
      <c r="B246" s="4" t="n">
        <v>45560</v>
      </c>
      <c r="C246" s="23" t="n">
        <v>5.75</v>
      </c>
      <c r="D246" s="23" t="n">
        <v>0</v>
      </c>
      <c r="E246" s="23" t="n">
        <v>14.83</v>
      </c>
      <c r="F246" s="23" t="n">
        <v>22.17</v>
      </c>
      <c r="G246" s="23" t="n">
        <v>9.63</v>
      </c>
      <c r="H246" s="23" t="n">
        <f aca="false">((C246+D246+E246)-(F246-G246))</f>
        <v>8.04</v>
      </c>
      <c r="I246" s="24" t="n">
        <f aca="false">ABS(IFERROR(H246/(F246-G246),H246/E246))</f>
        <v>0.641148325358852</v>
      </c>
    </row>
    <row r="247" customFormat="false" ht="15.75" hidden="false" customHeight="false" outlineLevel="0" collapsed="false">
      <c r="A247" s="3" t="n">
        <v>246</v>
      </c>
      <c r="B247" s="4" t="n">
        <v>45560</v>
      </c>
      <c r="C247" s="23" t="n">
        <v>1.75</v>
      </c>
      <c r="D247" s="23" t="n">
        <v>0</v>
      </c>
      <c r="E247" s="23" t="n">
        <v>9.86</v>
      </c>
      <c r="F247" s="23" t="n">
        <v>13.03</v>
      </c>
      <c r="G247" s="23" t="n">
        <v>1.07</v>
      </c>
      <c r="H247" s="23" t="n">
        <f aca="false">((C247+D247+E247)-(F247-G247))</f>
        <v>-0.35</v>
      </c>
      <c r="I247" s="24" t="n">
        <f aca="false">ABS(IFERROR(H247/(F247-G247),H247/E247))</f>
        <v>0.0292642140468227</v>
      </c>
    </row>
    <row r="248" customFormat="false" ht="15.75" hidden="false" customHeight="false" outlineLevel="0" collapsed="false">
      <c r="A248" s="3" t="n">
        <v>247</v>
      </c>
      <c r="B248" s="4" t="n">
        <v>45560</v>
      </c>
      <c r="C248" s="23" t="n">
        <v>0</v>
      </c>
      <c r="D248" s="23" t="n">
        <v>0</v>
      </c>
      <c r="E248" s="23" t="n">
        <v>10.13</v>
      </c>
      <c r="F248" s="23" t="n">
        <v>11.9</v>
      </c>
      <c r="G248" s="23" t="n">
        <v>0</v>
      </c>
      <c r="H248" s="23" t="n">
        <f aca="false">((C248+D248+E248)-(F248-G248))</f>
        <v>-1.77</v>
      </c>
      <c r="I248" s="24" t="n">
        <f aca="false">ABS(IFERROR(H248/(F248-G248),H248/E248))</f>
        <v>0.148739495798319</v>
      </c>
    </row>
    <row r="249" customFormat="false" ht="15.75" hidden="false" customHeight="false" outlineLevel="0" collapsed="false">
      <c r="A249" s="3" t="n">
        <v>248</v>
      </c>
      <c r="B249" s="4" t="n">
        <v>45560</v>
      </c>
      <c r="C249" s="23" t="n">
        <v>0</v>
      </c>
      <c r="D249" s="23" t="n">
        <v>0</v>
      </c>
      <c r="E249" s="23" t="n">
        <v>6.99</v>
      </c>
      <c r="F249" s="23" t="n">
        <v>8.97</v>
      </c>
      <c r="G249" s="23" t="n">
        <v>0</v>
      </c>
      <c r="H249" s="23" t="n">
        <f aca="false">((C249+D249+E249)-(F249-G249))</f>
        <v>-1.98</v>
      </c>
      <c r="I249" s="24" t="n">
        <f aca="false">ABS(IFERROR(H249/(F249-G249),H249/E249))</f>
        <v>0.220735785953177</v>
      </c>
    </row>
    <row r="250" customFormat="false" ht="15.75" hidden="false" customHeight="false" outlineLevel="0" collapsed="false">
      <c r="A250" s="3" t="n">
        <v>249</v>
      </c>
      <c r="B250" s="4" t="n">
        <v>45563</v>
      </c>
      <c r="C250" s="23" t="n">
        <v>0</v>
      </c>
      <c r="D250" s="23" t="n">
        <v>0</v>
      </c>
      <c r="E250" s="23" t="n">
        <v>6.99</v>
      </c>
      <c r="F250" s="23" t="n">
        <v>8.24</v>
      </c>
      <c r="G250" s="23" t="n">
        <v>0.32</v>
      </c>
      <c r="H250" s="23" t="n">
        <f aca="false">((C250+D250+E250)-(F250-G250))</f>
        <v>-0.93</v>
      </c>
      <c r="I250" s="24" t="n">
        <f aca="false">ABS(IFERROR(H250/(F250-G250),H250/E250))</f>
        <v>0.117424242424242</v>
      </c>
    </row>
    <row r="251" customFormat="false" ht="15.75" hidden="false" customHeight="false" outlineLevel="0" collapsed="false">
      <c r="A251" s="3" t="n">
        <v>250</v>
      </c>
      <c r="B251" s="4" t="n">
        <v>45563</v>
      </c>
      <c r="C251" s="23" t="n">
        <v>1.5</v>
      </c>
      <c r="D251" s="23" t="n">
        <v>0</v>
      </c>
      <c r="E251" s="23" t="n">
        <v>6.99</v>
      </c>
      <c r="F251" s="23" t="n">
        <v>9.77</v>
      </c>
      <c r="G251" s="23" t="n">
        <v>0.84</v>
      </c>
      <c r="H251" s="23" t="n">
        <f aca="false">((C251+D251+E251)-(F251-G251))</f>
        <v>-0.44</v>
      </c>
      <c r="I251" s="24" t="n">
        <f aca="false">ABS(IFERROR(H251/(F251-G251),H251/E251))</f>
        <v>0.0492721164613661</v>
      </c>
    </row>
    <row r="252" customFormat="false" ht="15.75" hidden="false" customHeight="false" outlineLevel="0" collapsed="false">
      <c r="A252" s="3" t="n">
        <v>251</v>
      </c>
      <c r="B252" s="4" t="n">
        <v>45563</v>
      </c>
      <c r="C252" s="23" t="n">
        <v>1.25</v>
      </c>
      <c r="D252" s="23" t="n">
        <v>0</v>
      </c>
      <c r="E252" s="23" t="n">
        <v>7</v>
      </c>
      <c r="F252" s="23" t="n">
        <v>9.72</v>
      </c>
      <c r="G252" s="23" t="n">
        <v>0.97</v>
      </c>
      <c r="H252" s="23" t="n">
        <f aca="false">((C252+D252+E252)-(F252-G252))</f>
        <v>-0.5</v>
      </c>
      <c r="I252" s="24" t="n">
        <f aca="false">ABS(IFERROR(H252/(F252-G252),H252/E252))</f>
        <v>0.0571428571428571</v>
      </c>
    </row>
    <row r="253" customFormat="false" ht="15.75" hidden="false" customHeight="false" outlineLevel="0" collapsed="false">
      <c r="A253" s="3" t="n">
        <v>252</v>
      </c>
      <c r="B253" s="4" t="n">
        <v>45563</v>
      </c>
      <c r="C253" s="23" t="n">
        <v>1.25</v>
      </c>
      <c r="D253" s="23" t="n">
        <v>6</v>
      </c>
      <c r="E253" s="23" t="n">
        <v>24.92</v>
      </c>
      <c r="F253" s="23" t="n">
        <v>35.92</v>
      </c>
      <c r="G253" s="23" t="n">
        <v>0</v>
      </c>
      <c r="H253" s="23" t="n">
        <f aca="false">((C253+D253+E253)-(F253-G253))</f>
        <v>-3.75</v>
      </c>
      <c r="I253" s="24" t="n">
        <f aca="false">ABS(IFERROR(H253/(F253-G253),H253/E253))</f>
        <v>0.104398663697105</v>
      </c>
    </row>
    <row r="254" customFormat="false" ht="15.75" hidden="false" customHeight="false" outlineLevel="0" collapsed="false">
      <c r="A254" s="3" t="n">
        <v>253</v>
      </c>
      <c r="B254" s="4" t="n">
        <v>45563</v>
      </c>
      <c r="C254" s="23" t="n">
        <v>0</v>
      </c>
      <c r="D254" s="23" t="n">
        <v>0</v>
      </c>
      <c r="E254" s="23" t="n">
        <v>9.65</v>
      </c>
      <c r="F254" s="23" t="n">
        <v>15.99</v>
      </c>
      <c r="G254" s="23" t="n">
        <v>0</v>
      </c>
      <c r="H254" s="23" t="n">
        <f aca="false">((C254+D254+E254)-(F254-G254))</f>
        <v>-6.34</v>
      </c>
      <c r="I254" s="24" t="n">
        <f aca="false">ABS(IFERROR(H254/(F254-G254),H254/E254))</f>
        <v>0.396497811131958</v>
      </c>
    </row>
    <row r="255" customFormat="false" ht="15.75" hidden="false" customHeight="false" outlineLevel="0" collapsed="false">
      <c r="A255" s="3" t="n">
        <v>254</v>
      </c>
      <c r="B255" s="4" t="n">
        <v>45563</v>
      </c>
      <c r="C255" s="23" t="n">
        <v>0</v>
      </c>
      <c r="D255" s="23" t="n">
        <v>0</v>
      </c>
      <c r="E255" s="23" t="n">
        <v>14.99</v>
      </c>
      <c r="F255" s="23" t="n">
        <v>24.98</v>
      </c>
      <c r="G255" s="23" t="n">
        <v>0</v>
      </c>
      <c r="H255" s="23" t="n">
        <f aca="false">((C255+D255+E255)-(F255-G255))</f>
        <v>-9.99</v>
      </c>
      <c r="I255" s="24" t="n">
        <f aca="false">ABS(IFERROR(H255/(F255-G255),H255/E255))</f>
        <v>0.399919935948759</v>
      </c>
    </row>
    <row r="256" customFormat="false" ht="15.75" hidden="false" customHeight="false" outlineLevel="0" collapsed="false">
      <c r="A256" s="3" t="n">
        <v>255</v>
      </c>
      <c r="B256" s="4" t="n">
        <v>45564</v>
      </c>
      <c r="C256" s="23" t="n">
        <v>1</v>
      </c>
      <c r="D256" s="23" t="n">
        <v>5</v>
      </c>
      <c r="E256" s="23" t="n">
        <v>14.21</v>
      </c>
      <c r="F256" s="23" t="n">
        <v>22.17</v>
      </c>
      <c r="G256" s="23" t="n">
        <v>8.95</v>
      </c>
      <c r="H256" s="23" t="n">
        <f aca="false">((C256+D256+E256)-(F256-G256))</f>
        <v>6.99</v>
      </c>
      <c r="I256" s="24" t="n">
        <f aca="false">ABS(IFERROR(H256/(F256-G256),H256/E256))</f>
        <v>0.52874432677761</v>
      </c>
    </row>
    <row r="257" customFormat="false" ht="15.75" hidden="false" customHeight="false" outlineLevel="0" collapsed="false">
      <c r="A257" s="3" t="n">
        <v>256</v>
      </c>
      <c r="B257" s="4" t="n">
        <v>45564</v>
      </c>
      <c r="C257" s="23" t="n">
        <v>1</v>
      </c>
      <c r="D257" s="23" t="n">
        <v>5</v>
      </c>
      <c r="E257" s="23" t="n">
        <v>6.99</v>
      </c>
      <c r="F257" s="23" t="n">
        <v>14.22</v>
      </c>
      <c r="G257" s="23" t="n">
        <v>9.31</v>
      </c>
      <c r="H257" s="23" t="n">
        <f aca="false">((C257+D257+E257)-(F257-G257))</f>
        <v>8.08</v>
      </c>
      <c r="I257" s="24" t="n">
        <f aca="false">ABS(IFERROR(H257/(F257-G257),H257/E257))</f>
        <v>1.64562118126273</v>
      </c>
    </row>
    <row r="258" customFormat="false" ht="15.75" hidden="false" customHeight="false" outlineLevel="0" collapsed="false">
      <c r="A258" s="3" t="n">
        <v>257</v>
      </c>
      <c r="B258" s="4" t="n">
        <v>45564</v>
      </c>
      <c r="C258" s="23" t="n">
        <v>1.75</v>
      </c>
      <c r="D258" s="23" t="n">
        <v>5</v>
      </c>
      <c r="E258" s="23" t="n">
        <v>13.67</v>
      </c>
      <c r="F258" s="23" t="n">
        <v>22.3</v>
      </c>
      <c r="G258" s="23" t="n">
        <v>6.3</v>
      </c>
      <c r="H258" s="23" t="n">
        <f aca="false">((C258+D258+E258)-(F258-G258))</f>
        <v>4.42</v>
      </c>
      <c r="I258" s="24" t="n">
        <f aca="false">ABS(IFERROR(H258/(F258-G258),H258/E258))</f>
        <v>0.27625</v>
      </c>
    </row>
    <row r="259" customFormat="false" ht="15.75" hidden="false" customHeight="false" outlineLevel="0" collapsed="false">
      <c r="A259" s="3" t="n">
        <v>258</v>
      </c>
      <c r="B259" s="4" t="n">
        <v>45564</v>
      </c>
      <c r="C259" s="23" t="n">
        <v>1.5</v>
      </c>
      <c r="D259" s="23" t="n">
        <v>5</v>
      </c>
      <c r="E259" s="23" t="n">
        <v>6.99</v>
      </c>
      <c r="F259" s="23" t="n">
        <v>14.9</v>
      </c>
      <c r="G259" s="23" t="n">
        <v>6.97</v>
      </c>
      <c r="H259" s="23" t="n">
        <f aca="false">((C259+D259+E259)-(F259-G259))</f>
        <v>5.56</v>
      </c>
      <c r="I259" s="24" t="n">
        <f aca="false">ABS(IFERROR(H259/(F259-G259),H259/E259))</f>
        <v>0.701134930643127</v>
      </c>
    </row>
    <row r="260" customFormat="false" ht="15.75" hidden="false" customHeight="false" outlineLevel="0" collapsed="false">
      <c r="A260" s="3" t="n">
        <v>259</v>
      </c>
      <c r="B260" s="4" t="n">
        <v>45564</v>
      </c>
      <c r="C260" s="23" t="n">
        <v>1.25</v>
      </c>
      <c r="D260" s="23" t="n">
        <v>5</v>
      </c>
      <c r="E260" s="23" t="n">
        <v>11.7</v>
      </c>
      <c r="F260" s="23" t="n">
        <v>19.61</v>
      </c>
      <c r="G260" s="23" t="n">
        <v>9.92</v>
      </c>
      <c r="H260" s="23" t="n">
        <f aca="false">((C260+D260+E260)-(F260-G260))</f>
        <v>8.26</v>
      </c>
      <c r="I260" s="24" t="n">
        <f aca="false">ABS(IFERROR(H260/(F260-G260),H260/E260))</f>
        <v>0.852425180598555</v>
      </c>
    </row>
    <row r="261" customFormat="false" ht="15.75" hidden="false" customHeight="false" outlineLevel="0" collapsed="false">
      <c r="A261" s="3" t="n">
        <v>260</v>
      </c>
      <c r="B261" s="4" t="n">
        <v>45564</v>
      </c>
      <c r="C261" s="23" t="n">
        <v>0</v>
      </c>
      <c r="D261" s="23" t="n">
        <v>5</v>
      </c>
      <c r="E261" s="23" t="n">
        <v>15.63</v>
      </c>
      <c r="F261" s="23" t="n">
        <v>22.25</v>
      </c>
      <c r="G261" s="23" t="n">
        <v>7.35</v>
      </c>
      <c r="H261" s="23" t="n">
        <f aca="false">((C261+D261+E261)-(F261-G261))</f>
        <v>5.73</v>
      </c>
      <c r="I261" s="24" t="n">
        <f aca="false">ABS(IFERROR(H261/(F261-G261),H261/E261))</f>
        <v>0.384563758389262</v>
      </c>
    </row>
    <row r="262" customFormat="false" ht="15.75" hidden="false" customHeight="false" outlineLevel="0" collapsed="false">
      <c r="A262" s="3" t="n">
        <v>261</v>
      </c>
      <c r="B262" s="4" t="n">
        <v>45564</v>
      </c>
      <c r="C262" s="23" t="n">
        <v>0</v>
      </c>
      <c r="D262" s="23" t="n">
        <v>0</v>
      </c>
      <c r="E262" s="23" t="n">
        <v>8.23</v>
      </c>
      <c r="F262" s="23" t="n">
        <v>10.97</v>
      </c>
      <c r="G262" s="23" t="n">
        <v>0</v>
      </c>
      <c r="H262" s="23" t="n">
        <f aca="false">((C262+D262+E262)-(F262-G262))</f>
        <v>-2.74</v>
      </c>
      <c r="I262" s="24" t="n">
        <f aca="false">ABS(IFERROR(H262/(F262-G262),H262/E262))</f>
        <v>0.249772105742935</v>
      </c>
    </row>
    <row r="263" customFormat="false" ht="15.75" hidden="false" customHeight="false" outlineLevel="0" collapsed="false">
      <c r="A263" s="3" t="n">
        <v>262</v>
      </c>
      <c r="B263" s="4" t="n">
        <v>45564</v>
      </c>
      <c r="C263" s="23" t="n">
        <v>1.25</v>
      </c>
      <c r="D263" s="23" t="n">
        <v>0</v>
      </c>
      <c r="E263" s="23" t="n">
        <v>8.24</v>
      </c>
      <c r="F263" s="23" t="n">
        <v>11.82</v>
      </c>
      <c r="G263" s="23" t="n">
        <v>0</v>
      </c>
      <c r="H263" s="23" t="n">
        <f aca="false">((C263+D263+E263)-(F263-G263))</f>
        <v>-2.33</v>
      </c>
      <c r="I263" s="24" t="n">
        <f aca="false">ABS(IFERROR(H263/(F263-G263),H263/E263))</f>
        <v>0.197123519458545</v>
      </c>
    </row>
    <row r="264" customFormat="false" ht="15.75" hidden="false" customHeight="false" outlineLevel="0" collapsed="false">
      <c r="A264" s="3" t="n">
        <v>263</v>
      </c>
      <c r="B264" s="4" t="n">
        <v>45564</v>
      </c>
      <c r="C264" s="23" t="n">
        <v>4</v>
      </c>
      <c r="D264" s="23" t="n">
        <v>0</v>
      </c>
      <c r="E264" s="23" t="n">
        <v>12.7</v>
      </c>
      <c r="F264" s="23" t="n">
        <v>23.47</v>
      </c>
      <c r="G264" s="23" t="n">
        <v>0</v>
      </c>
      <c r="H264" s="23" t="n">
        <f aca="false">((C264+D264+E264)-(F264-G264))</f>
        <v>-6.77</v>
      </c>
      <c r="I264" s="24" t="n">
        <f aca="false">ABS(IFERROR(H264/(F264-G264),H264/E264))</f>
        <v>0.288453344695356</v>
      </c>
    </row>
    <row r="265" customFormat="false" ht="15.75" hidden="false" customHeight="false" outlineLevel="0" collapsed="false">
      <c r="A265" s="3" t="n">
        <v>264</v>
      </c>
      <c r="B265" s="4" t="n">
        <v>45564</v>
      </c>
      <c r="C265" s="23" t="n">
        <v>0</v>
      </c>
      <c r="D265" s="23" t="n">
        <v>0</v>
      </c>
      <c r="E265" s="23" t="n">
        <v>22.15</v>
      </c>
      <c r="F265" s="23" t="n">
        <v>36.92</v>
      </c>
      <c r="G265" s="23" t="n">
        <v>0</v>
      </c>
      <c r="H265" s="23" t="n">
        <f aca="false">((C265+D265+E265)-(F265-G265))</f>
        <v>-14.77</v>
      </c>
      <c r="I265" s="24" t="n">
        <f aca="false">ABS(IFERROR(H265/(F265-G265),H265/E265))</f>
        <v>0.400054171180932</v>
      </c>
    </row>
    <row r="266" customFormat="false" ht="15.75" hidden="false" customHeight="false" outlineLevel="0" collapsed="false">
      <c r="A266" s="3" t="n">
        <v>265</v>
      </c>
      <c r="B266" s="4" t="n">
        <v>45564</v>
      </c>
      <c r="C266" s="23" t="n">
        <v>0</v>
      </c>
      <c r="D266" s="23" t="n">
        <v>0</v>
      </c>
      <c r="E266" s="23" t="n">
        <v>8.65</v>
      </c>
      <c r="F266" s="23" t="n">
        <v>13.6</v>
      </c>
      <c r="G266" s="23" t="n">
        <v>2.04</v>
      </c>
      <c r="H266" s="23" t="n">
        <f aca="false">((C266+D266+E266)-(F266-G266))</f>
        <v>-2.91</v>
      </c>
      <c r="I266" s="24" t="n">
        <f aca="false">ABS(IFERROR(H266/(F266-G266),H266/E266))</f>
        <v>0.251730103806228</v>
      </c>
    </row>
    <row r="267" customFormat="false" ht="15.75" hidden="false" customHeight="false" outlineLevel="0" collapsed="false">
      <c r="A267" s="3" t="n">
        <v>266</v>
      </c>
      <c r="B267" s="4" t="n">
        <v>45564</v>
      </c>
      <c r="C267" s="23" t="n">
        <v>0</v>
      </c>
      <c r="D267" s="23" t="n">
        <v>5</v>
      </c>
      <c r="E267" s="23" t="n">
        <v>6.99</v>
      </c>
      <c r="F267" s="23" t="n">
        <v>13.32</v>
      </c>
      <c r="G267" s="23" t="n">
        <v>4.36</v>
      </c>
      <c r="H267" s="23" t="n">
        <f aca="false">((C267+D267+E267)-(F267-G267))</f>
        <v>3.03</v>
      </c>
      <c r="I267" s="24" t="n">
        <f aca="false">ABS(IFERROR(H267/(F267-G267),H267/E267))</f>
        <v>0.338169642857143</v>
      </c>
    </row>
    <row r="268" customFormat="false" ht="15.75" hidden="false" customHeight="false" outlineLevel="0" collapsed="false">
      <c r="A268" s="3" t="n">
        <v>267</v>
      </c>
      <c r="B268" s="4" t="n">
        <v>45564</v>
      </c>
      <c r="C268" s="23" t="n">
        <v>0</v>
      </c>
      <c r="D268" s="23" t="n">
        <v>5</v>
      </c>
      <c r="E268" s="23" t="n">
        <v>17.83</v>
      </c>
      <c r="F268" s="23" t="n">
        <v>24.69</v>
      </c>
      <c r="G268" s="23" t="n">
        <v>5.72</v>
      </c>
      <c r="H268" s="23" t="n">
        <f aca="false">((C268+D268+E268)-(F268-G268))</f>
        <v>3.86</v>
      </c>
      <c r="I268" s="24" t="n">
        <f aca="false">ABS(IFERROR(H268/(F268-G268),H268/E268))</f>
        <v>0.203479177648919</v>
      </c>
    </row>
    <row r="269" customFormat="false" ht="15.75" hidden="false" customHeight="false" outlineLevel="0" collapsed="false">
      <c r="A269" s="3" t="n">
        <v>268</v>
      </c>
      <c r="B269" s="4" t="n">
        <v>45564</v>
      </c>
      <c r="C269" s="23" t="n">
        <v>1.75</v>
      </c>
      <c r="D269" s="23" t="n">
        <v>5</v>
      </c>
      <c r="E269" s="23" t="n">
        <v>13.71</v>
      </c>
      <c r="F269" s="23" t="n">
        <v>22.55</v>
      </c>
      <c r="G269" s="23" t="n">
        <v>10.3</v>
      </c>
      <c r="H269" s="23" t="n">
        <f aca="false">((C269+D269+E269)-(F269-G269))</f>
        <v>8.21</v>
      </c>
      <c r="I269" s="24" t="n">
        <f aca="false">ABS(IFERROR(H269/(F269-G269),H269/E269))</f>
        <v>0.670204081632653</v>
      </c>
    </row>
    <row r="270" customFormat="false" ht="15.75" hidden="false" customHeight="false" outlineLevel="0" collapsed="false">
      <c r="A270" s="3" t="n">
        <v>269</v>
      </c>
      <c r="B270" s="4" t="n">
        <v>45565</v>
      </c>
      <c r="C270" s="23" t="n">
        <v>1</v>
      </c>
      <c r="D270" s="23" t="n">
        <v>0</v>
      </c>
      <c r="E270" s="23" t="n">
        <v>16.03</v>
      </c>
      <c r="F270" s="23" t="n">
        <v>23.92</v>
      </c>
      <c r="G270" s="23" t="n">
        <v>0</v>
      </c>
      <c r="H270" s="23" t="n">
        <f aca="false">((C270+D270+E270)-(F270-G270))</f>
        <v>-6.89</v>
      </c>
      <c r="I270" s="24" t="n">
        <f aca="false">ABS(IFERROR(H270/(F270-G270),H270/E270))</f>
        <v>0.28804347826087</v>
      </c>
    </row>
    <row r="271" customFormat="false" ht="15.75" hidden="false" customHeight="false" outlineLevel="0" collapsed="false">
      <c r="A271" s="3" t="n">
        <v>270</v>
      </c>
      <c r="B271" s="4" t="n">
        <v>45565</v>
      </c>
      <c r="C271" s="23" t="n">
        <v>0</v>
      </c>
      <c r="D271" s="23" t="n">
        <v>0</v>
      </c>
      <c r="E271" s="23" t="n">
        <v>8.95</v>
      </c>
      <c r="F271" s="23" t="n">
        <v>14.91</v>
      </c>
      <c r="G271" s="23" t="n">
        <v>0</v>
      </c>
      <c r="H271" s="23" t="n">
        <f aca="false">((C271+D271+E271)-(F271-G271))</f>
        <v>-5.96</v>
      </c>
      <c r="I271" s="24" t="n">
        <f aca="false">ABS(IFERROR(H271/(F271-G271),H271/E271))</f>
        <v>0.399731723675386</v>
      </c>
    </row>
    <row r="272" customFormat="false" ht="15.75" hidden="false" customHeight="false" outlineLevel="0" collapsed="false">
      <c r="A272" s="3" t="n">
        <v>271</v>
      </c>
      <c r="B272" s="4" t="n">
        <v>45565</v>
      </c>
      <c r="C272" s="23" t="n">
        <v>1.75</v>
      </c>
      <c r="D272" s="23" t="n">
        <v>0</v>
      </c>
      <c r="E272" s="23" t="n">
        <v>11.15</v>
      </c>
      <c r="F272" s="23" t="n">
        <v>16.93</v>
      </c>
      <c r="G272" s="23" t="n">
        <v>0</v>
      </c>
      <c r="H272" s="23" t="n">
        <f aca="false">((C272+D272+E272)-(F272-G272))</f>
        <v>-4.03</v>
      </c>
      <c r="I272" s="24" t="n">
        <f aca="false">ABS(IFERROR(H272/(F272-G272),H272/E272))</f>
        <v>0.238038984051979</v>
      </c>
    </row>
    <row r="273" customFormat="false" ht="15.75" hidden="false" customHeight="false" outlineLevel="0" collapsed="false">
      <c r="A273" s="3" t="n">
        <v>272</v>
      </c>
      <c r="B273" s="4" t="n">
        <v>45565</v>
      </c>
      <c r="C273" s="23" t="n">
        <v>0</v>
      </c>
      <c r="D273" s="23" t="n">
        <v>0</v>
      </c>
      <c r="E273" s="23" t="n">
        <v>25.79</v>
      </c>
      <c r="F273" s="23" t="n">
        <v>31.92</v>
      </c>
      <c r="G273" s="23" t="n">
        <v>0</v>
      </c>
      <c r="H273" s="23" t="n">
        <f aca="false">((C273+D273+E273)-(F273-G273))</f>
        <v>-6.13</v>
      </c>
      <c r="I273" s="24" t="n">
        <f aca="false">ABS(IFERROR(H273/(F273-G273),H273/E273))</f>
        <v>0.192042606516291</v>
      </c>
    </row>
    <row r="274" customFormat="false" ht="15.75" hidden="false" customHeight="false" outlineLevel="0" collapsed="false">
      <c r="A274" s="3" t="n">
        <v>273</v>
      </c>
      <c r="B274" s="4" t="n">
        <v>45565</v>
      </c>
      <c r="C274" s="23" t="n">
        <v>0</v>
      </c>
      <c r="D274" s="23" t="n">
        <v>0</v>
      </c>
      <c r="E274" s="23" t="n">
        <v>6.98</v>
      </c>
      <c r="F274" s="23" t="n">
        <v>8.36</v>
      </c>
      <c r="G274" s="23" t="n">
        <v>0.43</v>
      </c>
      <c r="H274" s="23" t="n">
        <f aca="false">((C274+D274+E274)-(F274-G274))</f>
        <v>-0.949999999999999</v>
      </c>
      <c r="I274" s="24" t="n">
        <f aca="false">ABS(IFERROR(H274/(F274-G274),H274/E274))</f>
        <v>0.119798234552333</v>
      </c>
    </row>
    <row r="275" customFormat="false" ht="15.75" hidden="false" customHeight="false" outlineLevel="0" collapsed="false">
      <c r="A275" s="3" t="n">
        <v>274</v>
      </c>
      <c r="B275" s="4" t="n">
        <v>45565</v>
      </c>
      <c r="C275" s="23" t="n">
        <v>0</v>
      </c>
      <c r="D275" s="23" t="n">
        <v>0</v>
      </c>
      <c r="E275" s="23" t="n">
        <v>8.02</v>
      </c>
      <c r="F275" s="23" t="n">
        <v>11.94</v>
      </c>
      <c r="G275" s="23" t="n">
        <v>0</v>
      </c>
      <c r="H275" s="23" t="n">
        <f aca="false">((C275+D275+E275)-(F275-G275))</f>
        <v>-3.92</v>
      </c>
      <c r="I275" s="24" t="n">
        <f aca="false">ABS(IFERROR(H275/(F275-G275),H275/E275))</f>
        <v>0.328308207705193</v>
      </c>
    </row>
    <row r="276" customFormat="false" ht="15.75" hidden="false" customHeight="false" outlineLevel="0" collapsed="false">
      <c r="A276" s="3" t="n">
        <v>275</v>
      </c>
      <c r="B276" s="4" t="n">
        <v>45565</v>
      </c>
      <c r="C276" s="23" t="n">
        <v>0</v>
      </c>
      <c r="D276" s="23" t="n">
        <v>0</v>
      </c>
      <c r="E276" s="23" t="n">
        <v>7.16</v>
      </c>
      <c r="F276" s="23" t="n">
        <v>8.55</v>
      </c>
      <c r="G276" s="23" t="n">
        <v>1.57</v>
      </c>
      <c r="H276" s="23" t="n">
        <f aca="false">((C276+D276+E276)-(F276-G276))</f>
        <v>0.18</v>
      </c>
      <c r="I276" s="24" t="n">
        <f aca="false">ABS(IFERROR(H276/(F276-G276),H276/E276))</f>
        <v>0.0257879656160458</v>
      </c>
    </row>
    <row r="277" customFormat="false" ht="15.75" hidden="false" customHeight="false" outlineLevel="0" collapsed="false">
      <c r="A277" s="3" t="n">
        <v>276</v>
      </c>
      <c r="B277" s="4" t="n">
        <v>45570</v>
      </c>
      <c r="C277" s="23" t="n">
        <v>0</v>
      </c>
      <c r="D277" s="23" t="n">
        <v>5</v>
      </c>
      <c r="E277" s="23" t="n">
        <v>6.98</v>
      </c>
      <c r="F277" s="23" t="n">
        <v>13.51</v>
      </c>
      <c r="G277" s="23" t="n">
        <v>5.25</v>
      </c>
      <c r="H277" s="23" t="n">
        <f aca="false">((C277+D277+E277)-(F277-G277))</f>
        <v>3.72</v>
      </c>
      <c r="I277" s="24" t="n">
        <f aca="false">ABS(IFERROR(H277/(F277-G277),H277/E277))</f>
        <v>0.450363196125908</v>
      </c>
    </row>
    <row r="278" customFormat="false" ht="15.75" hidden="false" customHeight="false" outlineLevel="0" collapsed="false">
      <c r="A278" s="3" t="n">
        <v>277</v>
      </c>
      <c r="B278" s="4" t="n">
        <v>45570</v>
      </c>
      <c r="C278" s="23" t="n">
        <v>2</v>
      </c>
      <c r="D278" s="23" t="n">
        <v>5</v>
      </c>
      <c r="E278" s="23" t="n">
        <v>7.16</v>
      </c>
      <c r="F278" s="23" t="n">
        <v>16.02</v>
      </c>
      <c r="G278" s="23" t="n">
        <v>2.55</v>
      </c>
      <c r="H278" s="23" t="n">
        <f aca="false">((C278+D278+E278)-(F278-G278))</f>
        <v>0.690000000000001</v>
      </c>
      <c r="I278" s="24" t="n">
        <f aca="false">ABS(IFERROR(H278/(F278-G278),H278/E278))</f>
        <v>0.0512249443207128</v>
      </c>
    </row>
    <row r="279" customFormat="false" ht="15.75" hidden="false" customHeight="false" outlineLevel="0" collapsed="false">
      <c r="A279" s="3" t="n">
        <v>278</v>
      </c>
      <c r="B279" s="4" t="n">
        <v>45570</v>
      </c>
      <c r="C279" s="23" t="n">
        <v>0</v>
      </c>
      <c r="D279" s="23" t="n">
        <v>5</v>
      </c>
      <c r="E279" s="23" t="n">
        <v>19.85</v>
      </c>
      <c r="F279" s="23" t="n">
        <v>27.43</v>
      </c>
      <c r="G279" s="23" t="n">
        <v>9.49</v>
      </c>
      <c r="H279" s="23" t="n">
        <f aca="false">((C279+D279+E279)-(F279-G279))</f>
        <v>6.91</v>
      </c>
      <c r="I279" s="24" t="n">
        <f aca="false">ABS(IFERROR(H279/(F279-G279),H279/E279))</f>
        <v>0.385172798216277</v>
      </c>
    </row>
    <row r="280" customFormat="false" ht="15.75" hidden="false" customHeight="false" outlineLevel="0" collapsed="false">
      <c r="A280" s="3" t="n">
        <v>279</v>
      </c>
      <c r="B280" s="4" t="n">
        <v>45570</v>
      </c>
      <c r="C280" s="23" t="n">
        <v>1.25</v>
      </c>
      <c r="D280" s="23" t="n">
        <v>0</v>
      </c>
      <c r="E280" s="23" t="n">
        <v>13.14</v>
      </c>
      <c r="F280" s="23" t="n">
        <v>23.99</v>
      </c>
      <c r="G280" s="23" t="n">
        <v>0</v>
      </c>
      <c r="H280" s="23" t="n">
        <f aca="false">((C280+D280+E280)-(F280-G280))</f>
        <v>-9.6</v>
      </c>
      <c r="I280" s="24" t="n">
        <f aca="false">ABS(IFERROR(H280/(F280-G280),H280/E280))</f>
        <v>0.400166736140058</v>
      </c>
    </row>
    <row r="281" customFormat="false" ht="15.75" hidden="false" customHeight="false" outlineLevel="0" collapsed="false">
      <c r="A281" s="3" t="n">
        <v>280</v>
      </c>
      <c r="B281" s="4" t="n">
        <v>45570</v>
      </c>
      <c r="C281" s="23" t="n">
        <v>1.25</v>
      </c>
      <c r="D281" s="23" t="n">
        <v>0</v>
      </c>
      <c r="E281" s="23" t="n">
        <v>6.98</v>
      </c>
      <c r="F281" s="23" t="n">
        <v>24.19</v>
      </c>
      <c r="G281" s="23" t="n">
        <v>0</v>
      </c>
      <c r="H281" s="23" t="n">
        <f aca="false">((C281+D281+E281)-(F281-G281))</f>
        <v>-15.96</v>
      </c>
      <c r="I281" s="24" t="n">
        <f aca="false">ABS(IFERROR(H281/(F281-G281),H281/E281))</f>
        <v>0.659776767259198</v>
      </c>
    </row>
    <row r="282" customFormat="false" ht="15.75" hidden="false" customHeight="false" outlineLevel="0" collapsed="false">
      <c r="A282" s="3" t="n">
        <v>281</v>
      </c>
      <c r="B282" s="4" t="n">
        <v>45570</v>
      </c>
      <c r="C282" s="23" t="n">
        <v>1.25</v>
      </c>
      <c r="D282" s="23" t="n">
        <v>0</v>
      </c>
      <c r="E282" s="23" t="n">
        <v>15.16</v>
      </c>
      <c r="F282" s="23" t="n">
        <v>18.65</v>
      </c>
      <c r="G282" s="23" t="n">
        <v>0.71</v>
      </c>
      <c r="H282" s="23" t="n">
        <f aca="false">((C282+D282+E282)-(F282-G282))</f>
        <v>-1.53</v>
      </c>
      <c r="I282" s="24" t="n">
        <f aca="false">ABS(IFERROR(H282/(F282-G282),H282/E282))</f>
        <v>0.0852842809364547</v>
      </c>
    </row>
    <row r="283" customFormat="false" ht="15.75" hidden="false" customHeight="false" outlineLevel="0" collapsed="false">
      <c r="A283" s="3" t="n">
        <v>282</v>
      </c>
      <c r="B283" s="4" t="n">
        <v>45570</v>
      </c>
      <c r="C283" s="23" t="n">
        <v>0</v>
      </c>
      <c r="D283" s="23" t="n">
        <v>0</v>
      </c>
      <c r="E283" s="23" t="n">
        <v>6.99</v>
      </c>
      <c r="F283" s="23" t="n">
        <v>8.99</v>
      </c>
      <c r="G283" s="23" t="n">
        <v>0</v>
      </c>
      <c r="H283" s="23" t="n">
        <f aca="false">((C283+D283+E283)-(F283-G283))</f>
        <v>-2</v>
      </c>
      <c r="I283" s="24" t="n">
        <f aca="false">ABS(IFERROR(H283/(F283-G283),H283/E283))</f>
        <v>0.222469410456062</v>
      </c>
    </row>
    <row r="284" customFormat="false" ht="15.75" hidden="false" customHeight="false" outlineLevel="0" collapsed="false">
      <c r="A284" s="3" t="n">
        <v>283</v>
      </c>
      <c r="B284" s="4" t="n">
        <v>45570</v>
      </c>
      <c r="C284" s="23" t="n">
        <v>0</v>
      </c>
      <c r="D284" s="23" t="n">
        <v>0</v>
      </c>
      <c r="E284" s="23" t="n">
        <v>7.75</v>
      </c>
      <c r="F284" s="23" t="n">
        <v>12.91</v>
      </c>
      <c r="G284" s="23" t="n">
        <v>0</v>
      </c>
      <c r="H284" s="23" t="n">
        <f aca="false">((C284+D284+E284)-(F284-G284))</f>
        <v>-5.16</v>
      </c>
      <c r="I284" s="24" t="n">
        <f aca="false">ABS(IFERROR(H284/(F284-G284),H284/E284))</f>
        <v>0.399690162664601</v>
      </c>
    </row>
    <row r="285" customFormat="false" ht="15.75" hidden="false" customHeight="false" outlineLevel="0" collapsed="false">
      <c r="A285" s="3" t="n">
        <v>284</v>
      </c>
      <c r="B285" s="4" t="n">
        <v>45570</v>
      </c>
      <c r="C285" s="23" t="n">
        <v>0</v>
      </c>
      <c r="D285" s="23" t="n">
        <v>0</v>
      </c>
      <c r="E285" s="23" t="n">
        <v>4.57</v>
      </c>
      <c r="F285" s="23" t="n">
        <v>5.25</v>
      </c>
      <c r="G285" s="23" t="n">
        <v>0</v>
      </c>
      <c r="H285" s="23" t="n">
        <f aca="false">((C285+D285+E285)-(F285-G285))</f>
        <v>-0.68</v>
      </c>
      <c r="I285" s="24" t="n">
        <f aca="false">ABS(IFERROR(H285/(F285-G285),H285/E285))</f>
        <v>0.129523809523809</v>
      </c>
    </row>
    <row r="286" customFormat="false" ht="15.75" hidden="false" customHeight="false" outlineLevel="0" collapsed="false">
      <c r="A286" s="3" t="n">
        <v>285</v>
      </c>
      <c r="B286" s="4" t="n">
        <v>45570</v>
      </c>
      <c r="C286" s="23" t="n">
        <v>0</v>
      </c>
      <c r="D286" s="23" t="n">
        <v>0</v>
      </c>
      <c r="E286" s="23" t="n">
        <v>30.83</v>
      </c>
      <c r="F286" s="23" t="n">
        <v>34.2</v>
      </c>
      <c r="G286" s="23" t="n">
        <v>14.24</v>
      </c>
      <c r="H286" s="23" t="n">
        <f aca="false">((C286+D286+E286)-(F286-G286))</f>
        <v>10.87</v>
      </c>
      <c r="I286" s="24" t="n">
        <f aca="false">ABS(IFERROR(H286/(F286-G286),H286/E286))</f>
        <v>0.544589178356713</v>
      </c>
    </row>
    <row r="287" customFormat="false" ht="15.75" hidden="false" customHeight="false" outlineLevel="0" collapsed="false">
      <c r="A287" s="3" t="n">
        <v>286</v>
      </c>
      <c r="B287" s="4" t="n">
        <v>45570</v>
      </c>
      <c r="C287" s="23" t="n">
        <v>1</v>
      </c>
      <c r="D287" s="23" t="n">
        <v>0</v>
      </c>
      <c r="E287" s="23" t="n">
        <v>16.26</v>
      </c>
      <c r="F287" s="23" t="n">
        <v>22.98</v>
      </c>
      <c r="G287" s="23" t="n">
        <v>0</v>
      </c>
      <c r="H287" s="23" t="n">
        <f aca="false">((C287+D287+E287)-(F287-G287))</f>
        <v>-5.72</v>
      </c>
      <c r="I287" s="24" t="n">
        <f aca="false">ABS(IFERROR(H287/(F287-G287),H287/E287))</f>
        <v>0.248912097476066</v>
      </c>
    </row>
    <row r="288" customFormat="false" ht="15.75" hidden="false" customHeight="false" outlineLevel="0" collapsed="false">
      <c r="A288" s="3" t="n">
        <v>287</v>
      </c>
      <c r="B288" s="4" t="n">
        <v>45570</v>
      </c>
      <c r="C288" s="23" t="n">
        <v>1</v>
      </c>
      <c r="D288" s="23" t="n">
        <v>6</v>
      </c>
      <c r="E288" s="23" t="n">
        <v>31.45</v>
      </c>
      <c r="F288" s="23" t="n">
        <v>42.11</v>
      </c>
      <c r="G288" s="23" t="n">
        <v>4.85</v>
      </c>
      <c r="H288" s="23" t="n">
        <f aca="false">((C288+D288+E288)-(F288-G288))</f>
        <v>1.19</v>
      </c>
      <c r="I288" s="24" t="n">
        <f aca="false">ABS(IFERROR(H288/(F288-G288),H288/E288))</f>
        <v>0.0319377348362857</v>
      </c>
    </row>
    <row r="289" customFormat="false" ht="15.75" hidden="false" customHeight="false" outlineLevel="0" collapsed="false">
      <c r="A289" s="3" t="n">
        <v>288</v>
      </c>
      <c r="B289" s="4" t="n">
        <v>45570</v>
      </c>
      <c r="C289" s="23" t="n">
        <v>0</v>
      </c>
      <c r="D289" s="23" t="n">
        <v>0</v>
      </c>
      <c r="E289" s="23" t="n">
        <v>1.86</v>
      </c>
      <c r="F289" s="23" t="n">
        <v>2.13</v>
      </c>
      <c r="G289" s="23" t="n">
        <v>0</v>
      </c>
      <c r="H289" s="23" t="n">
        <f aca="false">((C289+D289+E289)-(F289-G289))</f>
        <v>-0.27</v>
      </c>
      <c r="I289" s="24" t="n">
        <f aca="false">ABS(IFERROR(H289/(F289-G289),H289/E289))</f>
        <v>0.126760563380282</v>
      </c>
    </row>
    <row r="290" customFormat="false" ht="15.75" hidden="false" customHeight="false" outlineLevel="0" collapsed="false">
      <c r="A290" s="3" t="n">
        <v>289</v>
      </c>
      <c r="B290" s="4" t="n">
        <v>45570</v>
      </c>
      <c r="C290" s="23" t="n">
        <v>0</v>
      </c>
      <c r="D290" s="23" t="n">
        <v>6</v>
      </c>
      <c r="E290" s="23" t="n">
        <v>7.32</v>
      </c>
      <c r="F290" s="23" t="n">
        <v>14.96</v>
      </c>
      <c r="G290" s="23" t="n">
        <v>9.76</v>
      </c>
      <c r="H290" s="23" t="n">
        <f aca="false">((C290+D290+E290)-(F290-G290))</f>
        <v>8.12</v>
      </c>
      <c r="I290" s="24" t="n">
        <f aca="false">ABS(IFERROR(H290/(F290-G290),H290/E290))</f>
        <v>1.56153846153846</v>
      </c>
    </row>
    <row r="291" customFormat="false" ht="15.75" hidden="false" customHeight="false" outlineLevel="0" collapsed="false">
      <c r="A291" s="3" t="n">
        <v>290</v>
      </c>
      <c r="B291" s="4" t="n">
        <v>45573</v>
      </c>
      <c r="C291" s="23" t="n">
        <v>0</v>
      </c>
      <c r="D291" s="23" t="n">
        <v>0</v>
      </c>
      <c r="E291" s="23" t="n">
        <v>6.98</v>
      </c>
      <c r="F291" s="23" t="n">
        <v>9.95</v>
      </c>
      <c r="G291" s="23" t="n">
        <v>0</v>
      </c>
      <c r="H291" s="23" t="n">
        <f aca="false">((C291+D291+E291)-(F291-G291))</f>
        <v>-2.97</v>
      </c>
      <c r="I291" s="24" t="n">
        <f aca="false">ABS(IFERROR(H291/(F291-G291),H291/E291))</f>
        <v>0.298492462311558</v>
      </c>
    </row>
    <row r="292" customFormat="false" ht="15.75" hidden="false" customHeight="false" outlineLevel="0" collapsed="false">
      <c r="A292" s="3" t="n">
        <v>291</v>
      </c>
      <c r="B292" s="4" t="n">
        <v>45573</v>
      </c>
      <c r="C292" s="23" t="n">
        <v>0</v>
      </c>
      <c r="D292" s="23" t="n">
        <v>0</v>
      </c>
      <c r="E292" s="23" t="n">
        <v>6.98</v>
      </c>
      <c r="F292" s="23" t="n">
        <v>8.94</v>
      </c>
      <c r="G292" s="23" t="n">
        <v>0</v>
      </c>
      <c r="H292" s="23" t="n">
        <f aca="false">((C292+D292+E292)-(F292-G292))</f>
        <v>-1.96</v>
      </c>
      <c r="I292" s="24" t="n">
        <f aca="false">ABS(IFERROR(H292/(F292-G292),H292/E292))</f>
        <v>0.21923937360179</v>
      </c>
    </row>
    <row r="293" customFormat="false" ht="15.75" hidden="false" customHeight="false" outlineLevel="0" collapsed="false">
      <c r="A293" s="3" t="n">
        <v>292</v>
      </c>
      <c r="B293" s="4" t="n">
        <v>45573</v>
      </c>
      <c r="C293" s="23" t="n">
        <v>0</v>
      </c>
      <c r="D293" s="23" t="n">
        <v>0</v>
      </c>
      <c r="E293" s="23" t="n">
        <v>6.98</v>
      </c>
      <c r="F293" s="23" t="n">
        <v>8.42</v>
      </c>
      <c r="G293" s="23" t="n">
        <v>0.44</v>
      </c>
      <c r="H293" s="23" t="n">
        <f aca="false">((C293+D293+E293)-(F293-G293))</f>
        <v>-0.999999999999999</v>
      </c>
      <c r="I293" s="24" t="n">
        <f aca="false">ABS(IFERROR(H293/(F293-G293),H293/E293))</f>
        <v>0.12531328320802</v>
      </c>
    </row>
    <row r="294" customFormat="false" ht="15.75" hidden="false" customHeight="false" outlineLevel="0" collapsed="false">
      <c r="A294" s="3" t="n">
        <v>293</v>
      </c>
      <c r="B294" s="4" t="n">
        <v>45573</v>
      </c>
      <c r="C294" s="23" t="n">
        <v>0</v>
      </c>
      <c r="D294" s="23" t="n">
        <v>0</v>
      </c>
      <c r="E294" s="23" t="n">
        <v>11.67</v>
      </c>
      <c r="F294" s="23" t="n">
        <v>13.91</v>
      </c>
      <c r="G294" s="23" t="n">
        <v>0</v>
      </c>
      <c r="H294" s="23" t="n">
        <f aca="false">((C294+D294+E294)-(F294-G294))</f>
        <v>-2.24</v>
      </c>
      <c r="I294" s="24" t="n">
        <f aca="false">ABS(IFERROR(H294/(F294-G294),H294/E294))</f>
        <v>0.161035226455787</v>
      </c>
    </row>
    <row r="295" customFormat="false" ht="15.75" hidden="false" customHeight="false" outlineLevel="0" collapsed="false">
      <c r="A295" s="3" t="n">
        <v>294</v>
      </c>
      <c r="B295" s="4" t="n">
        <v>45573</v>
      </c>
      <c r="C295" s="23" t="n">
        <v>0</v>
      </c>
      <c r="D295" s="23" t="n">
        <v>0</v>
      </c>
      <c r="E295" s="23" t="n">
        <v>4.57</v>
      </c>
      <c r="F295" s="23" t="n">
        <v>5.25</v>
      </c>
      <c r="G295" s="23" t="n">
        <v>0</v>
      </c>
      <c r="H295" s="23" t="n">
        <f aca="false">((C295+D295+E295)-(F295-G295))</f>
        <v>-0.68</v>
      </c>
      <c r="I295" s="24" t="n">
        <f aca="false">ABS(IFERROR(H295/(F295-G295),H295/E295))</f>
        <v>0.129523809523809</v>
      </c>
    </row>
    <row r="296" customFormat="false" ht="15.75" hidden="false" customHeight="false" outlineLevel="0" collapsed="false">
      <c r="A296" s="3" t="n">
        <v>295</v>
      </c>
      <c r="B296" s="4" t="n">
        <v>45573</v>
      </c>
      <c r="C296" s="23" t="n">
        <v>0</v>
      </c>
      <c r="D296" s="23" t="n">
        <v>0</v>
      </c>
      <c r="E296" s="23" t="n">
        <v>6.98</v>
      </c>
      <c r="F296" s="23" t="n">
        <v>8.99</v>
      </c>
      <c r="G296" s="23" t="n">
        <v>0</v>
      </c>
      <c r="H296" s="23" t="n">
        <f aca="false">((C296+D296+E296)-(F296-G296))</f>
        <v>-2.01</v>
      </c>
      <c r="I296" s="24" t="n">
        <f aca="false">ABS(IFERROR(H296/(F296-G296),H296/E296))</f>
        <v>0.223581757508343</v>
      </c>
    </row>
    <row r="297" customFormat="false" ht="15.75" hidden="false" customHeight="false" outlineLevel="0" collapsed="false">
      <c r="A297" s="3" t="n">
        <v>296</v>
      </c>
      <c r="B297" s="4" t="n">
        <v>45573</v>
      </c>
      <c r="C297" s="23" t="n">
        <v>0</v>
      </c>
      <c r="D297" s="23" t="n">
        <v>0</v>
      </c>
      <c r="E297" s="23" t="n">
        <v>6.98</v>
      </c>
      <c r="F297" s="23" t="n">
        <v>8.42</v>
      </c>
      <c r="G297" s="23" t="n">
        <v>0.49</v>
      </c>
      <c r="H297" s="23" t="n">
        <f aca="false">((C297+D297+E297)-(F297-G297))</f>
        <v>-0.949999999999999</v>
      </c>
      <c r="I297" s="24" t="n">
        <f aca="false">ABS(IFERROR(H297/(F297-G297),H297/E297))</f>
        <v>0.119798234552333</v>
      </c>
    </row>
    <row r="298" customFormat="false" ht="15.75" hidden="false" customHeight="false" outlineLevel="0" collapsed="false">
      <c r="A298" s="3" t="n">
        <v>297</v>
      </c>
      <c r="B298" s="4" t="n">
        <v>45573</v>
      </c>
      <c r="C298" s="23" t="n">
        <v>0</v>
      </c>
      <c r="D298" s="23" t="n">
        <v>0</v>
      </c>
      <c r="E298" s="23" t="n">
        <v>8.22</v>
      </c>
      <c r="F298" s="23" t="n">
        <v>13.7</v>
      </c>
      <c r="G298" s="23" t="n">
        <v>1.37</v>
      </c>
      <c r="H298" s="23" t="n">
        <f aca="false">((C298+D298+E298)-(F298-G298))</f>
        <v>-4.11</v>
      </c>
      <c r="I298" s="24" t="n">
        <f aca="false">ABS(IFERROR(H298/(F298-G298),H298/E298))</f>
        <v>0.333333333333333</v>
      </c>
    </row>
    <row r="299" customFormat="false" ht="15.75" hidden="false" customHeight="false" outlineLevel="0" collapsed="false">
      <c r="A299" s="3" t="n">
        <v>298</v>
      </c>
      <c r="B299" s="4" t="n">
        <v>45573</v>
      </c>
      <c r="C299" s="23" t="n">
        <v>0</v>
      </c>
      <c r="D299" s="23" t="n">
        <v>0</v>
      </c>
      <c r="E299" s="23" t="n">
        <v>7.57</v>
      </c>
      <c r="F299" s="23" t="n">
        <v>9.07</v>
      </c>
      <c r="G299" s="23" t="n">
        <v>0.59</v>
      </c>
      <c r="H299" s="23" t="n">
        <f aca="false">((C299+D299+E299)-(F299-G299))</f>
        <v>-0.91</v>
      </c>
      <c r="I299" s="24" t="n">
        <f aca="false">ABS(IFERROR(H299/(F299-G299),H299/E299))</f>
        <v>0.107311320754717</v>
      </c>
    </row>
    <row r="300" customFormat="false" ht="15.75" hidden="false" customHeight="false" outlineLevel="0" collapsed="false">
      <c r="A300" s="3" t="n">
        <v>299</v>
      </c>
      <c r="B300" s="4" t="n">
        <v>45577</v>
      </c>
      <c r="C300" s="23" t="n">
        <v>0</v>
      </c>
      <c r="D300" s="23" t="n">
        <v>0</v>
      </c>
      <c r="E300" s="23" t="n">
        <v>6.98</v>
      </c>
      <c r="F300" s="23" t="n">
        <v>8.96</v>
      </c>
      <c r="G300" s="23" t="n">
        <v>0</v>
      </c>
      <c r="H300" s="23" t="n">
        <f aca="false">((C300+D300+E300)-(F300-G300))</f>
        <v>-1.98</v>
      </c>
      <c r="I300" s="24" t="n">
        <f aca="false">ABS(IFERROR(H300/(F300-G300),H300/E300))</f>
        <v>0.220982142857143</v>
      </c>
    </row>
    <row r="301" customFormat="false" ht="15.75" hidden="false" customHeight="false" outlineLevel="0" collapsed="false">
      <c r="A301" s="3" t="n">
        <v>300</v>
      </c>
      <c r="B301" s="4" t="n">
        <v>45577</v>
      </c>
      <c r="C301" s="23" t="n">
        <v>0</v>
      </c>
      <c r="D301" s="23" t="n">
        <v>0</v>
      </c>
      <c r="E301" s="23" t="n">
        <v>17.44</v>
      </c>
      <c r="F301" s="23" t="n">
        <v>26.99</v>
      </c>
      <c r="G301" s="23" t="n">
        <v>0</v>
      </c>
      <c r="H301" s="23" t="n">
        <f aca="false">((C301+D301+E301)-(F301-G301))</f>
        <v>-9.55</v>
      </c>
      <c r="I301" s="24" t="n">
        <f aca="false">ABS(IFERROR(H301/(F301-G301),H301/E301))</f>
        <v>0.353834753612449</v>
      </c>
    </row>
    <row r="302" customFormat="false" ht="15.75" hidden="false" customHeight="false" outlineLevel="0" collapsed="false">
      <c r="A302" s="3" t="n">
        <v>301</v>
      </c>
      <c r="B302" s="4" t="n">
        <v>45577</v>
      </c>
      <c r="C302" s="23" t="n">
        <v>0</v>
      </c>
      <c r="D302" s="23" t="n">
        <v>0</v>
      </c>
      <c r="E302" s="23" t="n">
        <v>24.54</v>
      </c>
      <c r="F302" s="23" t="n">
        <v>27.53</v>
      </c>
      <c r="G302" s="23" t="n">
        <v>0.56</v>
      </c>
      <c r="H302" s="23" t="n">
        <f aca="false">((C302+D302+E302)-(F302-G302))</f>
        <v>-2.43</v>
      </c>
      <c r="I302" s="24" t="n">
        <f aca="false">ABS(IFERROR(H302/(F302-G302),H302/E302))</f>
        <v>0.0901001112347053</v>
      </c>
    </row>
    <row r="303" customFormat="false" ht="15.75" hidden="false" customHeight="false" outlineLevel="0" collapsed="false">
      <c r="A303" s="3" t="n">
        <v>302</v>
      </c>
      <c r="B303" s="4" t="n">
        <v>45577</v>
      </c>
      <c r="C303" s="23" t="n">
        <v>0</v>
      </c>
      <c r="D303" s="23" t="n">
        <v>0</v>
      </c>
      <c r="E303" s="23" t="n">
        <v>17.64</v>
      </c>
      <c r="F303" s="23" t="n">
        <v>26.91</v>
      </c>
      <c r="G303" s="23" t="n">
        <v>0</v>
      </c>
      <c r="H303" s="23" t="n">
        <f aca="false">((C303+D303+E303)-(F303-G303))</f>
        <v>-9.27</v>
      </c>
      <c r="I303" s="24" t="n">
        <f aca="false">ABS(IFERROR(H303/(F303-G303),H303/E303))</f>
        <v>0.344481605351171</v>
      </c>
    </row>
    <row r="304" customFormat="false" ht="15.75" hidden="false" customHeight="false" outlineLevel="0" collapsed="false">
      <c r="A304" s="3" t="n">
        <v>303</v>
      </c>
      <c r="B304" s="4" t="n">
        <v>45577</v>
      </c>
      <c r="C304" s="23" t="n">
        <v>1</v>
      </c>
      <c r="D304" s="23" t="n">
        <v>0</v>
      </c>
      <c r="E304" s="23" t="n">
        <v>16.12</v>
      </c>
      <c r="F304" s="23" t="n">
        <v>19.38</v>
      </c>
      <c r="G304" s="23" t="n">
        <v>1.12</v>
      </c>
      <c r="H304" s="23" t="n">
        <f aca="false">((C304+D304+E304)-(F304-G304))</f>
        <v>-1.14</v>
      </c>
      <c r="I304" s="24" t="n">
        <f aca="false">ABS(IFERROR(H304/(F304-G304),H304/E304))</f>
        <v>0.0624315443592551</v>
      </c>
    </row>
    <row r="305" customFormat="false" ht="15.75" hidden="false" customHeight="false" outlineLevel="0" collapsed="false">
      <c r="A305" s="3" t="n">
        <v>304</v>
      </c>
      <c r="B305" s="4" t="n">
        <v>45577</v>
      </c>
      <c r="C305" s="23" t="n">
        <v>1.25</v>
      </c>
      <c r="D305" s="23" t="n">
        <v>0</v>
      </c>
      <c r="E305" s="23" t="n">
        <v>10.26</v>
      </c>
      <c r="F305" s="23" t="n">
        <v>14.95</v>
      </c>
      <c r="G305" s="23" t="n">
        <v>0</v>
      </c>
      <c r="H305" s="23" t="n">
        <f aca="false">((C305+D305+E305)-(F305-G305))</f>
        <v>-3.44</v>
      </c>
      <c r="I305" s="24" t="n">
        <f aca="false">ABS(IFERROR(H305/(F305-G305),H305/E305))</f>
        <v>0.230100334448161</v>
      </c>
    </row>
    <row r="306" customFormat="false" ht="15.75" hidden="false" customHeight="false" outlineLevel="0" collapsed="false">
      <c r="A306" s="3" t="n">
        <v>305</v>
      </c>
      <c r="B306" s="4" t="n">
        <v>45577</v>
      </c>
      <c r="C306" s="23" t="n">
        <v>0</v>
      </c>
      <c r="D306" s="23" t="n">
        <v>5</v>
      </c>
      <c r="E306" s="23" t="n">
        <v>9.67</v>
      </c>
      <c r="F306" s="23" t="n">
        <v>20</v>
      </c>
      <c r="G306" s="23" t="n">
        <v>0</v>
      </c>
      <c r="H306" s="23" t="n">
        <f aca="false">((C306+D306+E306)-(F306-G306))</f>
        <v>-5.33</v>
      </c>
      <c r="I306" s="24" t="n">
        <f aca="false">ABS(IFERROR(H306/(F306-G306),H306/E306))</f>
        <v>0.2665</v>
      </c>
    </row>
    <row r="307" customFormat="false" ht="15.75" hidden="false" customHeight="false" outlineLevel="0" collapsed="false">
      <c r="A307" s="3" t="n">
        <v>306</v>
      </c>
      <c r="B307" s="4" t="n">
        <v>45577</v>
      </c>
      <c r="C307" s="23" t="n">
        <v>0</v>
      </c>
      <c r="D307" s="23" t="n">
        <v>5</v>
      </c>
      <c r="E307" s="23" t="n">
        <v>8.33</v>
      </c>
      <c r="F307" s="23" t="n">
        <v>11.2</v>
      </c>
      <c r="G307" s="23" t="n">
        <v>0</v>
      </c>
      <c r="H307" s="23" t="n">
        <f aca="false">((C307+D307+E307)-(F307-G307))</f>
        <v>2.13</v>
      </c>
      <c r="I307" s="24" t="n">
        <f aca="false">ABS(IFERROR(H307/(F307-G307),H307/E307))</f>
        <v>0.190178571428572</v>
      </c>
    </row>
    <row r="308" customFormat="false" ht="15.75" hidden="false" customHeight="false" outlineLevel="0" collapsed="false">
      <c r="A308" s="3" t="n">
        <v>307</v>
      </c>
      <c r="B308" s="4" t="n">
        <v>45577</v>
      </c>
      <c r="C308" s="23" t="n">
        <v>0</v>
      </c>
      <c r="D308" s="23" t="n">
        <v>5</v>
      </c>
      <c r="E308" s="23" t="n">
        <v>7.17</v>
      </c>
      <c r="F308" s="23" t="n">
        <v>13.75</v>
      </c>
      <c r="G308" s="23" t="n">
        <v>1.8</v>
      </c>
      <c r="H308" s="23" t="n">
        <f aca="false">((C308+D308+E308)-(F308-G308))</f>
        <v>0.220000000000001</v>
      </c>
      <c r="I308" s="24" t="n">
        <f aca="false">ABS(IFERROR(H308/(F308-G308),H308/E308))</f>
        <v>0.0184100418410042</v>
      </c>
    </row>
    <row r="309" customFormat="false" ht="15.75" hidden="false" customHeight="false" outlineLevel="0" collapsed="false">
      <c r="A309" s="3" t="n">
        <v>308</v>
      </c>
      <c r="B309" s="4" t="n">
        <v>45577</v>
      </c>
      <c r="C309" s="23" t="n">
        <v>1.25</v>
      </c>
      <c r="D309" s="23" t="n">
        <v>0</v>
      </c>
      <c r="E309" s="23" t="n">
        <v>23.19</v>
      </c>
      <c r="F309" s="23" t="n">
        <v>27.37</v>
      </c>
      <c r="G309" s="23" t="n">
        <v>2.38</v>
      </c>
      <c r="H309" s="23" t="n">
        <f aca="false">((C309+D309+E309)-(F309-G309))</f>
        <v>-0.550000000000001</v>
      </c>
      <c r="I309" s="24" t="n">
        <f aca="false">ABS(IFERROR(H309/(F309-G309),H309/E309))</f>
        <v>0.0220088035214086</v>
      </c>
    </row>
    <row r="310" customFormat="false" ht="15.75" hidden="false" customHeight="false" outlineLevel="0" collapsed="false">
      <c r="A310" s="3" t="n">
        <v>309</v>
      </c>
      <c r="B310" s="4" t="n">
        <v>45577</v>
      </c>
      <c r="C310" s="23" t="n">
        <v>1</v>
      </c>
      <c r="D310" s="23" t="n">
        <v>0</v>
      </c>
      <c r="E310" s="23" t="n">
        <v>15.82</v>
      </c>
      <c r="F310" s="23" t="n">
        <v>22.5</v>
      </c>
      <c r="G310" s="23" t="n">
        <v>9</v>
      </c>
      <c r="H310" s="23" t="n">
        <f aca="false">((C310+D310+E310)-(F310-G310))</f>
        <v>3.32</v>
      </c>
      <c r="I310" s="24" t="n">
        <f aca="false">ABS(IFERROR(H310/(F310-G310),H310/E310))</f>
        <v>0.245925925925926</v>
      </c>
    </row>
    <row r="311" customFormat="false" ht="15.75" hidden="false" customHeight="false" outlineLevel="0" collapsed="false">
      <c r="A311" s="3" t="n">
        <v>310</v>
      </c>
      <c r="B311" s="4" t="n">
        <v>45577</v>
      </c>
      <c r="C311" s="23" t="n">
        <v>1.25</v>
      </c>
      <c r="D311" s="23" t="n">
        <v>0</v>
      </c>
      <c r="E311" s="23" t="n">
        <v>11.1</v>
      </c>
      <c r="F311" s="23" t="n">
        <v>17.98</v>
      </c>
      <c r="G311" s="23" t="n">
        <v>0</v>
      </c>
      <c r="H311" s="23" t="n">
        <f aca="false">((C311+D311+E311)-(F311-G311))</f>
        <v>-5.63</v>
      </c>
      <c r="I311" s="24" t="n">
        <f aca="false">ABS(IFERROR(H311/(F311-G311),H311/E311))</f>
        <v>0.313125695216908</v>
      </c>
    </row>
    <row r="312" customFormat="false" ht="15.75" hidden="false" customHeight="false" outlineLevel="0" collapsed="false">
      <c r="A312" s="3" t="n">
        <v>311</v>
      </c>
      <c r="B312" s="4" t="n">
        <v>45577</v>
      </c>
      <c r="C312" s="23" t="n">
        <v>1</v>
      </c>
      <c r="D312" s="23" t="n">
        <v>0</v>
      </c>
      <c r="E312" s="23" t="n">
        <v>11.66</v>
      </c>
      <c r="F312" s="23" t="n">
        <v>17.07</v>
      </c>
      <c r="G312" s="23" t="n">
        <v>0</v>
      </c>
      <c r="H312" s="23" t="n">
        <f aca="false">((C312+D312+E312)-(F312-G312))</f>
        <v>-4.41</v>
      </c>
      <c r="I312" s="24" t="n">
        <f aca="false">ABS(IFERROR(H312/(F312-G312),H312/E312))</f>
        <v>0.258347978910369</v>
      </c>
    </row>
    <row r="313" customFormat="false" ht="15.75" hidden="false" customHeight="false" outlineLevel="0" collapsed="false">
      <c r="A313" s="3" t="n">
        <v>312</v>
      </c>
      <c r="B313" s="4" t="n">
        <v>45577</v>
      </c>
      <c r="C313" s="23" t="n">
        <v>1</v>
      </c>
      <c r="D313" s="23" t="n">
        <v>0</v>
      </c>
      <c r="E313" s="23" t="n">
        <v>18.95</v>
      </c>
      <c r="F313" s="23" t="n">
        <v>26.6</v>
      </c>
      <c r="G313" s="23" t="n">
        <v>7.98</v>
      </c>
      <c r="H313" s="23" t="n">
        <f aca="false">((C313+D313+E313)-(F313-G313))</f>
        <v>1.33</v>
      </c>
      <c r="I313" s="24" t="n">
        <f aca="false">ABS(IFERROR(H313/(F313-G313),H313/E313))</f>
        <v>0.0714285714285713</v>
      </c>
    </row>
    <row r="314" customFormat="false" ht="15.75" hidden="false" customHeight="false" outlineLevel="0" collapsed="false">
      <c r="A314" s="3" t="n">
        <v>313</v>
      </c>
      <c r="B314" s="4" t="n">
        <v>45577</v>
      </c>
      <c r="C314" s="23" t="n">
        <v>1</v>
      </c>
      <c r="D314" s="23" t="n">
        <v>0</v>
      </c>
      <c r="E314" s="23" t="n">
        <v>12.51</v>
      </c>
      <c r="F314" s="23" t="n">
        <v>15.9</v>
      </c>
      <c r="G314" s="23" t="n">
        <v>0</v>
      </c>
      <c r="H314" s="23" t="n">
        <f aca="false">((C314+D314+E314)-(F314-G314))</f>
        <v>-2.39</v>
      </c>
      <c r="I314" s="24" t="n">
        <f aca="false">ABS(IFERROR(H314/(F314-G314),H314/E314))</f>
        <v>0.150314465408805</v>
      </c>
    </row>
    <row r="315" customFormat="false" ht="15.75" hidden="false" customHeight="false" outlineLevel="0" collapsed="false">
      <c r="A315" s="3" t="n">
        <v>314</v>
      </c>
      <c r="B315" s="4" t="n">
        <v>45581</v>
      </c>
      <c r="C315" s="23" t="n">
        <v>0</v>
      </c>
      <c r="D315" s="23" t="n">
        <v>0</v>
      </c>
      <c r="E315" s="23" t="n">
        <v>4.57</v>
      </c>
      <c r="F315" s="23" t="n">
        <v>0</v>
      </c>
      <c r="G315" s="23" t="n">
        <v>0</v>
      </c>
      <c r="H315" s="23" t="n">
        <f aca="false">((C315+D315+E315)-(F315-G315))</f>
        <v>4.57</v>
      </c>
      <c r="I315" s="24" t="n">
        <f aca="false">ABS(IFERROR(H315/(F315-G315),H315/E315))</f>
        <v>1</v>
      </c>
    </row>
    <row r="316" customFormat="false" ht="15.75" hidden="false" customHeight="false" outlineLevel="0" collapsed="false">
      <c r="A316" s="3" t="n">
        <v>315</v>
      </c>
      <c r="B316" s="4" t="n">
        <v>45581</v>
      </c>
      <c r="C316" s="23" t="n">
        <v>0</v>
      </c>
      <c r="D316" s="23" t="n">
        <v>0</v>
      </c>
      <c r="E316" s="23" t="n">
        <v>10.4</v>
      </c>
      <c r="F316" s="23" t="n">
        <v>12.13</v>
      </c>
      <c r="G316" s="23" t="n">
        <v>0.15</v>
      </c>
      <c r="H316" s="23" t="n">
        <f aca="false">((C316+D316+E316)-(F316-G316))</f>
        <v>-1.58</v>
      </c>
      <c r="I316" s="24" t="n">
        <f aca="false">ABS(IFERROR(H316/(F316-G316),H316/E316))</f>
        <v>0.131886477462437</v>
      </c>
    </row>
    <row r="317" customFormat="false" ht="15.75" hidden="false" customHeight="false" outlineLevel="0" collapsed="false">
      <c r="A317" s="3" t="n">
        <v>316</v>
      </c>
      <c r="B317" s="4" t="n">
        <v>45581</v>
      </c>
      <c r="C317" s="23" t="n">
        <v>0</v>
      </c>
      <c r="D317" s="23" t="n">
        <v>0</v>
      </c>
      <c r="E317" s="23" t="n">
        <v>12.59</v>
      </c>
      <c r="F317" s="23" t="n">
        <v>14.46</v>
      </c>
      <c r="G317" s="23" t="n">
        <v>7.53</v>
      </c>
      <c r="H317" s="23" t="n">
        <f aca="false">((C317+D317+E317)-(F317-G317))</f>
        <v>5.66</v>
      </c>
      <c r="I317" s="24" t="n">
        <f aca="false">ABS(IFERROR(H317/(F317-G317),H317/E317))</f>
        <v>0.816738816738817</v>
      </c>
    </row>
    <row r="318" customFormat="false" ht="15.75" hidden="false" customHeight="false" outlineLevel="0" collapsed="false">
      <c r="A318" s="3" t="n">
        <v>317</v>
      </c>
      <c r="B318" s="4" t="n">
        <v>45581</v>
      </c>
      <c r="C318" s="23" t="n">
        <v>0</v>
      </c>
      <c r="D318" s="23" t="n">
        <v>0</v>
      </c>
      <c r="E318" s="23" t="n">
        <v>6.98</v>
      </c>
      <c r="F318" s="23" t="n">
        <v>8.99</v>
      </c>
      <c r="G318" s="23" t="n">
        <v>4.14</v>
      </c>
      <c r="H318" s="23" t="n">
        <f aca="false">((C318+D318+E318)-(F318-G318))</f>
        <v>2.13</v>
      </c>
      <c r="I318" s="24" t="n">
        <f aca="false">ABS(IFERROR(H318/(F318-G318),H318/E318))</f>
        <v>0.439175257731959</v>
      </c>
    </row>
    <row r="319" customFormat="false" ht="15.75" hidden="false" customHeight="false" outlineLevel="0" collapsed="false">
      <c r="A319" s="3" t="n">
        <v>318</v>
      </c>
      <c r="B319" s="4" t="n">
        <v>45581</v>
      </c>
      <c r="C319" s="23" t="n">
        <v>0</v>
      </c>
      <c r="D319" s="23" t="n">
        <v>0</v>
      </c>
      <c r="E319" s="23" t="n">
        <v>10.96</v>
      </c>
      <c r="F319" s="23" t="n">
        <v>12.64</v>
      </c>
      <c r="G319" s="23" t="n">
        <v>1.71</v>
      </c>
      <c r="H319" s="23" t="n">
        <f aca="false">((C319+D319+E319)-(F319-G319))</f>
        <v>0.0300000000000011</v>
      </c>
      <c r="I319" s="24" t="n">
        <f aca="false">ABS(IFERROR(H319/(F319-G319),H319/E319))</f>
        <v>0.00274473924977138</v>
      </c>
    </row>
    <row r="320" customFormat="false" ht="15.75" hidden="false" customHeight="false" outlineLevel="0" collapsed="false">
      <c r="A320" s="3" t="n">
        <v>319</v>
      </c>
      <c r="B320" s="4" t="n">
        <v>45581</v>
      </c>
      <c r="C320" s="23" t="n">
        <v>3</v>
      </c>
      <c r="D320" s="23" t="n">
        <v>0</v>
      </c>
      <c r="E320" s="23" t="n">
        <v>10.6</v>
      </c>
      <c r="F320" s="23" t="n">
        <v>16.51</v>
      </c>
      <c r="G320" s="23" t="n">
        <v>0</v>
      </c>
      <c r="H320" s="23" t="n">
        <f aca="false">((C320+D320+E320)-(F320-G320))</f>
        <v>-2.91</v>
      </c>
      <c r="I320" s="24" t="n">
        <f aca="false">ABS(IFERROR(H320/(F320-G320),H320/E320))</f>
        <v>0.17625681405209</v>
      </c>
    </row>
    <row r="321" customFormat="false" ht="15.75" hidden="false" customHeight="false" outlineLevel="0" collapsed="false">
      <c r="A321" s="3" t="n">
        <v>320</v>
      </c>
      <c r="B321" s="4" t="n">
        <v>45582</v>
      </c>
      <c r="C321" s="23" t="n">
        <v>0</v>
      </c>
      <c r="D321" s="23" t="n">
        <v>0</v>
      </c>
      <c r="E321" s="23" t="n">
        <v>16.91</v>
      </c>
      <c r="F321" s="23" t="n">
        <v>22.75</v>
      </c>
      <c r="G321" s="23" t="n">
        <v>0</v>
      </c>
      <c r="H321" s="23" t="n">
        <f aca="false">((C321+D321+E321)-(F321-G321))</f>
        <v>-5.84</v>
      </c>
      <c r="I321" s="24" t="n">
        <f aca="false">ABS(IFERROR(H321/(F321-G321),H321/E321))</f>
        <v>0.256703296703297</v>
      </c>
    </row>
    <row r="322" customFormat="false" ht="15.75" hidden="false" customHeight="false" outlineLevel="0" collapsed="false">
      <c r="A322" s="3" t="n">
        <v>321</v>
      </c>
      <c r="B322" s="4" t="n">
        <v>45582</v>
      </c>
      <c r="C322" s="23" t="n">
        <v>0</v>
      </c>
      <c r="D322" s="23" t="n">
        <v>4</v>
      </c>
      <c r="E322" s="23" t="n">
        <v>15.59</v>
      </c>
      <c r="F322" s="23" t="n">
        <v>21.69</v>
      </c>
      <c r="G322" s="23" t="n">
        <v>6.73</v>
      </c>
      <c r="H322" s="23" t="n">
        <f aca="false">((C322+D322+E322)-(F322-G322))</f>
        <v>4.63</v>
      </c>
      <c r="I322" s="24" t="n">
        <f aca="false">ABS(IFERROR(H322/(F322-G322),H322/E322))</f>
        <v>0.309491978609626</v>
      </c>
    </row>
    <row r="323" customFormat="false" ht="15.75" hidden="false" customHeight="false" outlineLevel="0" collapsed="false">
      <c r="A323" s="3" t="n">
        <v>322</v>
      </c>
      <c r="B323" s="4" t="n">
        <v>45582</v>
      </c>
      <c r="C323" s="23" t="n">
        <v>0</v>
      </c>
      <c r="D323" s="23" t="n">
        <v>4</v>
      </c>
      <c r="E323" s="23" t="n">
        <v>6.98</v>
      </c>
      <c r="F323" s="23" t="n">
        <v>12.48</v>
      </c>
      <c r="G323" s="23" t="n">
        <v>2.54</v>
      </c>
      <c r="H323" s="23" t="n">
        <f aca="false">((C323+D323+E323)-(F323-G323))</f>
        <v>1.04</v>
      </c>
      <c r="I323" s="24" t="n">
        <f aca="false">ABS(IFERROR(H323/(F323-G323),H323/E323))</f>
        <v>0.104627766599597</v>
      </c>
    </row>
    <row r="324" customFormat="false" ht="15.75" hidden="false" customHeight="false" outlineLevel="0" collapsed="false">
      <c r="A324" s="3" t="n">
        <v>323</v>
      </c>
      <c r="B324" s="4" t="n">
        <v>45582</v>
      </c>
      <c r="C324" s="23" t="n">
        <v>0</v>
      </c>
      <c r="D324" s="23" t="n">
        <v>0</v>
      </c>
      <c r="E324" s="23" t="n">
        <v>8.22</v>
      </c>
      <c r="F324" s="23" t="n">
        <v>11.86</v>
      </c>
      <c r="G324" s="23" t="n">
        <v>1.19</v>
      </c>
      <c r="H324" s="23" t="n">
        <f aca="false">((C324+D324+E324)-(F324-G324))</f>
        <v>-2.45</v>
      </c>
      <c r="I324" s="24" t="n">
        <f aca="false">ABS(IFERROR(H324/(F324-G324),H324/E324))</f>
        <v>0.229615745079663</v>
      </c>
    </row>
    <row r="325" customFormat="false" ht="15.75" hidden="false" customHeight="false" outlineLevel="0" collapsed="false">
      <c r="A325" s="3" t="n">
        <v>324</v>
      </c>
      <c r="B325" s="4" t="n">
        <v>45583</v>
      </c>
      <c r="C325" s="23" t="n">
        <v>2.5</v>
      </c>
      <c r="D325" s="23" t="n">
        <v>5</v>
      </c>
      <c r="E325" s="23" t="n">
        <v>17.29</v>
      </c>
      <c r="F325" s="23" t="n">
        <v>27.72</v>
      </c>
      <c r="G325" s="23" t="n">
        <v>2.78</v>
      </c>
      <c r="H325" s="23" t="n">
        <f aca="false">((C325+D325+E325)-(F325-G325))</f>
        <v>-0.149999999999999</v>
      </c>
      <c r="I325" s="24" t="n">
        <f aca="false">ABS(IFERROR(H325/(F325-G325),H325/E325))</f>
        <v>0.00601443464314349</v>
      </c>
    </row>
    <row r="326" customFormat="false" ht="15.75" hidden="false" customHeight="false" outlineLevel="0" collapsed="false">
      <c r="A326" s="3" t="n">
        <v>325</v>
      </c>
      <c r="B326" s="4" t="n">
        <v>45583</v>
      </c>
      <c r="C326" s="23" t="n">
        <v>2.25</v>
      </c>
      <c r="D326" s="23" t="n">
        <v>0</v>
      </c>
      <c r="E326" s="23" t="n">
        <v>26.21</v>
      </c>
      <c r="F326" s="23" t="n">
        <v>31.58</v>
      </c>
      <c r="G326" s="23" t="n">
        <v>3.34</v>
      </c>
      <c r="H326" s="23" t="n">
        <f aca="false">((C326+D326+E326)-(F326-G326))</f>
        <v>0.220000000000002</v>
      </c>
      <c r="I326" s="24" t="n">
        <f aca="false">ABS(IFERROR(H326/(F326-G326),H326/E326))</f>
        <v>0.00779036827195476</v>
      </c>
    </row>
    <row r="327" customFormat="false" ht="15.75" hidden="false" customHeight="false" outlineLevel="0" collapsed="false">
      <c r="A327" s="3" t="n">
        <v>326</v>
      </c>
      <c r="B327" s="4" t="n">
        <v>45583</v>
      </c>
      <c r="C327" s="23" t="n">
        <v>1.25</v>
      </c>
      <c r="D327" s="23" t="n">
        <v>0</v>
      </c>
      <c r="E327" s="23" t="n">
        <v>8.5</v>
      </c>
      <c r="F327" s="23" t="n">
        <v>11.23</v>
      </c>
      <c r="G327" s="23" t="n">
        <v>2.24</v>
      </c>
      <c r="H327" s="23" t="n">
        <f aca="false">((C327+D327+E327)-(F327-G327))</f>
        <v>0.76</v>
      </c>
      <c r="I327" s="24" t="n">
        <f aca="false">ABS(IFERROR(H327/(F327-G327),H327/E327))</f>
        <v>0.0845383759733036</v>
      </c>
    </row>
    <row r="328" customFormat="false" ht="15.75" hidden="false" customHeight="false" outlineLevel="0" collapsed="false">
      <c r="A328" s="3" t="n">
        <v>327</v>
      </c>
      <c r="B328" s="4" t="n">
        <v>45584</v>
      </c>
      <c r="C328" s="23" t="n">
        <v>0</v>
      </c>
      <c r="D328" s="23" t="n">
        <v>4</v>
      </c>
      <c r="E328" s="23" t="n">
        <v>6.98</v>
      </c>
      <c r="F328" s="23" t="n">
        <v>12.49</v>
      </c>
      <c r="G328" s="23" t="n">
        <v>4.92</v>
      </c>
      <c r="H328" s="23" t="n">
        <f aca="false">((C328+D328+E328)-(F328-G328))</f>
        <v>3.41</v>
      </c>
      <c r="I328" s="24" t="n">
        <f aca="false">ABS(IFERROR(H328/(F328-G328),H328/E328))</f>
        <v>0.450462351387054</v>
      </c>
    </row>
    <row r="329" customFormat="false" ht="15.75" hidden="false" customHeight="false" outlineLevel="0" collapsed="false">
      <c r="A329" s="3" t="n">
        <v>328</v>
      </c>
      <c r="B329" s="4" t="n">
        <v>45584</v>
      </c>
      <c r="C329" s="23" t="n">
        <v>0</v>
      </c>
      <c r="D329" s="23" t="n">
        <v>4</v>
      </c>
      <c r="E329" s="23" t="n">
        <v>8.56</v>
      </c>
      <c r="F329" s="23" t="n">
        <v>14.37</v>
      </c>
      <c r="G329" s="23" t="n">
        <v>1.42</v>
      </c>
      <c r="H329" s="23" t="n">
        <f aca="false">((C329+D329+E329)-(F329-G329))</f>
        <v>-0.389999999999999</v>
      </c>
      <c r="I329" s="24" t="n">
        <f aca="false">ABS(IFERROR(H329/(F329-G329),H329/E329))</f>
        <v>0.03011583011583</v>
      </c>
    </row>
    <row r="330" customFormat="false" ht="15.75" hidden="false" customHeight="false" outlineLevel="0" collapsed="false">
      <c r="A330" s="3" t="n">
        <v>329</v>
      </c>
      <c r="B330" s="4" t="n">
        <v>45584</v>
      </c>
      <c r="C330" s="23" t="n">
        <v>0</v>
      </c>
      <c r="D330" s="23" t="n">
        <v>0</v>
      </c>
      <c r="E330" s="23" t="n">
        <v>19.69</v>
      </c>
      <c r="F330" s="23" t="n">
        <v>21.64</v>
      </c>
      <c r="G330" s="23" t="n">
        <v>1.68</v>
      </c>
      <c r="H330" s="23" t="n">
        <f aca="false">((C330+D330+E330)-(F330-G330))</f>
        <v>-0.27</v>
      </c>
      <c r="I330" s="24" t="n">
        <f aca="false">ABS(IFERROR(H330/(F330-G330),H330/E330))</f>
        <v>0.0135270541082164</v>
      </c>
    </row>
    <row r="331" customFormat="false" ht="15.75" hidden="false" customHeight="false" outlineLevel="0" collapsed="false">
      <c r="A331" s="3" t="n">
        <v>330</v>
      </c>
      <c r="B331" s="4" t="n">
        <v>45584</v>
      </c>
      <c r="C331" s="23" t="n">
        <v>0</v>
      </c>
      <c r="D331" s="23" t="n">
        <v>0</v>
      </c>
      <c r="E331" s="23" t="n">
        <v>7.7</v>
      </c>
      <c r="F331" s="23" t="n">
        <v>11.9</v>
      </c>
      <c r="G331" s="23" t="n">
        <v>0</v>
      </c>
      <c r="H331" s="23" t="n">
        <f aca="false">((C331+D331+E331)-(F331-G331))</f>
        <v>-4.2</v>
      </c>
      <c r="I331" s="24" t="n">
        <f aca="false">ABS(IFERROR(H331/(F331-G331),H331/E331))</f>
        <v>0.352941176470588</v>
      </c>
    </row>
    <row r="332" customFormat="false" ht="15.75" hidden="false" customHeight="false" outlineLevel="0" collapsed="false">
      <c r="A332" s="3" t="n">
        <v>331</v>
      </c>
      <c r="B332" s="4" t="n">
        <v>45584</v>
      </c>
      <c r="C332" s="23" t="n">
        <v>0</v>
      </c>
      <c r="D332" s="23" t="n">
        <v>0</v>
      </c>
      <c r="E332" s="23" t="n">
        <v>8.62</v>
      </c>
      <c r="F332" s="23" t="n">
        <v>10.22</v>
      </c>
      <c r="G332" s="23" t="n">
        <v>1.81</v>
      </c>
      <c r="H332" s="23" t="n">
        <f aca="false">((C332+D332+E332)-(F332-G332))</f>
        <v>0.209999999999999</v>
      </c>
      <c r="I332" s="24" t="n">
        <f aca="false">ABS(IFERROR(H332/(F332-G332),H332/E332))</f>
        <v>0.0249702734839476</v>
      </c>
    </row>
    <row r="333" customFormat="false" ht="15.75" hidden="false" customHeight="false" outlineLevel="0" collapsed="false">
      <c r="A333" s="3" t="n">
        <v>332</v>
      </c>
      <c r="B333" s="4" t="n">
        <v>45584</v>
      </c>
      <c r="C333" s="23" t="n">
        <v>0</v>
      </c>
      <c r="D333" s="23" t="n">
        <v>0</v>
      </c>
      <c r="E333" s="23" t="n">
        <v>2.03</v>
      </c>
      <c r="F333" s="23" t="n">
        <v>0</v>
      </c>
      <c r="G333" s="23" t="n">
        <v>0</v>
      </c>
      <c r="H333" s="23" t="n">
        <f aca="false">((C333+D333+E333)-(F333-G333))</f>
        <v>2.03</v>
      </c>
      <c r="I333" s="24" t="n">
        <f aca="false">ABS(IFERROR(H333/(F333-G333),H333/E333))</f>
        <v>1</v>
      </c>
    </row>
    <row r="334" customFormat="false" ht="15.75" hidden="false" customHeight="false" outlineLevel="0" collapsed="false">
      <c r="A334" s="3" t="n">
        <v>333</v>
      </c>
      <c r="B334" s="4" t="n">
        <v>45586</v>
      </c>
      <c r="C334" s="23" t="n">
        <v>1.75</v>
      </c>
      <c r="D334" s="23" t="n">
        <v>0</v>
      </c>
      <c r="E334" s="23" t="n">
        <v>20.2</v>
      </c>
      <c r="F334" s="23" t="n">
        <v>24.6</v>
      </c>
      <c r="G334" s="23" t="n">
        <v>4.65</v>
      </c>
      <c r="H334" s="23" t="n">
        <f aca="false">((C334+D334+E334)-(F334-G334))</f>
        <v>2</v>
      </c>
      <c r="I334" s="24" t="n">
        <f aca="false">ABS(IFERROR(H334/(F334-G334),H334/E334))</f>
        <v>0.100250626566416</v>
      </c>
    </row>
    <row r="335" customFormat="false" ht="15.75" hidden="false" customHeight="false" outlineLevel="0" collapsed="false">
      <c r="A335" s="3" t="n">
        <v>334</v>
      </c>
      <c r="B335" s="4" t="n">
        <v>45586</v>
      </c>
      <c r="C335" s="23" t="n">
        <v>1.25</v>
      </c>
      <c r="D335" s="23" t="n">
        <v>0</v>
      </c>
      <c r="E335" s="23" t="n">
        <v>15.43</v>
      </c>
      <c r="F335" s="23" t="n">
        <v>18.82</v>
      </c>
      <c r="G335" s="23" t="n">
        <v>2.87</v>
      </c>
      <c r="H335" s="23" t="n">
        <f aca="false">((C335+D335+E335)-(F335-G335))</f>
        <v>0.73</v>
      </c>
      <c r="I335" s="24" t="n">
        <f aca="false">ABS(IFERROR(H335/(F335-G335),H335/E335))</f>
        <v>0.0457680250783699</v>
      </c>
    </row>
    <row r="336" customFormat="false" ht="15.75" hidden="false" customHeight="false" outlineLevel="0" collapsed="false">
      <c r="A336" s="3" t="n">
        <v>335</v>
      </c>
      <c r="B336" s="4" t="n">
        <v>45586</v>
      </c>
      <c r="C336" s="23" t="n">
        <v>1</v>
      </c>
      <c r="D336" s="23" t="n">
        <v>0</v>
      </c>
      <c r="E336" s="23" t="n">
        <v>6.98</v>
      </c>
      <c r="F336" s="23" t="n">
        <v>9.45</v>
      </c>
      <c r="G336" s="23" t="n">
        <v>0.49</v>
      </c>
      <c r="H336" s="23" t="n">
        <f aca="false">((C336+D336+E336)-(F336-G336))</f>
        <v>-0.979999999999999</v>
      </c>
      <c r="I336" s="24" t="n">
        <f aca="false">ABS(IFERROR(H336/(F336-G336),H336/E336))</f>
        <v>0.109375</v>
      </c>
    </row>
    <row r="337" customFormat="false" ht="15.75" hidden="false" customHeight="false" outlineLevel="0" collapsed="false">
      <c r="A337" s="3" t="n">
        <v>336</v>
      </c>
      <c r="B337" s="4" t="n">
        <v>45586</v>
      </c>
      <c r="C337" s="23" t="n">
        <v>0</v>
      </c>
      <c r="D337" s="23" t="n">
        <v>0</v>
      </c>
      <c r="E337" s="23" t="n">
        <v>7.74</v>
      </c>
      <c r="F337" s="23" t="n">
        <v>9.18</v>
      </c>
      <c r="G337" s="23" t="n">
        <v>0.19</v>
      </c>
      <c r="H337" s="23" t="n">
        <f aca="false">((C337+D337+E337)-(F337-G337))</f>
        <v>-1.25</v>
      </c>
      <c r="I337" s="24" t="n">
        <f aca="false">ABS(IFERROR(H337/(F337-G337),H337/E337))</f>
        <v>0.139043381535039</v>
      </c>
    </row>
    <row r="338" customFormat="false" ht="15.75" hidden="false" customHeight="false" outlineLevel="0" collapsed="false">
      <c r="A338" s="3" t="n">
        <v>337</v>
      </c>
      <c r="B338" s="4" t="n">
        <v>45586</v>
      </c>
      <c r="C338" s="23" t="n">
        <v>0</v>
      </c>
      <c r="D338" s="23" t="n">
        <v>0</v>
      </c>
      <c r="E338" s="23" t="n">
        <v>9.16</v>
      </c>
      <c r="F338" s="23" t="n">
        <v>10.91</v>
      </c>
      <c r="G338" s="23" t="n">
        <v>0</v>
      </c>
      <c r="H338" s="23" t="n">
        <f aca="false">((C338+D338+E338)-(F338-G338))</f>
        <v>-1.75</v>
      </c>
      <c r="I338" s="24" t="n">
        <f aca="false">ABS(IFERROR(H338/(F338-G338),H338/E338))</f>
        <v>0.160403299725023</v>
      </c>
    </row>
    <row r="339" customFormat="false" ht="15.75" hidden="false" customHeight="false" outlineLevel="0" collapsed="false">
      <c r="A339" s="3" t="n">
        <v>338</v>
      </c>
      <c r="B339" s="4" t="n">
        <v>45586</v>
      </c>
      <c r="C339" s="23" t="n">
        <v>0</v>
      </c>
      <c r="D339" s="23" t="n">
        <v>0</v>
      </c>
      <c r="E339" s="23" t="n">
        <v>9.37</v>
      </c>
      <c r="F339" s="23" t="n">
        <v>12.92</v>
      </c>
      <c r="G339" s="23" t="n">
        <v>0</v>
      </c>
      <c r="H339" s="23" t="n">
        <f aca="false">((C339+D339+E339)-(F339-G339))</f>
        <v>-3.55</v>
      </c>
      <c r="I339" s="24" t="n">
        <f aca="false">ABS(IFERROR(H339/(F339-G339),H339/E339))</f>
        <v>0.274767801857585</v>
      </c>
    </row>
    <row r="340" customFormat="false" ht="15.75" hidden="false" customHeight="false" outlineLevel="0" collapsed="false">
      <c r="A340" s="3" t="n">
        <v>339</v>
      </c>
      <c r="B340" s="4" t="n">
        <v>45586</v>
      </c>
      <c r="C340" s="23" t="n">
        <v>3.65</v>
      </c>
      <c r="D340" s="23" t="n">
        <v>0</v>
      </c>
      <c r="E340" s="23" t="n">
        <v>7</v>
      </c>
      <c r="F340" s="23" t="n">
        <v>12.68</v>
      </c>
      <c r="G340" s="23" t="n">
        <v>0.72</v>
      </c>
      <c r="H340" s="23" t="n">
        <f aca="false">((C340+D340+E340)-(F340-G340))</f>
        <v>-1.31</v>
      </c>
      <c r="I340" s="24" t="n">
        <f aca="false">ABS(IFERROR(H340/(F340-G340),H340/E340))</f>
        <v>0.109531772575251</v>
      </c>
    </row>
    <row r="341" customFormat="false" ht="15.75" hidden="false" customHeight="false" outlineLevel="0" collapsed="false">
      <c r="A341" s="3" t="n">
        <v>340</v>
      </c>
      <c r="B341" s="4" t="n">
        <v>45587</v>
      </c>
      <c r="C341" s="23" t="n">
        <v>4.91</v>
      </c>
      <c r="D341" s="23" t="n">
        <v>0</v>
      </c>
      <c r="E341" s="23" t="n">
        <v>9.16</v>
      </c>
      <c r="F341" s="23" t="n">
        <v>16.47</v>
      </c>
      <c r="G341" s="23" t="n">
        <v>0</v>
      </c>
      <c r="H341" s="23" t="n">
        <f aca="false">((C341+D341+E341)-(F341-G341))</f>
        <v>-2.4</v>
      </c>
      <c r="I341" s="24" t="n">
        <f aca="false">ABS(IFERROR(H341/(F341-G341),H341/E341))</f>
        <v>0.145719489981785</v>
      </c>
    </row>
    <row r="342" customFormat="false" ht="15.75" hidden="false" customHeight="false" outlineLevel="0" collapsed="false">
      <c r="A342" s="3" t="n">
        <v>341</v>
      </c>
      <c r="B342" s="4" t="n">
        <v>45587</v>
      </c>
      <c r="C342" s="23" t="n">
        <v>1</v>
      </c>
      <c r="D342" s="23" t="n">
        <v>0</v>
      </c>
      <c r="E342" s="23" t="n">
        <v>9.49</v>
      </c>
      <c r="F342" s="23" t="n">
        <v>12.15</v>
      </c>
      <c r="G342" s="23" t="n">
        <v>1.17</v>
      </c>
      <c r="H342" s="23" t="n">
        <f aca="false">((C342+D342+E342)-(F342-G342))</f>
        <v>-0.49</v>
      </c>
      <c r="I342" s="24" t="n">
        <f aca="false">ABS(IFERROR(H342/(F342-G342),H342/E342))</f>
        <v>0.0446265938069217</v>
      </c>
    </row>
    <row r="343" customFormat="false" ht="15.75" hidden="false" customHeight="false" outlineLevel="0" collapsed="false">
      <c r="A343" s="3" t="n">
        <v>342</v>
      </c>
      <c r="B343" s="4" t="n">
        <v>45587</v>
      </c>
      <c r="C343" s="23" t="n">
        <v>0</v>
      </c>
      <c r="D343" s="23" t="n">
        <v>0</v>
      </c>
      <c r="E343" s="23" t="n">
        <v>21.9</v>
      </c>
      <c r="F343" s="23" t="n">
        <v>24.3</v>
      </c>
      <c r="G343" s="23" t="n">
        <v>3.36</v>
      </c>
      <c r="H343" s="23" t="n">
        <f aca="false">((C343+D343+E343)-(F343-G343))</f>
        <v>0.959999999999997</v>
      </c>
      <c r="I343" s="24" t="n">
        <f aca="false">ABS(IFERROR(H343/(F343-G343),H343/E343))</f>
        <v>0.0458452722063036</v>
      </c>
    </row>
    <row r="344" customFormat="false" ht="15.75" hidden="false" customHeight="false" outlineLevel="0" collapsed="false">
      <c r="A344" s="3" t="n">
        <v>343</v>
      </c>
      <c r="B344" s="4" t="n">
        <v>45587</v>
      </c>
      <c r="C344" s="23" t="n">
        <v>0</v>
      </c>
      <c r="D344" s="23" t="n">
        <v>0</v>
      </c>
      <c r="E344" s="23" t="n">
        <v>6.98</v>
      </c>
      <c r="F344" s="23" t="n">
        <v>8.94</v>
      </c>
      <c r="G344" s="23" t="n">
        <v>0</v>
      </c>
      <c r="H344" s="23" t="n">
        <f aca="false">((C344+D344+E344)-(F344-G344))</f>
        <v>-1.96</v>
      </c>
      <c r="I344" s="24" t="n">
        <f aca="false">ABS(IFERROR(H344/(F344-G344),H344/E344))</f>
        <v>0.21923937360179</v>
      </c>
    </row>
    <row r="345" customFormat="false" ht="15.75" hidden="false" customHeight="false" outlineLevel="0" collapsed="false">
      <c r="A345" s="3" t="n">
        <v>344</v>
      </c>
      <c r="B345" s="4" t="n">
        <v>45587</v>
      </c>
      <c r="C345" s="23" t="n">
        <v>1</v>
      </c>
      <c r="D345" s="23" t="n">
        <v>0</v>
      </c>
      <c r="E345" s="23" t="n">
        <v>6.98</v>
      </c>
      <c r="F345" s="23" t="n">
        <v>9.95</v>
      </c>
      <c r="G345" s="23" t="n">
        <v>0</v>
      </c>
      <c r="H345" s="23" t="n">
        <f aca="false">((C345+D345+E345)-(F345-G345))</f>
        <v>-1.97</v>
      </c>
      <c r="I345" s="24" t="n">
        <f aca="false">ABS(IFERROR(H345/(F345-G345),H345/E345))</f>
        <v>0.197989949748744</v>
      </c>
    </row>
    <row r="346" customFormat="false" ht="15.75" hidden="false" customHeight="false" outlineLevel="0" collapsed="false">
      <c r="A346" s="3" t="n">
        <v>345</v>
      </c>
      <c r="B346" s="4" t="n">
        <v>45587</v>
      </c>
      <c r="C346" s="23" t="n">
        <v>1</v>
      </c>
      <c r="D346" s="23" t="n">
        <v>0</v>
      </c>
      <c r="E346" s="23" t="n">
        <v>7.08</v>
      </c>
      <c r="F346" s="23" t="n">
        <v>10.06</v>
      </c>
      <c r="G346" s="23" t="n">
        <v>0</v>
      </c>
      <c r="H346" s="23" t="n">
        <f aca="false">((C346+D346+E346)-(F346-G346))</f>
        <v>-1.98</v>
      </c>
      <c r="I346" s="24" t="n">
        <f aca="false">ABS(IFERROR(H346/(F346-G346),H346/E346))</f>
        <v>0.196819085487078</v>
      </c>
    </row>
    <row r="347" customFormat="false" ht="15.75" hidden="false" customHeight="false" outlineLevel="0" collapsed="false">
      <c r="A347" s="3" t="n">
        <v>346</v>
      </c>
      <c r="B347" s="4" t="n">
        <v>45587</v>
      </c>
      <c r="C347" s="23" t="n">
        <v>1</v>
      </c>
      <c r="D347" s="23" t="n">
        <v>0</v>
      </c>
      <c r="E347" s="23" t="n">
        <v>19.83</v>
      </c>
      <c r="F347" s="23" t="n">
        <v>23.51</v>
      </c>
      <c r="G347" s="23" t="n">
        <v>4.86</v>
      </c>
      <c r="H347" s="23" t="n">
        <f aca="false">((C347+D347+E347)-(F347-G347))</f>
        <v>2.18</v>
      </c>
      <c r="I347" s="24" t="n">
        <f aca="false">ABS(IFERROR(H347/(F347-G347),H347/E347))</f>
        <v>0.116890080428954</v>
      </c>
    </row>
    <row r="348" customFormat="false" ht="15.75" hidden="false" customHeight="false" outlineLevel="0" collapsed="false">
      <c r="A348" s="3" t="n">
        <v>347</v>
      </c>
      <c r="B348" s="4" t="n">
        <v>45590</v>
      </c>
      <c r="C348" s="23" t="n">
        <v>0</v>
      </c>
      <c r="D348" s="23" t="n">
        <v>6</v>
      </c>
      <c r="E348" s="23" t="n">
        <v>7.78</v>
      </c>
      <c r="F348" s="23" t="n">
        <v>15.29</v>
      </c>
      <c r="G348" s="23" t="n">
        <v>5.35</v>
      </c>
      <c r="H348" s="23" t="n">
        <f aca="false">((C348+D348+E348)-(F348-G348))</f>
        <v>3.84</v>
      </c>
      <c r="I348" s="24" t="n">
        <f aca="false">ABS(IFERROR(H348/(F348-G348),H348/E348))</f>
        <v>0.386317907444668</v>
      </c>
    </row>
    <row r="349" customFormat="false" ht="15.75" hidden="false" customHeight="false" outlineLevel="0" collapsed="false">
      <c r="A349" s="3" t="n">
        <v>348</v>
      </c>
      <c r="B349" s="4" t="n">
        <v>45590</v>
      </c>
      <c r="C349" s="23" t="n">
        <v>0</v>
      </c>
      <c r="D349" s="23" t="n">
        <v>6</v>
      </c>
      <c r="E349" s="23" t="n">
        <v>15.46</v>
      </c>
      <c r="F349" s="23" t="n">
        <v>23.8</v>
      </c>
      <c r="G349" s="23" t="n">
        <v>2.88</v>
      </c>
      <c r="H349" s="23" t="n">
        <f aca="false">((C349+D349+E349)-(F349-G349))</f>
        <v>0.539999999999999</v>
      </c>
      <c r="I349" s="24" t="n">
        <f aca="false">ABS(IFERROR(H349/(F349-G349),H349/E349))</f>
        <v>0.025812619502868</v>
      </c>
    </row>
    <row r="350" customFormat="false" ht="15.75" hidden="false" customHeight="false" outlineLevel="0" collapsed="false">
      <c r="A350" s="3" t="n">
        <v>349</v>
      </c>
      <c r="B350" s="4" t="n">
        <v>45590</v>
      </c>
      <c r="C350" s="23" t="n">
        <v>1.75</v>
      </c>
      <c r="D350" s="23" t="n">
        <v>0</v>
      </c>
      <c r="E350" s="23" t="n">
        <v>24.18</v>
      </c>
      <c r="F350" s="23" t="n">
        <v>30.33</v>
      </c>
      <c r="G350" s="23" t="n">
        <v>1.27</v>
      </c>
      <c r="H350" s="23" t="n">
        <f aca="false">((C350+D350+E350)-(F350-G350))</f>
        <v>-3.13</v>
      </c>
      <c r="I350" s="24" t="n">
        <f aca="false">ABS(IFERROR(H350/(F350-G350),H350/E350))</f>
        <v>0.107708189951824</v>
      </c>
    </row>
    <row r="351" customFormat="false" ht="15.75" hidden="false" customHeight="false" outlineLevel="0" collapsed="false">
      <c r="A351" s="3" t="n">
        <v>350</v>
      </c>
      <c r="B351" s="4" t="n">
        <v>45593</v>
      </c>
      <c r="C351" s="23" t="n">
        <v>0</v>
      </c>
      <c r="D351" s="23" t="n">
        <v>0</v>
      </c>
      <c r="E351" s="23" t="n">
        <v>6.98</v>
      </c>
      <c r="F351" s="23" t="n">
        <v>8.41</v>
      </c>
      <c r="G351" s="23" t="n">
        <v>0.47</v>
      </c>
      <c r="H351" s="23" t="n">
        <f aca="false">((C351+D351+E351)-(F351-G351))</f>
        <v>-0.96</v>
      </c>
      <c r="I351" s="24" t="n">
        <f aca="false">ABS(IFERROR(H351/(F351-G351),H351/E351))</f>
        <v>0.120906801007557</v>
      </c>
    </row>
    <row r="352" customFormat="false" ht="15.75" hidden="false" customHeight="false" outlineLevel="0" collapsed="false">
      <c r="A352" s="3" t="n">
        <v>351</v>
      </c>
      <c r="B352" s="4" t="n">
        <v>45593</v>
      </c>
      <c r="C352" s="23" t="n">
        <v>0</v>
      </c>
      <c r="D352" s="23" t="n">
        <v>0</v>
      </c>
      <c r="E352" s="23" t="n">
        <v>16.38</v>
      </c>
      <c r="F352" s="23" t="n">
        <v>18.54</v>
      </c>
      <c r="G352" s="23" t="n">
        <v>1.63</v>
      </c>
      <c r="H352" s="23" t="n">
        <f aca="false">((C352+D352+E352)-(F352-G352))</f>
        <v>-0.530000000000001</v>
      </c>
      <c r="I352" s="24" t="n">
        <f aca="false">ABS(IFERROR(H352/(F352-G352),H352/E352))</f>
        <v>0.0313424009461858</v>
      </c>
    </row>
    <row r="353" customFormat="false" ht="15.75" hidden="false" customHeight="false" outlineLevel="0" collapsed="false">
      <c r="A353" s="3" t="n">
        <v>352</v>
      </c>
      <c r="B353" s="4" t="n">
        <v>45593</v>
      </c>
      <c r="C353" s="23" t="n">
        <v>0</v>
      </c>
      <c r="D353" s="23" t="n">
        <v>0</v>
      </c>
      <c r="E353" s="23" t="n">
        <v>6.98</v>
      </c>
      <c r="F353" s="23" t="n">
        <v>9.9</v>
      </c>
      <c r="G353" s="23" t="n">
        <v>0</v>
      </c>
      <c r="H353" s="23" t="n">
        <f aca="false">((C353+D353+E353)-(F353-G353))</f>
        <v>-2.92</v>
      </c>
      <c r="I353" s="24" t="n">
        <f aca="false">ABS(IFERROR(H353/(F353-G353),H353/E353))</f>
        <v>0.294949494949495</v>
      </c>
    </row>
    <row r="354" customFormat="false" ht="15.75" hidden="false" customHeight="false" outlineLevel="0" collapsed="false">
      <c r="A354" s="3" t="n">
        <v>353</v>
      </c>
      <c r="B354" s="4" t="n">
        <v>45593</v>
      </c>
      <c r="C354" s="23" t="n">
        <v>0</v>
      </c>
      <c r="D354" s="23" t="n">
        <v>0</v>
      </c>
      <c r="E354" s="23" t="n">
        <v>6.98</v>
      </c>
      <c r="F354" s="23" t="n">
        <v>8.97</v>
      </c>
      <c r="G354" s="23" t="n">
        <v>0</v>
      </c>
      <c r="H354" s="23" t="n">
        <f aca="false">((C354+D354+E354)-(F354-G354))</f>
        <v>-1.99</v>
      </c>
      <c r="I354" s="24" t="n">
        <f aca="false">ABS(IFERROR(H354/(F354-G354),H354/E354))</f>
        <v>0.221850613154961</v>
      </c>
    </row>
    <row r="355" customFormat="false" ht="15.75" hidden="false" customHeight="false" outlineLevel="0" collapsed="false">
      <c r="A355" s="3" t="n">
        <v>354</v>
      </c>
      <c r="B355" s="4" t="n">
        <v>45593</v>
      </c>
      <c r="C355" s="23" t="n">
        <v>0</v>
      </c>
      <c r="D355" s="23" t="n">
        <v>0</v>
      </c>
      <c r="E355" s="23" t="n">
        <v>6.98</v>
      </c>
      <c r="F355" s="23" t="n">
        <v>8.96</v>
      </c>
      <c r="G355" s="23" t="n">
        <v>0</v>
      </c>
      <c r="H355" s="23" t="n">
        <f aca="false">((C355+D355+E355)-(F355-G355))</f>
        <v>-1.98</v>
      </c>
      <c r="I355" s="24" t="n">
        <f aca="false">ABS(IFERROR(H355/(F355-G355),H355/E355))</f>
        <v>0.220982142857143</v>
      </c>
    </row>
    <row r="356" customFormat="false" ht="15.75" hidden="false" customHeight="false" outlineLevel="0" collapsed="false">
      <c r="A356" s="3" t="n">
        <v>355</v>
      </c>
      <c r="B356" s="4" t="n">
        <v>45593</v>
      </c>
      <c r="C356" s="23" t="n">
        <v>0</v>
      </c>
      <c r="D356" s="23" t="n">
        <v>0</v>
      </c>
      <c r="E356" s="23" t="n">
        <v>6.98</v>
      </c>
      <c r="F356" s="23" t="n">
        <v>8.42</v>
      </c>
      <c r="G356" s="23" t="n">
        <v>0.49</v>
      </c>
      <c r="H356" s="23" t="n">
        <f aca="false">((C356+D356+E356)-(F356-G356))</f>
        <v>-0.949999999999999</v>
      </c>
      <c r="I356" s="24" t="n">
        <f aca="false">ABS(IFERROR(H356/(F356-G356),H356/E356))</f>
        <v>0.119798234552333</v>
      </c>
    </row>
    <row r="357" customFormat="false" ht="15.75" hidden="false" customHeight="false" outlineLevel="0" collapsed="false">
      <c r="A357" s="3" t="n">
        <v>356</v>
      </c>
      <c r="B357" s="4" t="n">
        <v>45593</v>
      </c>
      <c r="C357" s="23" t="n">
        <v>0</v>
      </c>
      <c r="D357" s="23" t="n">
        <v>0</v>
      </c>
      <c r="E357" s="23" t="n">
        <v>15.55</v>
      </c>
      <c r="F357" s="23" t="n">
        <v>22.94</v>
      </c>
      <c r="G357" s="23" t="n">
        <v>0</v>
      </c>
      <c r="H357" s="23" t="n">
        <f aca="false">((C357+D357+E357)-(F357-G357))</f>
        <v>-7.39</v>
      </c>
      <c r="I357" s="24" t="n">
        <f aca="false">ABS(IFERROR(H357/(F357-G357),H357/E357))</f>
        <v>0.322144725370532</v>
      </c>
    </row>
    <row r="358" customFormat="false" ht="15.75" hidden="false" customHeight="false" outlineLevel="0" collapsed="false">
      <c r="A358" s="3" t="n">
        <v>357</v>
      </c>
      <c r="B358" s="4" t="n">
        <v>45593</v>
      </c>
      <c r="C358" s="23" t="n">
        <v>0</v>
      </c>
      <c r="D358" s="23" t="n">
        <v>0</v>
      </c>
      <c r="E358" s="23" t="n">
        <v>23.07</v>
      </c>
      <c r="F358" s="23" t="n">
        <v>25.82</v>
      </c>
      <c r="G358" s="23" t="n">
        <v>3.91</v>
      </c>
      <c r="H358" s="23" t="n">
        <f aca="false">((C358+D358+E358)-(F358-G358))</f>
        <v>1.16</v>
      </c>
      <c r="I358" s="24" t="n">
        <f aca="false">ABS(IFERROR(H358/(F358-G358),H358/E358))</f>
        <v>0.0529438612505705</v>
      </c>
    </row>
    <row r="359" customFormat="false" ht="15.75" hidden="false" customHeight="false" outlineLevel="0" collapsed="false">
      <c r="A359" s="3" t="n">
        <v>358</v>
      </c>
      <c r="B359" s="4" t="n">
        <v>45593</v>
      </c>
      <c r="C359" s="23" t="n">
        <v>0</v>
      </c>
      <c r="D359" s="23" t="n">
        <v>0</v>
      </c>
      <c r="E359" s="23" t="n">
        <v>8.32</v>
      </c>
      <c r="F359" s="23" t="n">
        <v>9.88</v>
      </c>
      <c r="G359" s="23" t="n">
        <v>1.7</v>
      </c>
      <c r="H359" s="23" t="n">
        <f aca="false">((C359+D359+E359)-(F359-G359))</f>
        <v>0.139999999999999</v>
      </c>
      <c r="I359" s="24" t="n">
        <f aca="false">ABS(IFERROR(H359/(F359-G359),H359/E359))</f>
        <v>0.0171149144254277</v>
      </c>
    </row>
    <row r="360" customFormat="false" ht="15.75" hidden="false" customHeight="false" outlineLevel="0" collapsed="false">
      <c r="A360" s="3" t="n">
        <v>359</v>
      </c>
      <c r="B360" s="4" t="n">
        <v>45595</v>
      </c>
      <c r="C360" s="23" t="n">
        <v>0</v>
      </c>
      <c r="D360" s="23" t="n">
        <v>0</v>
      </c>
      <c r="E360" s="23" t="n">
        <v>16.37</v>
      </c>
      <c r="F360" s="23" t="n">
        <v>18.38</v>
      </c>
      <c r="G360" s="23" t="n">
        <v>4.46</v>
      </c>
      <c r="H360" s="23" t="n">
        <f aca="false">((C360+D360+E360)-(F360-G360))</f>
        <v>2.45</v>
      </c>
      <c r="I360" s="24" t="n">
        <f aca="false">ABS(IFERROR(H360/(F360-G360),H360/E360))</f>
        <v>0.176005747126437</v>
      </c>
    </row>
    <row r="361" customFormat="false" ht="15.75" hidden="false" customHeight="false" outlineLevel="0" collapsed="false">
      <c r="A361" s="3" t="n">
        <v>360</v>
      </c>
      <c r="B361" s="4" t="n">
        <v>45595</v>
      </c>
      <c r="C361" s="23" t="n">
        <v>0</v>
      </c>
      <c r="D361" s="23" t="n">
        <v>0</v>
      </c>
      <c r="E361" s="23" t="n">
        <v>6.98</v>
      </c>
      <c r="F361" s="23" t="n">
        <v>10.95</v>
      </c>
      <c r="G361" s="23" t="n">
        <v>0</v>
      </c>
      <c r="H361" s="23" t="n">
        <f aca="false">((C361+D361+E361)-(F361-G361))</f>
        <v>-3.97</v>
      </c>
      <c r="I361" s="24" t="n">
        <f aca="false">ABS(IFERROR(H361/(F361-G361),H361/E361))</f>
        <v>0.362557077625571</v>
      </c>
    </row>
    <row r="362" customFormat="false" ht="15.75" hidden="false" customHeight="false" outlineLevel="0" collapsed="false">
      <c r="A362" s="3" t="n">
        <v>361</v>
      </c>
      <c r="B362" s="4" t="n">
        <v>45595</v>
      </c>
      <c r="C362" s="23" t="n">
        <v>0</v>
      </c>
      <c r="D362" s="23" t="n">
        <v>0</v>
      </c>
      <c r="E362" s="23" t="n">
        <v>26.27</v>
      </c>
      <c r="F362" s="23" t="n">
        <v>29.21</v>
      </c>
      <c r="G362" s="23" t="n">
        <v>11.64</v>
      </c>
      <c r="H362" s="23" t="n">
        <f aca="false">((C362+D362+E362)-(F362-G362))</f>
        <v>8.7</v>
      </c>
      <c r="I362" s="24" t="n">
        <f aca="false">ABS(IFERROR(H362/(F362-G362),H362/E362))</f>
        <v>0.495162208309619</v>
      </c>
    </row>
    <row r="363" customFormat="false" ht="15.75" hidden="false" customHeight="false" outlineLevel="0" collapsed="false">
      <c r="A363" s="3" t="n">
        <v>362</v>
      </c>
      <c r="B363" s="4" t="n">
        <v>45595</v>
      </c>
      <c r="C363" s="23" t="n">
        <v>1</v>
      </c>
      <c r="D363" s="23" t="n">
        <v>0</v>
      </c>
      <c r="E363" s="23" t="n">
        <v>27.81</v>
      </c>
      <c r="F363" s="23" t="n">
        <v>43.94</v>
      </c>
      <c r="G363" s="23" t="n">
        <v>0</v>
      </c>
      <c r="H363" s="23" t="n">
        <f aca="false">((C363+D363+E363)-(F363-G363))</f>
        <v>-15.13</v>
      </c>
      <c r="I363" s="24" t="n">
        <f aca="false">ABS(IFERROR(H363/(F363-G363),H363/E363))</f>
        <v>0.344333181611288</v>
      </c>
    </row>
    <row r="364" customFormat="false" ht="15.75" hidden="false" customHeight="false" outlineLevel="0" collapsed="false">
      <c r="A364" s="3" t="n">
        <v>363</v>
      </c>
      <c r="B364" s="4" t="n">
        <v>45595</v>
      </c>
      <c r="C364" s="23" t="n">
        <v>0</v>
      </c>
      <c r="D364" s="23" t="n">
        <v>0</v>
      </c>
      <c r="E364" s="23" t="n">
        <v>4.57</v>
      </c>
      <c r="F364" s="23" t="n">
        <v>5.25</v>
      </c>
      <c r="G364" s="23" t="n">
        <v>0</v>
      </c>
      <c r="H364" s="23" t="n">
        <f aca="false">((C364+D364+E364)-(F364-G364))</f>
        <v>-0.68</v>
      </c>
      <c r="I364" s="24" t="n">
        <f aca="false">ABS(IFERROR(H364/(F364-G364),H364/E364))</f>
        <v>0.129523809523809</v>
      </c>
    </row>
    <row r="365" customFormat="false" ht="15.75" hidden="false" customHeight="false" outlineLevel="0" collapsed="false">
      <c r="A365" s="3" t="n">
        <v>364</v>
      </c>
      <c r="B365" s="4" t="n">
        <v>45595</v>
      </c>
      <c r="C365" s="23" t="n">
        <v>1.25</v>
      </c>
      <c r="D365" s="23" t="n">
        <v>0</v>
      </c>
      <c r="E365" s="23" t="n">
        <v>18.49</v>
      </c>
      <c r="F365" s="23" t="n">
        <v>21.88</v>
      </c>
      <c r="G365" s="23" t="n">
        <v>5.93</v>
      </c>
      <c r="H365" s="23" t="n">
        <f aca="false">((C365+D365+E365)-(F365-G365))</f>
        <v>3.79</v>
      </c>
      <c r="I365" s="24" t="n">
        <f aca="false">ABS(IFERROR(H365/(F365-G365),H365/E365))</f>
        <v>0.237617554858934</v>
      </c>
    </row>
    <row r="366" customFormat="false" ht="15.75" hidden="false" customHeight="false" outlineLevel="0" collapsed="false">
      <c r="A366" s="3" t="n">
        <v>365</v>
      </c>
      <c r="B366" s="4" t="n">
        <v>45596</v>
      </c>
      <c r="C366" s="23" t="n">
        <v>0</v>
      </c>
      <c r="D366" s="23" t="n">
        <v>0</v>
      </c>
      <c r="E366" s="23" t="n">
        <v>6.98</v>
      </c>
      <c r="F366" s="23" t="n">
        <v>8.92</v>
      </c>
      <c r="G366" s="23" t="n">
        <v>0</v>
      </c>
      <c r="H366" s="23" t="n">
        <f aca="false">((C366+D366+E366)-(F366-G366))</f>
        <v>-1.94</v>
      </c>
      <c r="I366" s="24" t="n">
        <f aca="false">ABS(IFERROR(H366/(F366-G366),H366/E366))</f>
        <v>0.217488789237668</v>
      </c>
    </row>
    <row r="367" customFormat="false" ht="15.75" hidden="false" customHeight="false" outlineLevel="0" collapsed="false">
      <c r="A367" s="3" t="n">
        <v>366</v>
      </c>
      <c r="B367" s="4" t="n">
        <v>45596</v>
      </c>
      <c r="C367" s="23" t="n">
        <v>0</v>
      </c>
      <c r="D367" s="23" t="n">
        <v>0</v>
      </c>
      <c r="E367" s="23" t="n">
        <v>20.43</v>
      </c>
      <c r="F367" s="23" t="n">
        <v>2</v>
      </c>
      <c r="G367" s="23" t="n">
        <v>0</v>
      </c>
      <c r="H367" s="23" t="n">
        <f aca="false">((C367+D367+E367)-(F367-G367))</f>
        <v>18.43</v>
      </c>
      <c r="I367" s="24" t="n">
        <f aca="false">ABS(IFERROR(H367/(F367-G367),H367/E367))</f>
        <v>9.215</v>
      </c>
    </row>
    <row r="368" customFormat="false" ht="15.75" hidden="false" customHeight="false" outlineLevel="0" collapsed="false">
      <c r="A368" s="3" t="n">
        <v>367</v>
      </c>
      <c r="B368" s="4" t="n">
        <v>45596</v>
      </c>
      <c r="C368" s="23" t="n">
        <v>0</v>
      </c>
      <c r="D368" s="23" t="n">
        <v>6</v>
      </c>
      <c r="E368" s="23" t="n">
        <v>14.53</v>
      </c>
      <c r="F368" s="23" t="n">
        <v>22.76</v>
      </c>
      <c r="G368" s="23" t="n">
        <v>5.99</v>
      </c>
      <c r="H368" s="23" t="n">
        <f aca="false">((C368+D368+E368)-(F368-G368))</f>
        <v>3.76</v>
      </c>
      <c r="I368" s="24" t="n">
        <f aca="false">ABS(IFERROR(H368/(F368-G368),H368/E368))</f>
        <v>0.224209898628503</v>
      </c>
    </row>
    <row r="369" customFormat="false" ht="15.75" hidden="false" customHeight="false" outlineLevel="0" collapsed="false">
      <c r="A369" s="3" t="n">
        <v>368</v>
      </c>
      <c r="B369" s="4" t="n">
        <v>45596</v>
      </c>
      <c r="C369" s="23" t="n">
        <v>0</v>
      </c>
      <c r="D369" s="23" t="n">
        <v>6</v>
      </c>
      <c r="E369" s="23" t="n">
        <v>10.47</v>
      </c>
      <c r="F369" s="23" t="n">
        <v>18.3</v>
      </c>
      <c r="G369" s="23" t="n">
        <v>5.38</v>
      </c>
      <c r="H369" s="23" t="n">
        <f aca="false">((C369+D369+E369)-(F369-G369))</f>
        <v>3.55</v>
      </c>
      <c r="I369" s="24" t="n">
        <f aca="false">ABS(IFERROR(H369/(F369-G369),H369/E369))</f>
        <v>0.274767801857585</v>
      </c>
    </row>
    <row r="370" customFormat="false" ht="15.75" hidden="false" customHeight="false" outlineLevel="0" collapsed="false">
      <c r="A370" s="3" t="n">
        <v>369</v>
      </c>
      <c r="B370" s="4" t="n">
        <v>45596</v>
      </c>
      <c r="C370" s="23" t="n">
        <v>0</v>
      </c>
      <c r="D370" s="23" t="n">
        <v>6</v>
      </c>
      <c r="E370" s="23" t="n">
        <v>12.64</v>
      </c>
      <c r="F370" s="23" t="n">
        <v>20.61</v>
      </c>
      <c r="G370" s="23" t="n">
        <v>5.62</v>
      </c>
      <c r="H370" s="23" t="n">
        <f aca="false">((C370+D370+E370)-(F370-G370))</f>
        <v>3.65</v>
      </c>
      <c r="I370" s="24" t="n">
        <f aca="false">ABS(IFERROR(H370/(F370-G370),H370/E370))</f>
        <v>0.243495663775851</v>
      </c>
    </row>
    <row r="371" customFormat="false" ht="15.75" hidden="false" customHeight="false" outlineLevel="0" collapsed="false">
      <c r="A371" s="3" t="n">
        <v>370</v>
      </c>
      <c r="B371" s="4" t="n">
        <v>45597</v>
      </c>
      <c r="C371" s="23" t="n">
        <v>0</v>
      </c>
      <c r="D371" s="23" t="n">
        <v>7</v>
      </c>
      <c r="E371" s="23" t="n">
        <v>22.3</v>
      </c>
      <c r="F371" s="23" t="n">
        <v>32.28</v>
      </c>
      <c r="G371" s="23" t="n">
        <v>13.39</v>
      </c>
      <c r="H371" s="23" t="n">
        <f aca="false">((C371+D371+E371)-(F371-G371))</f>
        <v>10.41</v>
      </c>
      <c r="I371" s="24" t="n">
        <f aca="false">ABS(IFERROR(H371/(F371-G371),H371/E371))</f>
        <v>0.551085230280572</v>
      </c>
    </row>
    <row r="372" customFormat="false" ht="15.75" hidden="false" customHeight="false" outlineLevel="0" collapsed="false">
      <c r="A372" s="3" t="n">
        <v>371</v>
      </c>
      <c r="B372" s="4" t="n">
        <v>45597</v>
      </c>
      <c r="C372" s="23" t="n">
        <v>3</v>
      </c>
      <c r="D372" s="23" t="n">
        <v>0</v>
      </c>
      <c r="E372" s="23" t="n">
        <v>6.99</v>
      </c>
      <c r="F372" s="23" t="n">
        <v>11.3</v>
      </c>
      <c r="G372" s="23" t="n">
        <v>4.89</v>
      </c>
      <c r="H372" s="23" t="n">
        <f aca="false">((C372+D372+E372)-(F372-G372))</f>
        <v>3.58</v>
      </c>
      <c r="I372" s="24" t="n">
        <f aca="false">ABS(IFERROR(H372/(F372-G372),H372/E372))</f>
        <v>0.558502340093604</v>
      </c>
    </row>
    <row r="373" customFormat="false" ht="15.75" hidden="false" customHeight="false" outlineLevel="0" collapsed="false">
      <c r="A373" s="3" t="n">
        <v>372</v>
      </c>
      <c r="B373" s="4" t="n">
        <v>45597</v>
      </c>
      <c r="C373" s="23" t="n">
        <v>2.5</v>
      </c>
      <c r="D373" s="23" t="n">
        <v>0</v>
      </c>
      <c r="E373" s="23" t="n">
        <v>7.94</v>
      </c>
      <c r="F373" s="23" t="n">
        <v>12.1</v>
      </c>
      <c r="G373" s="23" t="n">
        <v>1.17</v>
      </c>
      <c r="H373" s="23" t="n">
        <f aca="false">((C373+D373+E373)-(F373-G373))</f>
        <v>-0.489999999999998</v>
      </c>
      <c r="I373" s="24" t="n">
        <f aca="false">ABS(IFERROR(H373/(F373-G373),H373/E373))</f>
        <v>0.0448307410795973</v>
      </c>
    </row>
    <row r="374" customFormat="false" ht="15.75" hidden="false" customHeight="false" outlineLevel="0" collapsed="false">
      <c r="A374" s="3" t="n">
        <v>373</v>
      </c>
      <c r="B374" s="4" t="n">
        <v>45597</v>
      </c>
      <c r="C374" s="23" t="n">
        <v>2.25</v>
      </c>
      <c r="D374" s="23" t="n">
        <v>0</v>
      </c>
      <c r="E374" s="23" t="n">
        <v>6.99</v>
      </c>
      <c r="F374" s="23" t="n">
        <v>13.98</v>
      </c>
      <c r="G374" s="23" t="n">
        <v>0</v>
      </c>
      <c r="H374" s="23" t="n">
        <f aca="false">((C374+D374+E374)-(F374-G374))</f>
        <v>-4.74</v>
      </c>
      <c r="I374" s="24" t="n">
        <f aca="false">ABS(IFERROR(H374/(F374-G374),H374/E374))</f>
        <v>0.339055793991416</v>
      </c>
    </row>
    <row r="375" customFormat="false" ht="15.75" hidden="false" customHeight="false" outlineLevel="0" collapsed="false">
      <c r="A375" s="3" t="n">
        <v>374</v>
      </c>
      <c r="B375" s="4" t="n">
        <v>45598</v>
      </c>
      <c r="C375" s="23" t="n">
        <v>0</v>
      </c>
      <c r="D375" s="23" t="n">
        <v>0</v>
      </c>
      <c r="E375" s="23" t="n">
        <v>6.98</v>
      </c>
      <c r="F375" s="23" t="n">
        <v>8.93</v>
      </c>
      <c r="G375" s="23" t="n">
        <v>0</v>
      </c>
      <c r="H375" s="23" t="n">
        <f aca="false">((C375+D375+E375)-(F375-G375))</f>
        <v>-1.95</v>
      </c>
      <c r="I375" s="24" t="n">
        <f aca="false">ABS(IFERROR(H375/(F375-G375),H375/E375))</f>
        <v>0.218365061590146</v>
      </c>
    </row>
    <row r="376" customFormat="false" ht="15.75" hidden="false" customHeight="false" outlineLevel="0" collapsed="false">
      <c r="A376" s="3" t="n">
        <v>375</v>
      </c>
      <c r="B376" s="4" t="n">
        <v>45598</v>
      </c>
      <c r="C376" s="23" t="n">
        <v>0</v>
      </c>
      <c r="D376" s="23" t="n">
        <v>0</v>
      </c>
      <c r="E376" s="23" t="n">
        <v>12.76</v>
      </c>
      <c r="F376" s="23" t="n">
        <v>14.98</v>
      </c>
      <c r="G376" s="23" t="n">
        <v>0</v>
      </c>
      <c r="H376" s="23" t="n">
        <f aca="false">((C376+D376+E376)-(F376-G376))</f>
        <v>-2.22</v>
      </c>
      <c r="I376" s="24" t="n">
        <f aca="false">ABS(IFERROR(H376/(F376-G376),H376/E376))</f>
        <v>0.148197596795728</v>
      </c>
    </row>
    <row r="377" customFormat="false" ht="15.75" hidden="false" customHeight="false" outlineLevel="0" collapsed="false">
      <c r="A377" s="3" t="n">
        <v>376</v>
      </c>
      <c r="B377" s="4" t="n">
        <v>45598</v>
      </c>
      <c r="C377" s="23" t="n">
        <v>2.2</v>
      </c>
      <c r="D377" s="23" t="n">
        <v>0</v>
      </c>
      <c r="E377" s="23" t="n">
        <v>23.76</v>
      </c>
      <c r="F377" s="23" t="n">
        <v>29.04</v>
      </c>
      <c r="G377" s="23" t="n">
        <v>0.83</v>
      </c>
      <c r="H377" s="23" t="n">
        <f aca="false">((C377+D377+E377)-(F377-G377))</f>
        <v>-2.25</v>
      </c>
      <c r="I377" s="24" t="n">
        <f aca="false">ABS(IFERROR(H377/(F377-G377),H377/E377))</f>
        <v>0.0797589507266927</v>
      </c>
    </row>
    <row r="378" customFormat="false" ht="15.75" hidden="false" customHeight="false" outlineLevel="0" collapsed="false">
      <c r="A378" s="3" t="n">
        <v>377</v>
      </c>
      <c r="B378" s="4" t="n">
        <v>45598</v>
      </c>
      <c r="C378" s="23" t="n">
        <v>0</v>
      </c>
      <c r="D378" s="23" t="n">
        <v>0</v>
      </c>
      <c r="E378" s="23" t="n">
        <v>19.95</v>
      </c>
      <c r="F378" s="23" t="n">
        <v>26.93</v>
      </c>
      <c r="G378" s="23" t="n">
        <v>0</v>
      </c>
      <c r="H378" s="23" t="n">
        <f aca="false">((C378+D378+E378)-(F378-G378))</f>
        <v>-6.98</v>
      </c>
      <c r="I378" s="24" t="n">
        <f aca="false">ABS(IFERROR(H378/(F378-G378),H378/E378))</f>
        <v>0.259190493873004</v>
      </c>
    </row>
    <row r="379" customFormat="false" ht="15.75" hidden="false" customHeight="false" outlineLevel="0" collapsed="false">
      <c r="A379" s="3" t="n">
        <v>378</v>
      </c>
      <c r="B379" s="4" t="n">
        <v>45598</v>
      </c>
      <c r="C379" s="23" t="n">
        <v>1.5</v>
      </c>
      <c r="D379" s="23" t="n">
        <v>0</v>
      </c>
      <c r="E379" s="23" t="n">
        <v>19.36</v>
      </c>
      <c r="F379" s="23" t="n">
        <v>23.3</v>
      </c>
      <c r="G379" s="23" t="n">
        <v>1.39</v>
      </c>
      <c r="H379" s="23" t="n">
        <f aca="false">((C379+D379+E379)-(F379-G379))</f>
        <v>-1.05</v>
      </c>
      <c r="I379" s="24" t="n">
        <f aca="false">ABS(IFERROR(H379/(F379-G379),H379/E379))</f>
        <v>0.0479233226837061</v>
      </c>
    </row>
    <row r="380" customFormat="false" ht="15.75" hidden="false" customHeight="false" outlineLevel="0" collapsed="false">
      <c r="A380" s="3" t="n">
        <v>379</v>
      </c>
      <c r="B380" s="4" t="n">
        <v>45598</v>
      </c>
      <c r="C380" s="23" t="n">
        <v>1.54</v>
      </c>
      <c r="D380" s="23" t="n">
        <v>0</v>
      </c>
      <c r="E380" s="23" t="n">
        <v>13.63</v>
      </c>
      <c r="F380" s="23" t="n">
        <v>21.91</v>
      </c>
      <c r="G380" s="23" t="n">
        <v>1.19</v>
      </c>
      <c r="H380" s="23" t="n">
        <f aca="false">((C380+D380+E380)-(F380-G380))</f>
        <v>-5.55</v>
      </c>
      <c r="I380" s="24" t="n">
        <f aca="false">ABS(IFERROR(H380/(F380-G380),H380/E380))</f>
        <v>0.267857142857143</v>
      </c>
    </row>
    <row r="381" customFormat="false" ht="15.75" hidden="false" customHeight="false" outlineLevel="0" collapsed="false">
      <c r="A381" s="3" t="n">
        <v>380</v>
      </c>
      <c r="B381" s="4" t="n">
        <v>45598</v>
      </c>
      <c r="C381" s="23" t="n">
        <v>0</v>
      </c>
      <c r="D381" s="23" t="n">
        <v>0</v>
      </c>
      <c r="E381" s="23" t="n">
        <v>20.94</v>
      </c>
      <c r="F381" s="23" t="n">
        <v>26.94</v>
      </c>
      <c r="G381" s="23" t="n">
        <v>0</v>
      </c>
      <c r="H381" s="23" t="n">
        <f aca="false">((C381+D381+E381)-(F381-G381))</f>
        <v>-6</v>
      </c>
      <c r="I381" s="24" t="n">
        <f aca="false">ABS(IFERROR(H381/(F381-G381),H381/E381))</f>
        <v>0.22271714922049</v>
      </c>
    </row>
    <row r="382" customFormat="false" ht="15.75" hidden="false" customHeight="false" outlineLevel="0" collapsed="false">
      <c r="A382" s="3" t="n">
        <v>381</v>
      </c>
      <c r="B382" s="4" t="n">
        <v>45598</v>
      </c>
      <c r="C382" s="23" t="n">
        <v>1.25</v>
      </c>
      <c r="D382" s="23" t="n">
        <v>0</v>
      </c>
      <c r="E382" s="23" t="n">
        <v>30.35</v>
      </c>
      <c r="F382" s="23" t="n">
        <v>35.5</v>
      </c>
      <c r="G382" s="23" t="n">
        <v>12.29</v>
      </c>
      <c r="H382" s="23" t="n">
        <f aca="false">((C382+D382+E382)-(F382-G382))</f>
        <v>8.39</v>
      </c>
      <c r="I382" s="24" t="n">
        <f aca="false">ABS(IFERROR(H382/(F382-G382),H382/E382))</f>
        <v>0.361482119775959</v>
      </c>
    </row>
    <row r="383" customFormat="false" ht="15.75" hidden="false" customHeight="false" outlineLevel="0" collapsed="false">
      <c r="A383" s="3" t="n">
        <v>382</v>
      </c>
      <c r="B383" s="4" t="n">
        <v>45598</v>
      </c>
      <c r="C383" s="23" t="n">
        <v>0</v>
      </c>
      <c r="D383" s="23" t="n">
        <v>0</v>
      </c>
      <c r="E383" s="23" t="n">
        <v>12.13</v>
      </c>
      <c r="F383" s="23" t="n">
        <v>13.91</v>
      </c>
      <c r="G383" s="23" t="n">
        <v>0.96</v>
      </c>
      <c r="H383" s="23" t="n">
        <f aca="false">((C383+D383+E383)-(F383-G383))</f>
        <v>-0.819999999999999</v>
      </c>
      <c r="I383" s="24" t="n">
        <f aca="false">ABS(IFERROR(H383/(F383-G383),H383/E383))</f>
        <v>0.0633204633204632</v>
      </c>
    </row>
    <row r="384" customFormat="false" ht="15.75" hidden="false" customHeight="false" outlineLevel="0" collapsed="false">
      <c r="A384" s="3" t="n">
        <v>383</v>
      </c>
      <c r="B384" s="4" t="n">
        <v>45599</v>
      </c>
      <c r="C384" s="23" t="n">
        <v>0</v>
      </c>
      <c r="D384" s="23" t="n">
        <v>0</v>
      </c>
      <c r="E384" s="23" t="n">
        <v>39.77</v>
      </c>
      <c r="F384" s="23" t="n">
        <v>45.9</v>
      </c>
      <c r="G384" s="23" t="n">
        <v>0</v>
      </c>
      <c r="H384" s="23" t="n">
        <f aca="false">((C384+D384+E384)-(F384-G384))</f>
        <v>-6.13</v>
      </c>
      <c r="I384" s="24" t="n">
        <f aca="false">ABS(IFERROR(H384/(F384-G384),H384/E384))</f>
        <v>0.133551198257081</v>
      </c>
    </row>
    <row r="385" customFormat="false" ht="15.75" hidden="false" customHeight="false" outlineLevel="0" collapsed="false">
      <c r="A385" s="3" t="n">
        <v>384</v>
      </c>
      <c r="B385" s="4" t="n">
        <v>45599</v>
      </c>
      <c r="C385" s="23" t="n">
        <v>1.14</v>
      </c>
      <c r="D385" s="23" t="n">
        <v>0</v>
      </c>
      <c r="E385" s="23" t="n">
        <v>31.2</v>
      </c>
      <c r="F385" s="23" t="n">
        <v>36.33</v>
      </c>
      <c r="G385" s="23" t="n">
        <v>6.85</v>
      </c>
      <c r="H385" s="23" t="n">
        <f aca="false">((C385+D385+E385)-(F385-G385))</f>
        <v>2.86</v>
      </c>
      <c r="I385" s="24" t="n">
        <f aca="false">ABS(IFERROR(H385/(F385-G385),H385/E385))</f>
        <v>0.0970149253731343</v>
      </c>
    </row>
    <row r="386" customFormat="false" ht="15.75" hidden="false" customHeight="false" outlineLevel="0" collapsed="false">
      <c r="A386" s="3" t="n">
        <v>385</v>
      </c>
      <c r="B386" s="4" t="n">
        <v>45599</v>
      </c>
      <c r="C386" s="23" t="n">
        <v>0</v>
      </c>
      <c r="D386" s="23" t="n">
        <v>0</v>
      </c>
      <c r="E386" s="23" t="n">
        <v>21.98</v>
      </c>
      <c r="F386" s="23" t="n">
        <v>24.76</v>
      </c>
      <c r="G386" s="23" t="n">
        <v>0.81</v>
      </c>
      <c r="H386" s="23" t="n">
        <f aca="false">((C386+D386+E386)-(F386-G386))</f>
        <v>-1.97</v>
      </c>
      <c r="I386" s="24" t="n">
        <f aca="false">ABS(IFERROR(H386/(F386-G386),H386/E386))</f>
        <v>0.0822546972860126</v>
      </c>
    </row>
    <row r="387" customFormat="false" ht="15.75" hidden="false" customHeight="false" outlineLevel="0" collapsed="false">
      <c r="A387" s="3" t="n">
        <v>386</v>
      </c>
      <c r="B387" s="4" t="n">
        <v>45599</v>
      </c>
      <c r="C387" s="23" t="n">
        <v>0</v>
      </c>
      <c r="D387" s="23" t="n">
        <v>0</v>
      </c>
      <c r="E387" s="23" t="n">
        <v>4.57</v>
      </c>
      <c r="F387" s="23" t="n">
        <v>5.25</v>
      </c>
      <c r="G387" s="23" t="n">
        <v>0</v>
      </c>
      <c r="H387" s="23" t="n">
        <f aca="false">((C387+D387+E387)-(F387-G387))</f>
        <v>-0.68</v>
      </c>
      <c r="I387" s="24" t="n">
        <f aca="false">ABS(IFERROR(H387/(F387-G387),H387/E387))</f>
        <v>0.129523809523809</v>
      </c>
    </row>
    <row r="388" customFormat="false" ht="15.75" hidden="false" customHeight="false" outlineLevel="0" collapsed="false">
      <c r="A388" s="3" t="n">
        <v>387</v>
      </c>
      <c r="B388" s="4" t="n">
        <v>45601</v>
      </c>
      <c r="C388" s="23" t="n">
        <v>0</v>
      </c>
      <c r="D388" s="23" t="n">
        <v>0</v>
      </c>
      <c r="E388" s="23" t="n">
        <v>22.37</v>
      </c>
      <c r="F388" s="23" t="n">
        <v>26.94</v>
      </c>
      <c r="G388" s="23" t="n">
        <v>0</v>
      </c>
      <c r="H388" s="23" t="n">
        <f aca="false">((C388+D388+E388)-(F388-G388))</f>
        <v>-4.57</v>
      </c>
      <c r="I388" s="24" t="n">
        <f aca="false">ABS(IFERROR(H388/(F388-G388),H388/E388))</f>
        <v>0.169636228656273</v>
      </c>
    </row>
    <row r="389" customFormat="false" ht="15.75" hidden="false" customHeight="false" outlineLevel="0" collapsed="false">
      <c r="A389" s="3" t="n">
        <v>388</v>
      </c>
      <c r="B389" s="4" t="n">
        <v>45603</v>
      </c>
      <c r="C389" s="23" t="n">
        <v>0</v>
      </c>
      <c r="D389" s="23" t="n">
        <v>0</v>
      </c>
      <c r="E389" s="23" t="n">
        <v>4.57</v>
      </c>
      <c r="F389" s="23" t="n">
        <v>5.25</v>
      </c>
      <c r="G389" s="23" t="n">
        <v>0</v>
      </c>
      <c r="H389" s="23" t="n">
        <f aca="false">((C389+D389+E389)-(F389-G389))</f>
        <v>-0.68</v>
      </c>
      <c r="I389" s="24" t="n">
        <f aca="false">ABS(IFERROR(H389/(F389-G389),H389/E389))</f>
        <v>0.129523809523809</v>
      </c>
    </row>
    <row r="390" customFormat="false" ht="15.75" hidden="false" customHeight="false" outlineLevel="0" collapsed="false">
      <c r="A390" s="3" t="n">
        <v>389</v>
      </c>
      <c r="B390" s="4" t="n">
        <v>45603</v>
      </c>
      <c r="C390" s="23" t="n">
        <v>2.75</v>
      </c>
      <c r="D390" s="23" t="n">
        <v>0</v>
      </c>
      <c r="E390" s="23" t="n">
        <v>19.62</v>
      </c>
      <c r="F390" s="23" t="n">
        <v>24.68</v>
      </c>
      <c r="G390" s="23" t="n">
        <v>8.86</v>
      </c>
      <c r="H390" s="23" t="n">
        <f aca="false">((C390+D390+E390)-(F390-G390))</f>
        <v>6.55</v>
      </c>
      <c r="I390" s="24" t="n">
        <f aca="false">ABS(IFERROR(H390/(F390-G390),H390/E390))</f>
        <v>0.414032869785082</v>
      </c>
    </row>
    <row r="391" customFormat="false" ht="15.75" hidden="false" customHeight="false" outlineLevel="0" collapsed="false">
      <c r="A391" s="3" t="n">
        <v>390</v>
      </c>
      <c r="B391" s="4" t="n">
        <v>45603</v>
      </c>
      <c r="C391" s="23" t="n">
        <v>2.06</v>
      </c>
      <c r="D391" s="23" t="n">
        <v>4</v>
      </c>
      <c r="E391" s="23" t="n">
        <v>16.98</v>
      </c>
      <c r="F391" s="23" t="n">
        <v>25.68</v>
      </c>
      <c r="G391" s="23" t="n">
        <v>0.42</v>
      </c>
      <c r="H391" s="23" t="n">
        <f aca="false">((C391+D391+E391)-(F391-G391))</f>
        <v>-2.22</v>
      </c>
      <c r="I391" s="24" t="n">
        <f aca="false">ABS(IFERROR(H391/(F391-G391),H391/E391))</f>
        <v>0.0878859857482185</v>
      </c>
    </row>
    <row r="392" customFormat="false" ht="15.75" hidden="false" customHeight="false" outlineLevel="0" collapsed="false">
      <c r="A392" s="3" t="n">
        <v>391</v>
      </c>
      <c r="B392" s="4" t="n">
        <v>45603</v>
      </c>
      <c r="C392" s="23" t="n">
        <v>0</v>
      </c>
      <c r="D392" s="23" t="n">
        <v>0</v>
      </c>
      <c r="E392" s="23" t="n">
        <v>14.19</v>
      </c>
      <c r="F392" s="23" t="n">
        <v>0</v>
      </c>
      <c r="G392" s="23" t="n">
        <v>0</v>
      </c>
      <c r="H392" s="23" t="n">
        <f aca="false">((C392+D392+E392)-(F392-G392))</f>
        <v>14.19</v>
      </c>
      <c r="I392" s="24" t="n">
        <f aca="false">ABS(IFERROR(H392/(F392-G392),H392/E392))</f>
        <v>1</v>
      </c>
    </row>
    <row r="393" customFormat="false" ht="15.75" hidden="false" customHeight="false" outlineLevel="0" collapsed="false">
      <c r="A393" s="3" t="n">
        <v>392</v>
      </c>
      <c r="B393" s="4" t="n">
        <v>45603</v>
      </c>
      <c r="C393" s="23" t="n">
        <v>2.25</v>
      </c>
      <c r="D393" s="23" t="n">
        <v>4</v>
      </c>
      <c r="E393" s="23" t="n">
        <v>10</v>
      </c>
      <c r="F393" s="23" t="n">
        <v>18.16</v>
      </c>
      <c r="G393" s="23" t="n">
        <v>3.2</v>
      </c>
      <c r="H393" s="23" t="n">
        <f aca="false">((C393+D393+E393)-(F393-G393))</f>
        <v>1.29</v>
      </c>
      <c r="I393" s="24" t="n">
        <f aca="false">ABS(IFERROR(H393/(F393-G393),H393/E393))</f>
        <v>0.0862299465240641</v>
      </c>
    </row>
    <row r="394" customFormat="false" ht="15.75" hidden="false" customHeight="false" outlineLevel="0" collapsed="false">
      <c r="A394" s="3" t="n">
        <v>393</v>
      </c>
      <c r="B394" s="4" t="n">
        <v>45603</v>
      </c>
      <c r="C394" s="23" t="n">
        <v>1.75</v>
      </c>
      <c r="D394" s="23" t="n">
        <v>0</v>
      </c>
      <c r="E394" s="23" t="n">
        <v>6.99</v>
      </c>
      <c r="F394" s="23" t="n">
        <v>10.22</v>
      </c>
      <c r="G394" s="23" t="n">
        <v>1.31</v>
      </c>
      <c r="H394" s="23" t="n">
        <f aca="false">((C394+D394+E394)-(F394-G394))</f>
        <v>-0.17</v>
      </c>
      <c r="I394" s="24" t="n">
        <f aca="false">ABS(IFERROR(H394/(F394-G394),H394/E394))</f>
        <v>0.0190796857463524</v>
      </c>
    </row>
    <row r="395" customFormat="false" ht="15.75" hidden="false" customHeight="false" outlineLevel="0" collapsed="false">
      <c r="A395" s="3" t="n">
        <v>394</v>
      </c>
      <c r="B395" s="4" t="n">
        <v>45608</v>
      </c>
      <c r="C395" s="23" t="n">
        <v>1.11</v>
      </c>
      <c r="D395" s="23" t="n">
        <v>8</v>
      </c>
      <c r="E395" s="23" t="n">
        <v>15.29</v>
      </c>
      <c r="F395" s="23" t="n">
        <v>20.72</v>
      </c>
      <c r="G395" s="23" t="n">
        <v>0</v>
      </c>
      <c r="H395" s="23" t="n">
        <f aca="false">((C395+D395+E395)-(F395-G395))</f>
        <v>3.68</v>
      </c>
      <c r="I395" s="24" t="n">
        <f aca="false">ABS(IFERROR(H395/(F395-G395),H395/E395))</f>
        <v>0.177606177606178</v>
      </c>
    </row>
    <row r="396" customFormat="false" ht="15.75" hidden="false" customHeight="false" outlineLevel="0" collapsed="false">
      <c r="A396" s="3" t="n">
        <v>395</v>
      </c>
      <c r="B396" s="4" t="n">
        <v>45608</v>
      </c>
      <c r="C396" s="23" t="n">
        <v>3.66</v>
      </c>
      <c r="D396" s="23" t="n">
        <v>0</v>
      </c>
      <c r="E396" s="23" t="n">
        <v>15.73</v>
      </c>
      <c r="F396" s="23" t="n">
        <v>21.82</v>
      </c>
      <c r="G396" s="23" t="n">
        <v>6.34</v>
      </c>
      <c r="H396" s="23" t="n">
        <f aca="false">((C396+D396+E396)-(F396-G396))</f>
        <v>3.91</v>
      </c>
      <c r="I396" s="24" t="n">
        <f aca="false">ABS(IFERROR(H396/(F396-G396),H396/E396))</f>
        <v>0.252583979328165</v>
      </c>
    </row>
    <row r="397" customFormat="false" ht="15.75" hidden="false" customHeight="false" outlineLevel="0" collapsed="false">
      <c r="A397" s="3" t="n">
        <v>396</v>
      </c>
      <c r="B397" s="4" t="n">
        <v>45608</v>
      </c>
      <c r="C397" s="23" t="n">
        <v>1</v>
      </c>
      <c r="D397" s="23" t="n">
        <v>0</v>
      </c>
      <c r="E397" s="23" t="n">
        <v>19.36</v>
      </c>
      <c r="F397" s="23" t="n">
        <v>25.94</v>
      </c>
      <c r="G397" s="23" t="n">
        <v>0</v>
      </c>
      <c r="H397" s="23" t="n">
        <f aca="false">((C397+D397+E397)-(F397-G397))</f>
        <v>-5.58</v>
      </c>
      <c r="I397" s="24" t="n">
        <f aca="false">ABS(IFERROR(H397/(F397-G397),H397/E397))</f>
        <v>0.215111796453354</v>
      </c>
    </row>
    <row r="398" customFormat="false" ht="15.75" hidden="false" customHeight="false" outlineLevel="0" collapsed="false">
      <c r="A398" s="3" t="n">
        <v>397</v>
      </c>
      <c r="B398" s="4" t="n">
        <v>45609</v>
      </c>
      <c r="C398" s="23" t="n">
        <v>3</v>
      </c>
      <c r="D398" s="23" t="n">
        <v>0</v>
      </c>
      <c r="E398" s="23" t="n">
        <v>12.99</v>
      </c>
      <c r="F398" s="23" t="n">
        <v>18.02</v>
      </c>
      <c r="G398" s="23" t="n">
        <v>4.05</v>
      </c>
      <c r="H398" s="23" t="n">
        <f aca="false">((C398+D398+E398)-(F398-G398))</f>
        <v>2.02</v>
      </c>
      <c r="I398" s="24" t="n">
        <f aca="false">ABS(IFERROR(H398/(F398-G398),H398/E398))</f>
        <v>0.144595561918397</v>
      </c>
    </row>
    <row r="399" customFormat="false" ht="15.75" hidden="false" customHeight="false" outlineLevel="0" collapsed="false">
      <c r="A399" s="3" t="n">
        <v>398</v>
      </c>
      <c r="B399" s="4" t="n">
        <v>45609</v>
      </c>
      <c r="C399" s="23" t="n">
        <v>0</v>
      </c>
      <c r="D399" s="23" t="n">
        <v>0</v>
      </c>
      <c r="E399" s="23" t="n">
        <v>6.98</v>
      </c>
      <c r="F399" s="23" t="n">
        <v>8.41</v>
      </c>
      <c r="G399" s="23" t="n">
        <v>0.91</v>
      </c>
      <c r="H399" s="23" t="n">
        <f aca="false">((C399+D399+E399)-(F399-G399))</f>
        <v>-0.52</v>
      </c>
      <c r="I399" s="24" t="n">
        <f aca="false">ABS(IFERROR(H399/(F399-G399),H399/E399))</f>
        <v>0.0693333333333333</v>
      </c>
    </row>
    <row r="400" customFormat="false" ht="15.75" hidden="false" customHeight="false" outlineLevel="0" collapsed="false">
      <c r="A400" s="3" t="n">
        <v>399</v>
      </c>
      <c r="B400" s="4" t="n">
        <v>45609</v>
      </c>
      <c r="C400" s="23" t="n">
        <v>0</v>
      </c>
      <c r="D400" s="23" t="n">
        <v>0</v>
      </c>
      <c r="E400" s="23" t="n">
        <v>21.57</v>
      </c>
      <c r="F400" s="23" t="n">
        <v>29.98</v>
      </c>
      <c r="G400" s="23" t="n">
        <v>0</v>
      </c>
      <c r="H400" s="23" t="n">
        <f aca="false">((C400+D400+E400)-(F400-G400))</f>
        <v>-8.41</v>
      </c>
      <c r="I400" s="24" t="n">
        <f aca="false">ABS(IFERROR(H400/(F400-G400),H400/E400))</f>
        <v>0.280520346897932</v>
      </c>
    </row>
    <row r="401" customFormat="false" ht="15.75" hidden="false" customHeight="false" outlineLevel="0" collapsed="false">
      <c r="A401" s="3" t="n">
        <v>400</v>
      </c>
      <c r="B401" s="4" t="n">
        <v>45609</v>
      </c>
      <c r="C401" s="23" t="n">
        <v>2.5</v>
      </c>
      <c r="D401" s="23" t="n">
        <v>0</v>
      </c>
      <c r="E401" s="23" t="n">
        <v>9.91</v>
      </c>
      <c r="F401" s="23" t="n">
        <v>14.17</v>
      </c>
      <c r="G401" s="23" t="n">
        <v>2.27</v>
      </c>
      <c r="H401" s="23" t="n">
        <f aca="false">((C401+D401+E401)-(F401-G401))</f>
        <v>0.51</v>
      </c>
      <c r="I401" s="24" t="n">
        <f aca="false">ABS(IFERROR(H401/(F401-G401),H401/E401))</f>
        <v>0.0428571428571428</v>
      </c>
    </row>
    <row r="402" customFormat="false" ht="15.75" hidden="false" customHeight="false" outlineLevel="0" collapsed="false">
      <c r="A402" s="3" t="n">
        <v>401</v>
      </c>
      <c r="B402" s="4" t="n">
        <v>45609</v>
      </c>
      <c r="C402" s="23" t="n">
        <v>3</v>
      </c>
      <c r="D402" s="23" t="n">
        <v>0</v>
      </c>
      <c r="E402" s="23" t="n">
        <v>23.64</v>
      </c>
      <c r="F402" s="23" t="n">
        <v>29.48</v>
      </c>
      <c r="G402" s="23" t="n">
        <v>8.66</v>
      </c>
      <c r="H402" s="23" t="n">
        <f aca="false">((C402+D402+E402)-(F402-G402))</f>
        <v>5.82</v>
      </c>
      <c r="I402" s="24" t="n">
        <f aca="false">ABS(IFERROR(H402/(F402-G402),H402/E402))</f>
        <v>0.279538904899135</v>
      </c>
    </row>
    <row r="403" customFormat="false" ht="15.75" hidden="false" customHeight="false" outlineLevel="0" collapsed="false">
      <c r="A403" s="3" t="n">
        <v>402</v>
      </c>
      <c r="B403" s="4" t="n">
        <v>45610</v>
      </c>
      <c r="C403" s="23" t="n">
        <v>1.25</v>
      </c>
      <c r="D403" s="23" t="n">
        <v>0</v>
      </c>
      <c r="E403" s="23" t="n">
        <v>9.72</v>
      </c>
      <c r="F403" s="23" t="n">
        <v>12.58</v>
      </c>
      <c r="G403" s="23" t="n">
        <v>3.62</v>
      </c>
      <c r="H403" s="23" t="n">
        <f aca="false">((C403+D403+E403)-(F403-G403))</f>
        <v>2.01</v>
      </c>
      <c r="I403" s="24" t="n">
        <f aca="false">ABS(IFERROR(H403/(F403-G403),H403/E403))</f>
        <v>0.224330357142857</v>
      </c>
    </row>
    <row r="404" customFormat="false" ht="15.75" hidden="false" customHeight="false" outlineLevel="0" collapsed="false">
      <c r="A404" s="3" t="n">
        <v>403</v>
      </c>
      <c r="B404" s="4" t="n">
        <v>45610</v>
      </c>
      <c r="C404" s="23" t="n">
        <v>1.5</v>
      </c>
      <c r="D404" s="23" t="n">
        <v>0</v>
      </c>
      <c r="E404" s="23" t="n">
        <v>13.45</v>
      </c>
      <c r="F404" s="23" t="n">
        <v>16.94</v>
      </c>
      <c r="G404" s="23" t="n">
        <v>6.18</v>
      </c>
      <c r="H404" s="23" t="n">
        <f aca="false">((C404+D404+E404)-(F404-G404))</f>
        <v>4.19</v>
      </c>
      <c r="I404" s="24" t="n">
        <f aca="false">ABS(IFERROR(H404/(F404-G404),H404/E404))</f>
        <v>0.389405204460966</v>
      </c>
    </row>
    <row r="405" customFormat="false" ht="15.75" hidden="false" customHeight="false" outlineLevel="0" collapsed="false">
      <c r="A405" s="3" t="n">
        <v>404</v>
      </c>
      <c r="B405" s="4" t="n">
        <v>45610</v>
      </c>
      <c r="C405" s="23" t="n">
        <v>2.89</v>
      </c>
      <c r="D405" s="23" t="n">
        <v>0</v>
      </c>
      <c r="E405" s="23" t="n">
        <v>6.98</v>
      </c>
      <c r="F405" s="23" t="n">
        <v>12.11</v>
      </c>
      <c r="G405" s="23" t="n">
        <v>0</v>
      </c>
      <c r="H405" s="23" t="n">
        <f aca="false">((C405+D405+E405)-(F405-G405))</f>
        <v>-2.24</v>
      </c>
      <c r="I405" s="24" t="n">
        <f aca="false">ABS(IFERROR(H405/(F405-G405),H405/E405))</f>
        <v>0.184971098265896</v>
      </c>
    </row>
    <row r="406" customFormat="false" ht="15.75" hidden="false" customHeight="false" outlineLevel="0" collapsed="false">
      <c r="A406" s="3" t="n">
        <v>405</v>
      </c>
      <c r="B406" s="4" t="n">
        <v>45610</v>
      </c>
      <c r="C406" s="23" t="n">
        <v>0</v>
      </c>
      <c r="D406" s="23" t="n">
        <v>0</v>
      </c>
      <c r="E406" s="23" t="n">
        <v>7.29</v>
      </c>
      <c r="F406" s="23" t="n">
        <v>0</v>
      </c>
      <c r="G406" s="23" t="n">
        <v>0</v>
      </c>
      <c r="H406" s="23" t="n">
        <f aca="false">((C406+D406+E406)-(F406-G406))</f>
        <v>7.29</v>
      </c>
      <c r="I406" s="24" t="n">
        <f aca="false">ABS(IFERROR(H406/(F406-G406),H406/E406))</f>
        <v>1</v>
      </c>
    </row>
    <row r="407" customFormat="false" ht="15.75" hidden="false" customHeight="false" outlineLevel="0" collapsed="false">
      <c r="A407" s="3" t="n">
        <v>406</v>
      </c>
      <c r="B407" s="4" t="n">
        <v>45610</v>
      </c>
      <c r="C407" s="23" t="n">
        <v>1</v>
      </c>
      <c r="D407" s="23" t="n">
        <v>0</v>
      </c>
      <c r="E407" s="23" t="n">
        <v>6.99</v>
      </c>
      <c r="F407" s="23" t="n">
        <v>10.91</v>
      </c>
      <c r="G407" s="23" t="n">
        <v>0</v>
      </c>
      <c r="H407" s="23" t="n">
        <f aca="false">((C407+D407+E407)-(F407-G407))</f>
        <v>-2.92</v>
      </c>
      <c r="I407" s="24" t="n">
        <f aca="false">ABS(IFERROR(H407/(F407-G407),H407/E407))</f>
        <v>0.267644362969753</v>
      </c>
    </row>
    <row r="408" customFormat="false" ht="15.75" hidden="false" customHeight="false" outlineLevel="0" collapsed="false">
      <c r="A408" s="3" t="n">
        <v>407</v>
      </c>
      <c r="B408" s="4" t="n">
        <v>45610</v>
      </c>
      <c r="C408" s="23" t="n">
        <v>1.25</v>
      </c>
      <c r="D408" s="23" t="n">
        <v>0</v>
      </c>
      <c r="E408" s="23" t="n">
        <v>9.53</v>
      </c>
      <c r="F408" s="23" t="n">
        <v>17.97</v>
      </c>
      <c r="G408" s="23" t="n">
        <v>0</v>
      </c>
      <c r="H408" s="23" t="n">
        <f aca="false">((C408+D408+E408)-(F408-G408))</f>
        <v>-7.19</v>
      </c>
      <c r="I408" s="24" t="n">
        <f aca="false">ABS(IFERROR(H408/(F408-G408),H408/E408))</f>
        <v>0.400111296605454</v>
      </c>
    </row>
    <row r="409" customFormat="false" ht="15.75" hidden="false" customHeight="false" outlineLevel="0" collapsed="false">
      <c r="A409" s="3" t="n">
        <v>408</v>
      </c>
      <c r="B409" s="4" t="n">
        <v>45610</v>
      </c>
      <c r="C409" s="23" t="n">
        <v>0</v>
      </c>
      <c r="D409" s="23" t="n">
        <v>0</v>
      </c>
      <c r="E409" s="23" t="n">
        <v>7.2</v>
      </c>
      <c r="F409" s="23" t="n">
        <v>11.93</v>
      </c>
      <c r="G409" s="23" t="n">
        <v>0</v>
      </c>
      <c r="H409" s="23" t="n">
        <f aca="false">((C409+D409+E409)-(F409-G409))</f>
        <v>-4.73</v>
      </c>
      <c r="I409" s="24" t="n">
        <f aca="false">ABS(IFERROR(H409/(F409-G409),H409/E409))</f>
        <v>0.396479463537301</v>
      </c>
    </row>
    <row r="410" customFormat="false" ht="15.75" hidden="false" customHeight="false" outlineLevel="0" collapsed="false">
      <c r="A410" s="3" t="n">
        <v>409</v>
      </c>
      <c r="B410" s="4" t="n">
        <v>45613</v>
      </c>
      <c r="C410" s="23" t="n">
        <v>0</v>
      </c>
      <c r="D410" s="23" t="n">
        <v>0</v>
      </c>
      <c r="E410" s="23" t="n">
        <v>24.15</v>
      </c>
      <c r="F410" s="23" t="n">
        <v>27</v>
      </c>
      <c r="G410" s="23" t="n">
        <v>0</v>
      </c>
      <c r="H410" s="23" t="n">
        <f aca="false">((C410+D410+E410)-(F410-G410))</f>
        <v>-2.85</v>
      </c>
      <c r="I410" s="24" t="n">
        <f aca="false">ABS(IFERROR(H410/(F410-G410),H410/E410))</f>
        <v>0.105555555555556</v>
      </c>
    </row>
    <row r="411" customFormat="false" ht="15.75" hidden="false" customHeight="false" outlineLevel="0" collapsed="false">
      <c r="A411" s="3" t="n">
        <v>410</v>
      </c>
      <c r="B411" s="4" t="n">
        <v>45613</v>
      </c>
      <c r="C411" s="23" t="n">
        <v>0</v>
      </c>
      <c r="D411" s="23" t="n">
        <v>0</v>
      </c>
      <c r="E411" s="23" t="n">
        <v>23.03</v>
      </c>
      <c r="F411" s="23" t="n">
        <v>29.74</v>
      </c>
      <c r="G411" s="23" t="n">
        <v>11.9</v>
      </c>
      <c r="H411" s="23" t="n">
        <f aca="false">((C411+D411+E411)-(F411-G411))</f>
        <v>5.19000000000001</v>
      </c>
      <c r="I411" s="24" t="n">
        <f aca="false">ABS(IFERROR(H411/(F411-G411),H411/E411))</f>
        <v>0.290919282511211</v>
      </c>
    </row>
    <row r="412" customFormat="false" ht="15.75" hidden="false" customHeight="false" outlineLevel="0" collapsed="false">
      <c r="A412" s="3" t="n">
        <v>411</v>
      </c>
      <c r="B412" s="4" t="n">
        <v>45613</v>
      </c>
      <c r="C412" s="23" t="n">
        <v>0</v>
      </c>
      <c r="D412" s="23" t="n">
        <v>0</v>
      </c>
      <c r="E412" s="23" t="n">
        <v>12.39</v>
      </c>
      <c r="F412" s="23" t="n">
        <v>19.93</v>
      </c>
      <c r="G412" s="23" t="n">
        <v>0</v>
      </c>
      <c r="H412" s="23" t="n">
        <f aca="false">((C412+D412+E412)-(F412-G412))</f>
        <v>-7.54</v>
      </c>
      <c r="I412" s="24" t="n">
        <f aca="false">ABS(IFERROR(H412/(F412-G412),H412/E412))</f>
        <v>0.378324134470647</v>
      </c>
    </row>
    <row r="413" customFormat="false" ht="15.75" hidden="false" customHeight="false" outlineLevel="0" collapsed="false">
      <c r="A413" s="3" t="n">
        <v>412</v>
      </c>
      <c r="B413" s="4" t="n">
        <v>45613</v>
      </c>
      <c r="C413" s="23" t="n">
        <v>0</v>
      </c>
      <c r="D413" s="23" t="n">
        <v>0</v>
      </c>
      <c r="E413" s="23" t="n">
        <v>20.11</v>
      </c>
      <c r="F413" s="23" t="n">
        <v>27.99</v>
      </c>
      <c r="G413" s="23" t="n">
        <v>2.8</v>
      </c>
      <c r="H413" s="23" t="n">
        <f aca="false">((C413+D413+E413)-(F413-G413))</f>
        <v>-5.08</v>
      </c>
      <c r="I413" s="24" t="n">
        <f aca="false">ABS(IFERROR(H413/(F413-G413),H413/E413))</f>
        <v>0.201667328304883</v>
      </c>
    </row>
    <row r="414" customFormat="false" ht="15.75" hidden="false" customHeight="false" outlineLevel="0" collapsed="false">
      <c r="A414" s="3" t="n">
        <v>413</v>
      </c>
      <c r="B414" s="4" t="n">
        <v>45613</v>
      </c>
      <c r="C414" s="23" t="n">
        <v>0</v>
      </c>
      <c r="D414" s="23" t="n">
        <v>0</v>
      </c>
      <c r="E414" s="23" t="n">
        <v>6.98</v>
      </c>
      <c r="F414" s="23" t="n">
        <v>8.98</v>
      </c>
      <c r="G414" s="23" t="n">
        <v>0</v>
      </c>
      <c r="H414" s="23" t="n">
        <f aca="false">((C414+D414+E414)-(F414-G414))</f>
        <v>-2</v>
      </c>
      <c r="I414" s="24" t="n">
        <f aca="false">ABS(IFERROR(H414/(F414-G414),H414/E414))</f>
        <v>0.22271714922049</v>
      </c>
    </row>
    <row r="415" customFormat="false" ht="15.75" hidden="false" customHeight="false" outlineLevel="0" collapsed="false">
      <c r="A415" s="3" t="n">
        <v>414</v>
      </c>
      <c r="B415" s="4" t="n">
        <v>45613</v>
      </c>
      <c r="C415" s="23" t="n">
        <v>0</v>
      </c>
      <c r="D415" s="23" t="n">
        <v>0</v>
      </c>
      <c r="E415" s="23" t="n">
        <v>17.99</v>
      </c>
      <c r="F415" s="23" t="n">
        <v>20.42</v>
      </c>
      <c r="G415" s="23" t="n">
        <v>4.52</v>
      </c>
      <c r="H415" s="23" t="n">
        <f aca="false">((C415+D415+E415)-(F415-G415))</f>
        <v>2.09</v>
      </c>
      <c r="I415" s="24" t="n">
        <f aca="false">ABS(IFERROR(H415/(F415-G415),H415/E415))</f>
        <v>0.131446540880503</v>
      </c>
    </row>
    <row r="416" customFormat="false" ht="15.75" hidden="false" customHeight="false" outlineLevel="0" collapsed="false">
      <c r="A416" s="3" t="n">
        <v>415</v>
      </c>
      <c r="B416" s="4" t="n">
        <v>45613</v>
      </c>
      <c r="C416" s="23" t="n">
        <v>0</v>
      </c>
      <c r="D416" s="23" t="n">
        <v>0</v>
      </c>
      <c r="E416" s="23" t="n">
        <v>22.33</v>
      </c>
      <c r="F416" s="23" t="n">
        <v>25.64</v>
      </c>
      <c r="G416" s="23" t="n">
        <v>6.92</v>
      </c>
      <c r="H416" s="23" t="n">
        <f aca="false">((C416+D416+E416)-(F416-G416))</f>
        <v>3.61</v>
      </c>
      <c r="I416" s="24" t="n">
        <f aca="false">ABS(IFERROR(H416/(F416-G416),H416/E416))</f>
        <v>0.19284188034188</v>
      </c>
    </row>
    <row r="417" customFormat="false" ht="15.75" hidden="false" customHeight="false" outlineLevel="0" collapsed="false">
      <c r="A417" s="3" t="n">
        <v>416</v>
      </c>
      <c r="B417" s="4" t="n">
        <v>45616</v>
      </c>
      <c r="C417" s="23" t="n">
        <v>0</v>
      </c>
      <c r="D417" s="23" t="n">
        <v>0</v>
      </c>
      <c r="E417" s="23" t="n">
        <v>10.99</v>
      </c>
      <c r="F417" s="23" t="n">
        <v>18.19</v>
      </c>
      <c r="G417" s="23" t="n">
        <v>0</v>
      </c>
      <c r="H417" s="23" t="n">
        <f aca="false">((C417+D417+E417)-(F417-G417))</f>
        <v>-7.2</v>
      </c>
      <c r="I417" s="24" t="n">
        <f aca="false">ABS(IFERROR(H417/(F417-G417),H417/E417))</f>
        <v>0.395821880153931</v>
      </c>
    </row>
    <row r="418" customFormat="false" ht="15.75" hidden="false" customHeight="false" outlineLevel="0" collapsed="false">
      <c r="A418" s="3" t="n">
        <v>417</v>
      </c>
      <c r="B418" s="4" t="n">
        <v>45616</v>
      </c>
      <c r="C418" s="23" t="n">
        <v>0</v>
      </c>
      <c r="D418" s="23" t="n">
        <v>1.23</v>
      </c>
      <c r="E418" s="23" t="n">
        <v>6.98</v>
      </c>
      <c r="F418" s="23" t="n">
        <v>9.64</v>
      </c>
      <c r="G418" s="23" t="n">
        <v>0.66</v>
      </c>
      <c r="H418" s="23" t="n">
        <f aca="false">((C418+D418+E418)-(F418-G418))</f>
        <v>-0.77</v>
      </c>
      <c r="I418" s="24" t="n">
        <f aca="false">ABS(IFERROR(H418/(F418-G418),H418/E418))</f>
        <v>0.0857461024498886</v>
      </c>
    </row>
    <row r="419" customFormat="false" ht="15.75" hidden="false" customHeight="false" outlineLevel="0" collapsed="false">
      <c r="A419" s="3" t="n">
        <v>418</v>
      </c>
      <c r="B419" s="4" t="n">
        <v>45616</v>
      </c>
      <c r="C419" s="23" t="n">
        <v>0</v>
      </c>
      <c r="D419" s="23" t="n">
        <v>0</v>
      </c>
      <c r="E419" s="23" t="n">
        <v>28.69</v>
      </c>
      <c r="F419" s="23" t="n">
        <v>35.97</v>
      </c>
      <c r="G419" s="23" t="n">
        <v>0</v>
      </c>
      <c r="H419" s="23" t="n">
        <f aca="false">((C419+D419+E419)-(F419-G419))</f>
        <v>-7.28</v>
      </c>
      <c r="I419" s="24" t="n">
        <f aca="false">ABS(IFERROR(H419/(F419-G419),H419/E419))</f>
        <v>0.202390881289964</v>
      </c>
    </row>
    <row r="420" customFormat="false" ht="15.75" hidden="false" customHeight="false" outlineLevel="0" collapsed="false">
      <c r="A420" s="3" t="n">
        <v>419</v>
      </c>
      <c r="B420" s="4" t="n">
        <v>45616</v>
      </c>
      <c r="C420" s="23" t="n">
        <v>0</v>
      </c>
      <c r="D420" s="23" t="n">
        <v>0</v>
      </c>
      <c r="E420" s="23" t="n">
        <v>23.15</v>
      </c>
      <c r="F420" s="23" t="n">
        <v>35.97</v>
      </c>
      <c r="G420" s="23" t="n">
        <v>0</v>
      </c>
      <c r="H420" s="23" t="n">
        <f aca="false">((C420+D420+E420)-(F420-G420))</f>
        <v>-12.82</v>
      </c>
      <c r="I420" s="24" t="n">
        <f aca="false">ABS(IFERROR(H420/(F420-G420),H420/E420))</f>
        <v>0.356408117876008</v>
      </c>
    </row>
    <row r="421" customFormat="false" ht="15.75" hidden="false" customHeight="false" outlineLevel="0" collapsed="false">
      <c r="A421" s="3" t="n">
        <v>420</v>
      </c>
      <c r="B421" s="4" t="n">
        <v>45616</v>
      </c>
      <c r="C421" s="23" t="n">
        <v>0</v>
      </c>
      <c r="D421" s="23" t="n">
        <v>3.48</v>
      </c>
      <c r="E421" s="23" t="n">
        <v>13.78</v>
      </c>
      <c r="F421" s="23" t="n">
        <v>22.97</v>
      </c>
      <c r="G421" s="23" t="n">
        <v>0</v>
      </c>
      <c r="H421" s="23" t="n">
        <f aca="false">((C421+D421+E421)-(F421-G421))</f>
        <v>-5.71</v>
      </c>
      <c r="I421" s="24" t="n">
        <f aca="false">ABS(IFERROR(H421/(F421-G421),H421/E421))</f>
        <v>0.248585111014367</v>
      </c>
    </row>
    <row r="422" customFormat="false" ht="15.75" hidden="false" customHeight="false" outlineLevel="0" collapsed="false">
      <c r="A422" s="3" t="n">
        <v>421</v>
      </c>
      <c r="B422" s="4" t="n">
        <v>45616</v>
      </c>
      <c r="C422" s="23" t="n">
        <v>0</v>
      </c>
      <c r="D422" s="23" t="n">
        <v>0</v>
      </c>
      <c r="E422" s="23" t="n">
        <v>13.31</v>
      </c>
      <c r="F422" s="23" t="n">
        <v>15.91</v>
      </c>
      <c r="G422" s="23" t="n">
        <v>0</v>
      </c>
      <c r="H422" s="23" t="n">
        <f aca="false">((C422+D422+E422)-(F422-G422))</f>
        <v>-2.6</v>
      </c>
      <c r="I422" s="24" t="n">
        <f aca="false">ABS(IFERROR(H422/(F422-G422),H422/E422))</f>
        <v>0.163419233186675</v>
      </c>
    </row>
    <row r="423" customFormat="false" ht="15.75" hidden="false" customHeight="false" outlineLevel="0" collapsed="false">
      <c r="A423" s="3" t="n">
        <v>422</v>
      </c>
      <c r="B423" s="4" t="n">
        <v>45616</v>
      </c>
      <c r="C423" s="23" t="n">
        <v>0</v>
      </c>
      <c r="D423" s="23" t="n">
        <v>0</v>
      </c>
      <c r="E423" s="23" t="n">
        <v>14.12</v>
      </c>
      <c r="F423" s="23" t="n">
        <v>19.99</v>
      </c>
      <c r="G423" s="23" t="n">
        <v>0</v>
      </c>
      <c r="H423" s="23" t="n">
        <f aca="false">((C423+D423+E423)-(F423-G423))</f>
        <v>-5.87</v>
      </c>
      <c r="I423" s="24" t="n">
        <f aca="false">ABS(IFERROR(H423/(F423-G423),H423/E423))</f>
        <v>0.293646823411706</v>
      </c>
    </row>
    <row r="424" customFormat="false" ht="15.75" hidden="false" customHeight="false" outlineLevel="0" collapsed="false">
      <c r="A424" s="3" t="n">
        <v>423</v>
      </c>
      <c r="B424" s="4" t="n">
        <v>45616</v>
      </c>
      <c r="C424" s="23" t="n">
        <v>1.25</v>
      </c>
      <c r="D424" s="23" t="n">
        <v>0</v>
      </c>
      <c r="E424" s="23" t="n">
        <v>11.01</v>
      </c>
      <c r="F424" s="23" t="n">
        <v>15.97</v>
      </c>
      <c r="G424" s="23" t="n">
        <v>0</v>
      </c>
      <c r="H424" s="23" t="n">
        <f aca="false">((C424+D424+E424)-(F424-G424))</f>
        <v>-3.71</v>
      </c>
      <c r="I424" s="24" t="n">
        <f aca="false">ABS(IFERROR(H424/(F424-G424),H424/E424))</f>
        <v>0.232310582341891</v>
      </c>
    </row>
    <row r="425" customFormat="false" ht="15.75" hidden="false" customHeight="false" outlineLevel="0" collapsed="false">
      <c r="A425" s="3" t="n">
        <v>424</v>
      </c>
      <c r="B425" s="4" t="n">
        <v>45618</v>
      </c>
      <c r="C425" s="23" t="n">
        <v>0</v>
      </c>
      <c r="D425" s="23" t="n">
        <v>0</v>
      </c>
      <c r="E425" s="23" t="n">
        <v>19.47</v>
      </c>
      <c r="F425" s="23" t="n">
        <v>26.91</v>
      </c>
      <c r="G425" s="23" t="n">
        <v>0</v>
      </c>
      <c r="H425" s="23" t="n">
        <f aca="false">((C425+D425+E425)-(F425-G425))</f>
        <v>-7.44</v>
      </c>
      <c r="I425" s="24" t="n">
        <f aca="false">ABS(IFERROR(H425/(F425-G425),H425/E425))</f>
        <v>0.276477146042363</v>
      </c>
    </row>
    <row r="426" customFormat="false" ht="15.75" hidden="false" customHeight="false" outlineLevel="0" collapsed="false">
      <c r="A426" s="3" t="n">
        <v>425</v>
      </c>
      <c r="B426" s="4" t="n">
        <v>45618</v>
      </c>
      <c r="C426" s="23" t="n">
        <v>0</v>
      </c>
      <c r="D426" s="23" t="n">
        <v>0</v>
      </c>
      <c r="E426" s="23" t="n">
        <v>6.99</v>
      </c>
      <c r="F426" s="23" t="n">
        <v>9.94</v>
      </c>
      <c r="G426" s="23" t="n">
        <v>0</v>
      </c>
      <c r="H426" s="23" t="n">
        <f aca="false">((C426+D426+E426)-(F426-G426))</f>
        <v>-2.95</v>
      </c>
      <c r="I426" s="24" t="n">
        <f aca="false">ABS(IFERROR(H426/(F426-G426),H426/E426))</f>
        <v>0.296780684104628</v>
      </c>
    </row>
    <row r="427" customFormat="false" ht="15.75" hidden="false" customHeight="false" outlineLevel="0" collapsed="false">
      <c r="A427" s="3" t="n">
        <v>426</v>
      </c>
      <c r="B427" s="4" t="n">
        <v>45618</v>
      </c>
      <c r="C427" s="23" t="n">
        <v>0</v>
      </c>
      <c r="D427" s="23" t="n">
        <v>0</v>
      </c>
      <c r="E427" s="23" t="n">
        <v>6.99</v>
      </c>
      <c r="F427" s="23" t="n">
        <v>8.97</v>
      </c>
      <c r="G427" s="23" t="n">
        <v>0</v>
      </c>
      <c r="H427" s="23" t="n">
        <f aca="false">((C427+D427+E427)-(F427-G427))</f>
        <v>-1.98</v>
      </c>
      <c r="I427" s="24" t="n">
        <f aca="false">ABS(IFERROR(H427/(F427-G427),H427/E427))</f>
        <v>0.220735785953177</v>
      </c>
    </row>
    <row r="428" customFormat="false" ht="15.75" hidden="false" customHeight="false" outlineLevel="0" collapsed="false">
      <c r="A428" s="3" t="n">
        <v>427</v>
      </c>
      <c r="B428" s="4" t="n">
        <v>45619</v>
      </c>
      <c r="C428" s="23" t="n">
        <v>0</v>
      </c>
      <c r="D428" s="23" t="n">
        <v>0</v>
      </c>
      <c r="E428" s="23" t="n">
        <v>16.06</v>
      </c>
      <c r="F428" s="23" t="n">
        <v>19.94</v>
      </c>
      <c r="G428" s="23" t="n">
        <v>0</v>
      </c>
      <c r="H428" s="23" t="n">
        <f aca="false">((C428+D428+E428)-(F428-G428))</f>
        <v>-3.88</v>
      </c>
      <c r="I428" s="24" t="n">
        <f aca="false">ABS(IFERROR(H428/(F428-G428),H428/E428))</f>
        <v>0.194583751253761</v>
      </c>
    </row>
    <row r="429" customFormat="false" ht="15.75" hidden="false" customHeight="false" outlineLevel="0" collapsed="false">
      <c r="A429" s="3" t="n">
        <v>428</v>
      </c>
      <c r="B429" s="4" t="n">
        <v>45619</v>
      </c>
      <c r="C429" s="23" t="n">
        <v>0</v>
      </c>
      <c r="D429" s="23" t="n">
        <v>0</v>
      </c>
      <c r="E429" s="23" t="n">
        <v>22.06</v>
      </c>
      <c r="F429" s="23" t="n">
        <v>28.94</v>
      </c>
      <c r="G429" s="23" t="n">
        <v>0</v>
      </c>
      <c r="H429" s="23" t="n">
        <f aca="false">((C429+D429+E429)-(F429-G429))</f>
        <v>-6.88</v>
      </c>
      <c r="I429" s="24" t="n">
        <f aca="false">ABS(IFERROR(H429/(F429-G429),H429/E429))</f>
        <v>0.237733241188666</v>
      </c>
    </row>
    <row r="430" customFormat="false" ht="15.75" hidden="false" customHeight="false" outlineLevel="0" collapsed="false">
      <c r="A430" s="3" t="n">
        <v>429</v>
      </c>
      <c r="B430" s="4" t="n">
        <v>45619</v>
      </c>
      <c r="C430" s="23" t="n">
        <v>3.66</v>
      </c>
      <c r="D430" s="23" t="n">
        <v>0</v>
      </c>
      <c r="E430" s="23" t="n">
        <v>7.45</v>
      </c>
      <c r="F430" s="23" t="n">
        <v>16.41</v>
      </c>
      <c r="G430" s="23" t="n">
        <v>0</v>
      </c>
      <c r="H430" s="23" t="n">
        <f aca="false">((C430+D430+E430)-(F430-G430))</f>
        <v>-5.3</v>
      </c>
      <c r="I430" s="24" t="n">
        <f aca="false">ABS(IFERROR(H430/(F430-G430),H430/E430))</f>
        <v>0.32297379646557</v>
      </c>
    </row>
    <row r="431" customFormat="false" ht="15.75" hidden="false" customHeight="false" outlineLevel="0" collapsed="false">
      <c r="A431" s="3" t="n">
        <v>430</v>
      </c>
      <c r="B431" s="4" t="n">
        <v>45619</v>
      </c>
      <c r="C431" s="23" t="n">
        <v>0</v>
      </c>
      <c r="D431" s="23" t="n">
        <v>0</v>
      </c>
      <c r="E431" s="23" t="n">
        <v>6.99</v>
      </c>
      <c r="F431" s="23" t="n">
        <v>8.92</v>
      </c>
      <c r="G431" s="23" t="n">
        <v>0</v>
      </c>
      <c r="H431" s="23" t="n">
        <f aca="false">((C431+D431+E431)-(F431-G431))</f>
        <v>-1.93</v>
      </c>
      <c r="I431" s="24" t="n">
        <f aca="false">ABS(IFERROR(H431/(F431-G431),H431/E431))</f>
        <v>0.216367713004484</v>
      </c>
    </row>
    <row r="432" customFormat="false" ht="15.75" hidden="false" customHeight="false" outlineLevel="0" collapsed="false">
      <c r="A432" s="3" t="n">
        <v>431</v>
      </c>
      <c r="B432" s="4" t="n">
        <v>45619</v>
      </c>
      <c r="C432" s="23" t="n">
        <v>0</v>
      </c>
      <c r="D432" s="23" t="n">
        <v>0</v>
      </c>
      <c r="E432" s="23" t="n">
        <v>7.96</v>
      </c>
      <c r="F432" s="23" t="n">
        <v>9.95</v>
      </c>
      <c r="G432" s="23" t="n">
        <v>0</v>
      </c>
      <c r="H432" s="23" t="n">
        <f aca="false">((C432+D432+E432)-(F432-G432))</f>
        <v>-1.99</v>
      </c>
      <c r="I432" s="24" t="n">
        <f aca="false">ABS(IFERROR(H432/(F432-G432),H432/E432))</f>
        <v>0.2</v>
      </c>
    </row>
    <row r="433" customFormat="false" ht="15.75" hidden="false" customHeight="false" outlineLevel="0" collapsed="false">
      <c r="A433" s="3" t="n">
        <v>432</v>
      </c>
      <c r="B433" s="4" t="n">
        <v>45619</v>
      </c>
      <c r="C433" s="23" t="n">
        <v>1</v>
      </c>
      <c r="D433" s="23" t="n">
        <v>0</v>
      </c>
      <c r="E433" s="23" t="n">
        <v>22.45</v>
      </c>
      <c r="F433" s="23" t="n">
        <v>26.3</v>
      </c>
      <c r="G433" s="23" t="n">
        <v>2.35</v>
      </c>
      <c r="H433" s="23" t="n">
        <f aca="false">((C433+D433+E433)-(F433-G433))</f>
        <v>-0.5</v>
      </c>
      <c r="I433" s="24" t="n">
        <f aca="false">ABS(IFERROR(H433/(F433-G433),H433/E433))</f>
        <v>0.0208768267223382</v>
      </c>
    </row>
    <row r="434" customFormat="false" ht="15.75" hidden="false" customHeight="false" outlineLevel="0" collapsed="false">
      <c r="A434" s="3" t="n">
        <v>433</v>
      </c>
      <c r="B434" s="4" t="n">
        <v>45619</v>
      </c>
      <c r="C434" s="23" t="n">
        <v>1.25</v>
      </c>
      <c r="D434" s="23" t="n">
        <v>0</v>
      </c>
      <c r="E434" s="23" t="n">
        <v>18.43</v>
      </c>
      <c r="F434" s="23" t="n">
        <v>21.95</v>
      </c>
      <c r="G434" s="23" t="n">
        <v>9.13</v>
      </c>
      <c r="H434" s="23" t="n">
        <f aca="false">((C434+D434+E434)-(F434-G434))</f>
        <v>6.86</v>
      </c>
      <c r="I434" s="24" t="n">
        <f aca="false">ABS(IFERROR(H434/(F434-G434),H434/E434))</f>
        <v>0.535101404056162</v>
      </c>
    </row>
    <row r="435" customFormat="false" ht="15.75" hidden="false" customHeight="false" outlineLevel="0" collapsed="false">
      <c r="A435" s="3" t="n">
        <v>434</v>
      </c>
      <c r="B435" s="4" t="n">
        <v>45620</v>
      </c>
      <c r="C435" s="23" t="n">
        <v>1.75</v>
      </c>
      <c r="D435" s="23" t="n">
        <v>0</v>
      </c>
      <c r="E435" s="23" t="n">
        <v>24.68</v>
      </c>
      <c r="F435" s="23" t="n">
        <v>29.75</v>
      </c>
      <c r="G435" s="23" t="n">
        <v>0</v>
      </c>
      <c r="H435" s="23" t="n">
        <f aca="false">((C435+D435+E435)-(F435-G435))</f>
        <v>-3.32</v>
      </c>
      <c r="I435" s="24" t="n">
        <f aca="false">ABS(IFERROR(H435/(F435-G435),H435/E435))</f>
        <v>0.111596638655462</v>
      </c>
    </row>
    <row r="436" customFormat="false" ht="15.75" hidden="false" customHeight="false" outlineLevel="0" collapsed="false">
      <c r="A436" s="3" t="n">
        <v>435</v>
      </c>
      <c r="B436" s="4" t="n">
        <v>45620</v>
      </c>
      <c r="C436" s="23" t="n">
        <v>1.25</v>
      </c>
      <c r="D436" s="23" t="n">
        <v>0</v>
      </c>
      <c r="E436" s="23" t="n">
        <v>28.22</v>
      </c>
      <c r="F436" s="23" t="n">
        <v>35.77</v>
      </c>
      <c r="G436" s="23" t="n">
        <v>0</v>
      </c>
      <c r="H436" s="23" t="n">
        <f aca="false">((C436+D436+E436)-(F436-G436))</f>
        <v>-6.3</v>
      </c>
      <c r="I436" s="24" t="n">
        <f aca="false">ABS(IFERROR(H436/(F436-G436),H436/E436))</f>
        <v>0.176125244618395</v>
      </c>
    </row>
    <row r="437" customFormat="false" ht="15.75" hidden="false" customHeight="false" outlineLevel="0" collapsed="false">
      <c r="A437" s="3" t="n">
        <v>436</v>
      </c>
      <c r="B437" s="4" t="n">
        <v>45620</v>
      </c>
      <c r="C437" s="23" t="n">
        <v>0</v>
      </c>
      <c r="D437" s="23" t="n">
        <v>0</v>
      </c>
      <c r="E437" s="23" t="n">
        <v>14.55</v>
      </c>
      <c r="F437" s="23" t="n">
        <v>20.92</v>
      </c>
      <c r="G437" s="23" t="n">
        <v>0</v>
      </c>
      <c r="H437" s="23" t="n">
        <f aca="false">((C437+D437+E437)-(F437-G437))</f>
        <v>-6.37</v>
      </c>
      <c r="I437" s="24" t="n">
        <f aca="false">ABS(IFERROR(H437/(F437-G437),H437/E437))</f>
        <v>0.304493307839388</v>
      </c>
    </row>
    <row r="438" customFormat="false" ht="15.75" hidden="false" customHeight="false" outlineLevel="0" collapsed="false">
      <c r="A438" s="3" t="n">
        <v>437</v>
      </c>
      <c r="B438" s="4" t="n">
        <v>45620</v>
      </c>
      <c r="C438" s="23" t="n">
        <v>0</v>
      </c>
      <c r="D438" s="23" t="n">
        <v>0</v>
      </c>
      <c r="E438" s="23" t="n">
        <v>10.75</v>
      </c>
      <c r="F438" s="23" t="n">
        <v>17.91</v>
      </c>
      <c r="G438" s="23" t="n">
        <v>0</v>
      </c>
      <c r="H438" s="23" t="n">
        <f aca="false">((C438+D438+E438)-(F438-G438))</f>
        <v>-7.16</v>
      </c>
      <c r="I438" s="24" t="n">
        <f aca="false">ABS(IFERROR(H438/(F438-G438),H438/E438))</f>
        <v>0.399776661083194</v>
      </c>
    </row>
    <row r="439" customFormat="false" ht="15.75" hidden="false" customHeight="false" outlineLevel="0" collapsed="false">
      <c r="A439" s="3" t="n">
        <v>438</v>
      </c>
      <c r="B439" s="4" t="n">
        <v>45620</v>
      </c>
      <c r="C439" s="23" t="n">
        <v>0</v>
      </c>
      <c r="D439" s="23" t="n">
        <v>0</v>
      </c>
      <c r="E439" s="23" t="n">
        <v>7.08</v>
      </c>
      <c r="F439" s="23" t="n">
        <v>9.57</v>
      </c>
      <c r="G439" s="23" t="n">
        <v>0.48</v>
      </c>
      <c r="H439" s="23" t="n">
        <f aca="false">((C439+D439+E439)-(F439-G439))</f>
        <v>-2.01</v>
      </c>
      <c r="I439" s="24" t="n">
        <f aca="false">ABS(IFERROR(H439/(F439-G439),H439/E439))</f>
        <v>0.221122112211221</v>
      </c>
    </row>
    <row r="440" customFormat="false" ht="15.75" hidden="false" customHeight="false" outlineLevel="0" collapsed="false">
      <c r="A440" s="3" t="n">
        <v>439</v>
      </c>
      <c r="B440" s="4" t="n">
        <v>45620</v>
      </c>
      <c r="C440" s="23" t="n">
        <v>0</v>
      </c>
      <c r="D440" s="23" t="n">
        <v>0</v>
      </c>
      <c r="E440" s="23" t="n">
        <v>6.98</v>
      </c>
      <c r="F440" s="23" t="n">
        <v>9.94</v>
      </c>
      <c r="G440" s="23" t="n">
        <v>0</v>
      </c>
      <c r="H440" s="23" t="n">
        <f aca="false">((C440+D440+E440)-(F440-G440))</f>
        <v>-2.96</v>
      </c>
      <c r="I440" s="24" t="n">
        <f aca="false">ABS(IFERROR(H440/(F440-G440),H440/E440))</f>
        <v>0.297786720321932</v>
      </c>
    </row>
    <row r="441" customFormat="false" ht="15.75" hidden="false" customHeight="false" outlineLevel="0" collapsed="false">
      <c r="A441" s="3" t="n">
        <v>440</v>
      </c>
      <c r="B441" s="4" t="n">
        <v>45621</v>
      </c>
      <c r="C441" s="23" t="n">
        <v>0</v>
      </c>
      <c r="D441" s="23" t="n">
        <v>0</v>
      </c>
      <c r="E441" s="23" t="n">
        <v>7.35</v>
      </c>
      <c r="F441" s="23" t="n">
        <v>11.98</v>
      </c>
      <c r="G441" s="23" t="n">
        <v>0</v>
      </c>
      <c r="H441" s="23" t="n">
        <f aca="false">((C441+D441+E441)-(F441-G441))</f>
        <v>-4.63</v>
      </c>
      <c r="I441" s="24" t="n">
        <f aca="false">ABS(IFERROR(H441/(F441-G441),H441/E441))</f>
        <v>0.386477462437396</v>
      </c>
    </row>
    <row r="442" customFormat="false" ht="15.75" hidden="false" customHeight="false" outlineLevel="0" collapsed="false">
      <c r="A442" s="3" t="n">
        <v>441</v>
      </c>
      <c r="B442" s="4" t="n">
        <v>45621</v>
      </c>
      <c r="C442" s="23" t="n">
        <v>0</v>
      </c>
      <c r="D442" s="23" t="n">
        <v>0</v>
      </c>
      <c r="E442" s="23" t="n">
        <v>6.98</v>
      </c>
      <c r="F442" s="23" t="n">
        <v>8.97</v>
      </c>
      <c r="G442" s="23" t="n">
        <v>0</v>
      </c>
      <c r="H442" s="23" t="n">
        <f aca="false">((C442+D442+E442)-(F442-G442))</f>
        <v>-1.99</v>
      </c>
      <c r="I442" s="24" t="n">
        <f aca="false">ABS(IFERROR(H442/(F442-G442),H442/E442))</f>
        <v>0.221850613154961</v>
      </c>
    </row>
    <row r="443" customFormat="false" ht="15.75" hidden="false" customHeight="false" outlineLevel="0" collapsed="false">
      <c r="A443" s="3" t="n">
        <v>442</v>
      </c>
      <c r="B443" s="4" t="n">
        <v>45621</v>
      </c>
      <c r="C443" s="23" t="n">
        <v>0</v>
      </c>
      <c r="D443" s="23" t="n">
        <v>0</v>
      </c>
      <c r="E443" s="23" t="n">
        <v>6.98</v>
      </c>
      <c r="F443" s="23" t="n">
        <v>9.92</v>
      </c>
      <c r="G443" s="23" t="n">
        <v>0</v>
      </c>
      <c r="H443" s="23" t="n">
        <f aca="false">((C443+D443+E443)-(F443-G443))</f>
        <v>-2.94</v>
      </c>
      <c r="I443" s="24" t="n">
        <f aca="false">ABS(IFERROR(H443/(F443-G443),H443/E443))</f>
        <v>0.296370967741935</v>
      </c>
    </row>
    <row r="444" customFormat="false" ht="15.75" hidden="false" customHeight="false" outlineLevel="0" collapsed="false">
      <c r="A444" s="3" t="n">
        <v>443</v>
      </c>
      <c r="B444" s="4" t="n">
        <v>45625</v>
      </c>
      <c r="C444" s="23" t="n">
        <v>1.5</v>
      </c>
      <c r="D444" s="23" t="n">
        <v>0</v>
      </c>
      <c r="E444" s="23" t="n">
        <v>6.99</v>
      </c>
      <c r="F444" s="23" t="n">
        <v>10.01</v>
      </c>
      <c r="G444" s="23" t="n">
        <v>0.09</v>
      </c>
      <c r="H444" s="23" t="n">
        <f aca="false">((C444+D444+E444)-(F444-G444))</f>
        <v>-1.43</v>
      </c>
      <c r="I444" s="24" t="n">
        <f aca="false">ABS(IFERROR(H444/(F444-G444),H444/E444))</f>
        <v>0.144153225806452</v>
      </c>
    </row>
    <row r="445" customFormat="false" ht="15.75" hidden="false" customHeight="false" outlineLevel="0" collapsed="false">
      <c r="A445" s="3" t="n">
        <v>444</v>
      </c>
      <c r="B445" s="4" t="n">
        <v>45625</v>
      </c>
      <c r="C445" s="23" t="n">
        <v>0</v>
      </c>
      <c r="D445" s="23" t="n">
        <v>0</v>
      </c>
      <c r="E445" s="23" t="n">
        <v>1.84</v>
      </c>
      <c r="F445" s="23" t="n">
        <v>2.13</v>
      </c>
      <c r="G445" s="23" t="n">
        <v>0</v>
      </c>
      <c r="H445" s="23" t="n">
        <f aca="false">((C445+D445+E445)-(F445-G445))</f>
        <v>-0.29</v>
      </c>
      <c r="I445" s="24" t="n">
        <f aca="false">ABS(IFERROR(H445/(F445-G445),H445/E445))</f>
        <v>0.136150234741784</v>
      </c>
    </row>
    <row r="446" customFormat="false" ht="15.75" hidden="false" customHeight="false" outlineLevel="0" collapsed="false">
      <c r="A446" s="3" t="n">
        <v>445</v>
      </c>
      <c r="B446" s="4" t="n">
        <v>45625</v>
      </c>
      <c r="C446" s="23" t="n">
        <v>1.75</v>
      </c>
      <c r="D446" s="23" t="n">
        <v>0</v>
      </c>
      <c r="E446" s="23" t="n">
        <v>23.8</v>
      </c>
      <c r="F446" s="23" t="n">
        <v>28.29</v>
      </c>
      <c r="G446" s="23" t="n">
        <v>1.38</v>
      </c>
      <c r="H446" s="23" t="n">
        <f aca="false">((C446+D446+E446)-(F446-G446))</f>
        <v>-1.36</v>
      </c>
      <c r="I446" s="24" t="n">
        <f aca="false">ABS(IFERROR(H446/(F446-G446),H446/E446))</f>
        <v>0.0505388331475288</v>
      </c>
    </row>
    <row r="447" customFormat="false" ht="15.75" hidden="false" customHeight="false" outlineLevel="0" collapsed="false">
      <c r="A447" s="3" t="n">
        <v>446</v>
      </c>
      <c r="B447" s="4" t="n">
        <v>45625</v>
      </c>
      <c r="C447" s="23" t="n">
        <v>1.25</v>
      </c>
      <c r="D447" s="23" t="n">
        <v>0</v>
      </c>
      <c r="E447" s="23" t="n">
        <v>10.29</v>
      </c>
      <c r="F447" s="23" t="n">
        <v>13.33</v>
      </c>
      <c r="G447" s="23" t="n">
        <v>1.21</v>
      </c>
      <c r="H447" s="23" t="n">
        <f aca="false">((C447+D447+E447)-(F447-G447))</f>
        <v>-0.580000000000002</v>
      </c>
      <c r="I447" s="24" t="n">
        <f aca="false">ABS(IFERROR(H447/(F447-G447),H447/E447))</f>
        <v>0.047854785478548</v>
      </c>
    </row>
    <row r="448" customFormat="false" ht="15.75" hidden="false" customHeight="false" outlineLevel="0" collapsed="false">
      <c r="A448" s="3" t="n">
        <v>447</v>
      </c>
      <c r="B448" s="4" t="n">
        <v>45625</v>
      </c>
      <c r="C448" s="23" t="n">
        <v>0</v>
      </c>
      <c r="D448" s="23" t="n">
        <v>0</v>
      </c>
      <c r="E448" s="23" t="n">
        <v>7</v>
      </c>
      <c r="F448" s="23" t="n">
        <v>9.95</v>
      </c>
      <c r="G448" s="23" t="n">
        <v>0</v>
      </c>
      <c r="H448" s="23" t="n">
        <f aca="false">((C448+D448+E448)-(F448-G448))</f>
        <v>-2.95</v>
      </c>
      <c r="I448" s="24" t="n">
        <f aca="false">ABS(IFERROR(H448/(F448-G448),H448/E448))</f>
        <v>0.296482412060301</v>
      </c>
    </row>
    <row r="449" customFormat="false" ht="15.75" hidden="false" customHeight="false" outlineLevel="0" collapsed="false">
      <c r="A449" s="3" t="n">
        <v>448</v>
      </c>
      <c r="B449" s="4" t="n">
        <v>45626</v>
      </c>
      <c r="C449" s="23" t="n">
        <v>2</v>
      </c>
      <c r="D449" s="23" t="n">
        <v>0</v>
      </c>
      <c r="E449" s="23" t="n">
        <v>13.11</v>
      </c>
      <c r="F449" s="23" t="n">
        <v>17.13</v>
      </c>
      <c r="G449" s="23" t="n">
        <v>3.17</v>
      </c>
      <c r="H449" s="23" t="n">
        <f aca="false">((C449+D449+E449)-(F449-G449))</f>
        <v>1.15</v>
      </c>
      <c r="I449" s="24" t="n">
        <f aca="false">ABS(IFERROR(H449/(F449-G449),H449/E449))</f>
        <v>0.082378223495702</v>
      </c>
    </row>
    <row r="450" customFormat="false" ht="15.75" hidden="false" customHeight="false" outlineLevel="0" collapsed="false">
      <c r="A450" s="3" t="n">
        <v>449</v>
      </c>
      <c r="B450" s="4" t="n">
        <v>45626</v>
      </c>
      <c r="C450" s="23" t="n">
        <v>2</v>
      </c>
      <c r="D450" s="23" t="n">
        <v>0</v>
      </c>
      <c r="E450" s="23" t="n">
        <v>30.36</v>
      </c>
      <c r="F450" s="23" t="n">
        <v>46.93</v>
      </c>
      <c r="G450" s="23" t="n">
        <v>0</v>
      </c>
      <c r="H450" s="23" t="n">
        <f aca="false">((C450+D450+E450)-(F450-G450))</f>
        <v>-14.57</v>
      </c>
      <c r="I450" s="24" t="n">
        <f aca="false">ABS(IFERROR(H450/(F450-G450),H450/E450))</f>
        <v>0.310462390794801</v>
      </c>
    </row>
    <row r="451" customFormat="false" ht="15.75" hidden="false" customHeight="false" outlineLevel="0" collapsed="false">
      <c r="A451" s="3" t="n">
        <v>450</v>
      </c>
      <c r="B451" s="4" t="n">
        <v>45626</v>
      </c>
      <c r="C451" s="23" t="n">
        <v>0</v>
      </c>
      <c r="D451" s="23" t="n">
        <v>0</v>
      </c>
      <c r="E451" s="23" t="n">
        <v>25.25</v>
      </c>
      <c r="F451" s="23" t="n">
        <v>33.23</v>
      </c>
      <c r="G451" s="23" t="n">
        <v>4.98</v>
      </c>
      <c r="H451" s="23" t="n">
        <f aca="false">((C451+D451+E451)-(F451-G451))</f>
        <v>-3</v>
      </c>
      <c r="I451" s="24" t="n">
        <f aca="false">ABS(IFERROR(H451/(F451-G451),H451/E451))</f>
        <v>0.106194690265487</v>
      </c>
    </row>
    <row r="452" customFormat="false" ht="15.75" hidden="false" customHeight="false" outlineLevel="0" collapsed="false">
      <c r="A452" s="3" t="n">
        <v>451</v>
      </c>
      <c r="B452" s="4" t="n">
        <v>45626</v>
      </c>
      <c r="C452" s="23" t="n">
        <v>0</v>
      </c>
      <c r="D452" s="23" t="n">
        <v>0</v>
      </c>
      <c r="E452" s="23" t="n">
        <v>4.54</v>
      </c>
      <c r="F452" s="23" t="n">
        <v>5.25</v>
      </c>
      <c r="G452" s="23" t="n">
        <v>0</v>
      </c>
      <c r="H452" s="23" t="n">
        <f aca="false">((C452+D452+E452)-(F452-G452))</f>
        <v>-0.71</v>
      </c>
      <c r="I452" s="24" t="n">
        <f aca="false">ABS(IFERROR(H452/(F452-G452),H452/E452))</f>
        <v>0.135238095238095</v>
      </c>
    </row>
    <row r="453" customFormat="false" ht="15.75" hidden="false" customHeight="false" outlineLevel="0" collapsed="false">
      <c r="A453" s="3" t="n">
        <v>452</v>
      </c>
      <c r="B453" s="4" t="n">
        <v>45626</v>
      </c>
      <c r="C453" s="23" t="n">
        <v>0</v>
      </c>
      <c r="D453" s="23" t="n">
        <v>0</v>
      </c>
      <c r="E453" s="23" t="n">
        <v>11.57</v>
      </c>
      <c r="F453" s="23" t="n">
        <v>19.29</v>
      </c>
      <c r="G453" s="23" t="n">
        <v>0.95</v>
      </c>
      <c r="H453" s="23" t="n">
        <f aca="false">((C453+D453+E453)-(F453-G453))</f>
        <v>-6.77</v>
      </c>
      <c r="I453" s="24" t="n">
        <f aca="false">ABS(IFERROR(H453/(F453-G453),H453/E453))</f>
        <v>0.369138495092694</v>
      </c>
    </row>
    <row r="454" customFormat="false" ht="15.75" hidden="false" customHeight="false" outlineLevel="0" collapsed="false">
      <c r="A454" s="3" t="n">
        <v>453</v>
      </c>
      <c r="B454" s="4" t="n">
        <v>45626</v>
      </c>
      <c r="C454" s="23" t="n">
        <v>0</v>
      </c>
      <c r="D454" s="23" t="n">
        <v>0</v>
      </c>
      <c r="E454" s="23" t="n">
        <v>19.89</v>
      </c>
      <c r="F454" s="23" t="n">
        <v>23.43</v>
      </c>
      <c r="G454" s="23" t="n">
        <v>1.17</v>
      </c>
      <c r="H454" s="23" t="n">
        <f aca="false">((C454+D454+E454)-(F454-G454))</f>
        <v>-2.37</v>
      </c>
      <c r="I454" s="24" t="n">
        <f aca="false">ABS(IFERROR(H454/(F454-G454),H454/E454))</f>
        <v>0.106469002695418</v>
      </c>
    </row>
    <row r="455" customFormat="false" ht="15.75" hidden="false" customHeight="false" outlineLevel="0" collapsed="false">
      <c r="A455" s="3" t="n">
        <v>454</v>
      </c>
      <c r="B455" s="4" t="n">
        <v>45626</v>
      </c>
      <c r="C455" s="23" t="n">
        <v>0</v>
      </c>
      <c r="D455" s="23" t="n">
        <v>0</v>
      </c>
      <c r="E455" s="23" t="n">
        <v>20.59</v>
      </c>
      <c r="F455" s="23" t="n">
        <v>31.99</v>
      </c>
      <c r="G455" s="23" t="n">
        <v>0</v>
      </c>
      <c r="H455" s="23" t="n">
        <f aca="false">((C455+D455+E455)-(F455-G455))</f>
        <v>-11.4</v>
      </c>
      <c r="I455" s="24" t="n">
        <f aca="false">ABS(IFERROR(H455/(F455-G455),H455/E455))</f>
        <v>0.356361362925914</v>
      </c>
    </row>
    <row r="456" customFormat="false" ht="15.75" hidden="false" customHeight="false" outlineLevel="0" collapsed="false">
      <c r="A456" s="3" t="n">
        <v>455</v>
      </c>
      <c r="B456" s="4" t="n">
        <v>45626</v>
      </c>
      <c r="C456" s="23" t="n">
        <v>0</v>
      </c>
      <c r="D456" s="23" t="n">
        <v>0</v>
      </c>
      <c r="E456" s="23" t="n">
        <v>21.35</v>
      </c>
      <c r="F456" s="23" t="n">
        <v>24.03</v>
      </c>
      <c r="G456" s="23" t="n">
        <v>3.1</v>
      </c>
      <c r="H456" s="23" t="n">
        <f aca="false">((C456+D456+E456)-(F456-G456))</f>
        <v>0.420000000000002</v>
      </c>
      <c r="I456" s="24" t="n">
        <f aca="false">ABS(IFERROR(H456/(F456-G456),H456/E456))</f>
        <v>0.0200668896321071</v>
      </c>
    </row>
    <row r="457" customFormat="false" ht="15.75" hidden="false" customHeight="false" outlineLevel="0" collapsed="false">
      <c r="A457" s="3" t="n">
        <v>456</v>
      </c>
      <c r="B457" s="4" t="n">
        <v>45626</v>
      </c>
      <c r="C457" s="23" t="n">
        <v>0</v>
      </c>
      <c r="D457" s="23" t="n">
        <v>0</v>
      </c>
      <c r="E457" s="23" t="n">
        <v>7.22</v>
      </c>
      <c r="F457" s="23" t="n">
        <v>8.62</v>
      </c>
      <c r="G457" s="23" t="n">
        <v>1.13</v>
      </c>
      <c r="H457" s="23" t="n">
        <f aca="false">((C457+D457+E457)-(F457-G457))</f>
        <v>-0.27</v>
      </c>
      <c r="I457" s="24" t="n">
        <f aca="false">ABS(IFERROR(H457/(F457-G457),H457/E457))</f>
        <v>0.0360480640854472</v>
      </c>
    </row>
    <row r="458" customFormat="false" ht="15.75" hidden="false" customHeight="false" outlineLevel="0" collapsed="false">
      <c r="A458" s="3" t="n">
        <v>457</v>
      </c>
      <c r="B458" s="4" t="n">
        <v>45626</v>
      </c>
      <c r="C458" s="23" t="n">
        <v>3.75</v>
      </c>
      <c r="D458" s="23" t="n">
        <v>0</v>
      </c>
      <c r="E458" s="23" t="n">
        <v>14.28</v>
      </c>
      <c r="F458" s="23" t="n">
        <v>20.26</v>
      </c>
      <c r="G458" s="23" t="n">
        <v>2.28</v>
      </c>
      <c r="H458" s="23" t="n">
        <f aca="false">((C458+D458+E458)-(F458-G458))</f>
        <v>0.0500000000000007</v>
      </c>
      <c r="I458" s="24" t="n">
        <f aca="false">ABS(IFERROR(H458/(F458-G458),H458/E458))</f>
        <v>0.00278086763070082</v>
      </c>
    </row>
    <row r="459" customFormat="false" ht="15.75" hidden="false" customHeight="false" outlineLevel="0" collapsed="false">
      <c r="A459" s="3" t="n">
        <v>458</v>
      </c>
      <c r="B459" s="4" t="n">
        <v>45626</v>
      </c>
      <c r="C459" s="23" t="n">
        <v>3.5</v>
      </c>
      <c r="D459" s="23" t="n">
        <v>0</v>
      </c>
      <c r="E459" s="23" t="n">
        <v>29.04</v>
      </c>
      <c r="F459" s="23" t="n">
        <v>39.14</v>
      </c>
      <c r="G459" s="23" t="n">
        <v>0</v>
      </c>
      <c r="H459" s="23" t="n">
        <f aca="false">((C459+D459+E459)-(F459-G459))</f>
        <v>-6.6</v>
      </c>
      <c r="I459" s="24" t="n">
        <f aca="false">ABS(IFERROR(H459/(F459-G459),H459/E459))</f>
        <v>0.168625447112928</v>
      </c>
    </row>
    <row r="460" customFormat="false" ht="15.75" hidden="false" customHeight="false" outlineLevel="0" collapsed="false">
      <c r="A460" s="3" t="n">
        <v>459</v>
      </c>
      <c r="B460" s="4" t="n">
        <v>45626</v>
      </c>
      <c r="C460" s="23" t="n">
        <v>3.75</v>
      </c>
      <c r="D460" s="23" t="n">
        <v>0</v>
      </c>
      <c r="E460" s="23" t="n">
        <v>6.98</v>
      </c>
      <c r="F460" s="23" t="n">
        <v>12.86</v>
      </c>
      <c r="G460" s="23" t="n">
        <v>0.64</v>
      </c>
      <c r="H460" s="23" t="n">
        <f aca="false">((C460+D460+E460)-(F460-G460))</f>
        <v>-1.49</v>
      </c>
      <c r="I460" s="24" t="n">
        <f aca="false">ABS(IFERROR(H460/(F460-G460),H460/E460))</f>
        <v>0.121931260229132</v>
      </c>
    </row>
    <row r="461" customFormat="false" ht="15.75" hidden="false" customHeight="false" outlineLevel="0" collapsed="false">
      <c r="A461" s="3" t="n">
        <v>460</v>
      </c>
      <c r="B461" s="4" t="n">
        <v>45626</v>
      </c>
      <c r="C461" s="23" t="n">
        <v>3.5</v>
      </c>
      <c r="D461" s="23" t="n">
        <v>0</v>
      </c>
      <c r="E461" s="23" t="n">
        <v>19.13</v>
      </c>
      <c r="F461" s="23" t="n">
        <v>25.12</v>
      </c>
      <c r="G461" s="23" t="n">
        <v>2.19</v>
      </c>
      <c r="H461" s="23" t="n">
        <f aca="false">((C461+D461+E461)-(F461-G461))</f>
        <v>-0.300000000000001</v>
      </c>
      <c r="I461" s="24" t="n">
        <f aca="false">ABS(IFERROR(H461/(F461-G461),H461/E461))</f>
        <v>0.0130832969908417</v>
      </c>
    </row>
    <row r="462" customFormat="false" ht="15.75" hidden="false" customHeight="false" outlineLevel="0" collapsed="false">
      <c r="A462" s="3" t="n">
        <v>461</v>
      </c>
      <c r="B462" s="4" t="n">
        <v>45626</v>
      </c>
      <c r="C462" s="23" t="n">
        <v>3.5</v>
      </c>
      <c r="D462" s="23" t="n">
        <v>0</v>
      </c>
      <c r="E462" s="23" t="n">
        <v>31.98</v>
      </c>
      <c r="F462" s="23" t="n">
        <v>38.97</v>
      </c>
      <c r="G462" s="23" t="n">
        <v>4.04</v>
      </c>
      <c r="H462" s="23" t="n">
        <f aca="false">((C462+D462+E462)-(F462-G462))</f>
        <v>0.550000000000004</v>
      </c>
      <c r="I462" s="24" t="n">
        <f aca="false">ABS(IFERROR(H462/(F462-G462),H462/E462))</f>
        <v>0.0157457772688235</v>
      </c>
    </row>
    <row r="463" customFormat="false" ht="15.75" hidden="false" customHeight="false" outlineLevel="0" collapsed="false">
      <c r="A463" s="3" t="n">
        <v>462</v>
      </c>
      <c r="B463" s="4" t="n">
        <v>45626</v>
      </c>
      <c r="C463" s="23" t="n">
        <v>3</v>
      </c>
      <c r="D463" s="23" t="n">
        <v>0</v>
      </c>
      <c r="E463" s="23" t="n">
        <v>24</v>
      </c>
      <c r="F463" s="23" t="n">
        <v>30.1</v>
      </c>
      <c r="G463" s="23" t="n">
        <v>2.11</v>
      </c>
      <c r="H463" s="23" t="n">
        <f aca="false">((C463+D463+E463)-(F463-G463))</f>
        <v>-0.990000000000002</v>
      </c>
      <c r="I463" s="24" t="n">
        <f aca="false">ABS(IFERROR(H463/(F463-G463),H463/E463))</f>
        <v>0.0353697749196142</v>
      </c>
    </row>
    <row r="464" customFormat="false" ht="15.75" hidden="false" customHeight="false" outlineLevel="0" collapsed="false">
      <c r="A464" s="3" t="n">
        <v>463</v>
      </c>
      <c r="B464" s="4" t="n">
        <v>45626</v>
      </c>
      <c r="C464" s="23" t="n">
        <v>4</v>
      </c>
      <c r="D464" s="23" t="n">
        <v>0</v>
      </c>
      <c r="E464" s="23" t="n">
        <v>6.98</v>
      </c>
      <c r="F464" s="23" t="n">
        <v>12.53</v>
      </c>
      <c r="G464" s="23" t="n">
        <v>3.5</v>
      </c>
      <c r="H464" s="23" t="n">
        <f aca="false">((C464+D464+E464)-(F464-G464))</f>
        <v>1.95</v>
      </c>
      <c r="I464" s="24" t="n">
        <f aca="false">ABS(IFERROR(H464/(F464-G464),H464/E464))</f>
        <v>0.215946843853821</v>
      </c>
    </row>
    <row r="465" customFormat="false" ht="15.75" hidden="false" customHeight="false" outlineLevel="0" collapsed="false">
      <c r="A465" s="3" t="n">
        <v>464</v>
      </c>
      <c r="B465" s="4" t="n">
        <v>45626</v>
      </c>
      <c r="C465" s="23" t="n">
        <v>3.25</v>
      </c>
      <c r="D465" s="23" t="n">
        <v>0</v>
      </c>
      <c r="E465" s="23" t="n">
        <v>8.35</v>
      </c>
      <c r="F465" s="23" t="n">
        <v>13.34</v>
      </c>
      <c r="G465" s="23" t="n">
        <v>0.6</v>
      </c>
      <c r="H465" s="23" t="n">
        <f aca="false">((C465+D465+E465)-(F465-G465))</f>
        <v>-1.14</v>
      </c>
      <c r="I465" s="24" t="n">
        <f aca="false">ABS(IFERROR(H465/(F465-G465),H465/E465))</f>
        <v>0.0894819466248038</v>
      </c>
    </row>
    <row r="466" customFormat="false" ht="15.75" hidden="false" customHeight="false" outlineLevel="0" collapsed="false">
      <c r="A466" s="3" t="n">
        <v>465</v>
      </c>
      <c r="B466" s="4" t="n">
        <v>45626</v>
      </c>
      <c r="C466" s="23" t="n">
        <v>3.25</v>
      </c>
      <c r="D466" s="23" t="n">
        <v>0</v>
      </c>
      <c r="E466" s="23" t="n">
        <v>20.27</v>
      </c>
      <c r="F466" s="23" t="n">
        <v>26.03</v>
      </c>
      <c r="G466" s="23" t="n">
        <v>6.79</v>
      </c>
      <c r="H466" s="23" t="n">
        <f aca="false">((C466+D466+E466)-(F466-G466))</f>
        <v>4.28</v>
      </c>
      <c r="I466" s="24" t="n">
        <f aca="false">ABS(IFERROR(H466/(F466-G466),H466/E466))</f>
        <v>0.222453222453222</v>
      </c>
    </row>
    <row r="467" customFormat="false" ht="15.75" hidden="false" customHeight="false" outlineLevel="0" collapsed="false">
      <c r="A467" s="3" t="n">
        <v>466</v>
      </c>
      <c r="B467" s="4" t="n">
        <v>45626</v>
      </c>
      <c r="C467" s="23" t="n">
        <v>3</v>
      </c>
      <c r="D467" s="23" t="n">
        <v>0</v>
      </c>
      <c r="E467" s="23" t="n">
        <v>8.84</v>
      </c>
      <c r="F467" s="23" t="n">
        <v>13.47</v>
      </c>
      <c r="G467" s="23" t="n">
        <v>0.51</v>
      </c>
      <c r="H467" s="23" t="n">
        <f aca="false">((C467+D467+E467)-(F467-G467))</f>
        <v>-1.12</v>
      </c>
      <c r="I467" s="24" t="n">
        <f aca="false">ABS(IFERROR(H467/(F467-G467),H467/E467))</f>
        <v>0.0864197530864198</v>
      </c>
    </row>
    <row r="468" customFormat="false" ht="15.75" hidden="false" customHeight="false" outlineLevel="0" collapsed="false">
      <c r="A468" s="3" t="n">
        <v>467</v>
      </c>
      <c r="B468" s="4" t="n">
        <v>45626</v>
      </c>
      <c r="C468" s="23" t="n">
        <v>3.75</v>
      </c>
      <c r="D468" s="23" t="n">
        <v>0</v>
      </c>
      <c r="E468" s="23" t="n">
        <v>31.75</v>
      </c>
      <c r="F468" s="23" t="n">
        <v>44.96</v>
      </c>
      <c r="G468" s="23" t="n">
        <v>0</v>
      </c>
      <c r="H468" s="23" t="n">
        <f aca="false">((C468+D468+E468)-(F468-G468))</f>
        <v>-9.46</v>
      </c>
      <c r="I468" s="24" t="n">
        <f aca="false">ABS(IFERROR(H468/(F468-G468),H468/E468))</f>
        <v>0.210409252669039</v>
      </c>
    </row>
    <row r="469" customFormat="false" ht="15.75" hidden="false" customHeight="false" outlineLevel="0" collapsed="false">
      <c r="A469" s="3" t="n">
        <v>468</v>
      </c>
      <c r="B469" s="4" t="n">
        <v>45626</v>
      </c>
      <c r="C469" s="23" t="n">
        <v>3</v>
      </c>
      <c r="D469" s="23" t="n">
        <v>0</v>
      </c>
      <c r="E469" s="23" t="n">
        <v>8.43</v>
      </c>
      <c r="F469" s="23" t="n">
        <v>18.64</v>
      </c>
      <c r="G469" s="23" t="n">
        <v>0.93</v>
      </c>
      <c r="H469" s="23" t="n">
        <f aca="false">((C469+D469+E469)-(F469-G469))</f>
        <v>-6.28</v>
      </c>
      <c r="I469" s="24" t="n">
        <f aca="false">ABS(IFERROR(H469/(F469-G469),H469/E469))</f>
        <v>0.354601919819311</v>
      </c>
    </row>
    <row r="470" customFormat="false" ht="15.75" hidden="false" customHeight="false" outlineLevel="0" collapsed="false">
      <c r="A470" s="3" t="n">
        <v>469</v>
      </c>
      <c r="B470" s="4" t="n">
        <v>45627</v>
      </c>
      <c r="C470" s="23" t="n">
        <v>3.25</v>
      </c>
      <c r="D470" s="23" t="n">
        <v>0</v>
      </c>
      <c r="E470" s="23" t="n">
        <v>16.84</v>
      </c>
      <c r="F470" s="23" t="n">
        <v>31.09</v>
      </c>
      <c r="G470" s="23" t="n">
        <v>0</v>
      </c>
      <c r="H470" s="23" t="n">
        <f aca="false">((C470+D470+E470)-(F470-G470))</f>
        <v>-11</v>
      </c>
      <c r="I470" s="24" t="n">
        <f aca="false">ABS(IFERROR(H470/(F470-G470),H470/E470))</f>
        <v>0.353811514956578</v>
      </c>
    </row>
    <row r="471" customFormat="false" ht="15.75" hidden="false" customHeight="false" outlineLevel="0" collapsed="false">
      <c r="A471" s="3" t="n">
        <v>470</v>
      </c>
      <c r="B471" s="4" t="n">
        <v>45627</v>
      </c>
      <c r="C471" s="23" t="n">
        <v>2.75</v>
      </c>
      <c r="D471" s="23" t="n">
        <v>0</v>
      </c>
      <c r="E471" s="23" t="n">
        <v>9.58</v>
      </c>
      <c r="F471" s="23" t="n">
        <v>15.93</v>
      </c>
      <c r="G471" s="23" t="n">
        <v>0</v>
      </c>
      <c r="H471" s="23" t="n">
        <f aca="false">((C471+D471+E471)-(F471-G471))</f>
        <v>-3.6</v>
      </c>
      <c r="I471" s="24" t="n">
        <f aca="false">ABS(IFERROR(H471/(F471-G471),H471/E471))</f>
        <v>0.225988700564972</v>
      </c>
    </row>
    <row r="472" customFormat="false" ht="15.75" hidden="false" customHeight="false" outlineLevel="0" collapsed="false">
      <c r="A472" s="3" t="n">
        <v>471</v>
      </c>
      <c r="B472" s="4" t="n">
        <v>45627</v>
      </c>
      <c r="C472" s="23" t="n">
        <v>2.75</v>
      </c>
      <c r="D472" s="23" t="n">
        <v>0</v>
      </c>
      <c r="E472" s="23" t="n">
        <v>15.27</v>
      </c>
      <c r="F472" s="23" t="n">
        <v>22.93</v>
      </c>
      <c r="G472" s="23" t="n">
        <v>0</v>
      </c>
      <c r="H472" s="23" t="n">
        <f aca="false">((C472+D472+E472)-(F472-G472))</f>
        <v>-4.91</v>
      </c>
      <c r="I472" s="24" t="n">
        <f aca="false">ABS(IFERROR(H472/(F472-G472),H472/E472))</f>
        <v>0.214129960750109</v>
      </c>
    </row>
    <row r="473" customFormat="false" ht="15.75" hidden="false" customHeight="false" outlineLevel="0" collapsed="false">
      <c r="A473" s="3" t="n">
        <v>472</v>
      </c>
      <c r="B473" s="4" t="n">
        <v>45627</v>
      </c>
      <c r="C473" s="23" t="n">
        <v>0</v>
      </c>
      <c r="D473" s="23" t="n">
        <v>0</v>
      </c>
      <c r="E473" s="23" t="n">
        <v>20.16</v>
      </c>
      <c r="F473" s="23" t="n">
        <v>28.91</v>
      </c>
      <c r="G473" s="23" t="n">
        <v>0</v>
      </c>
      <c r="H473" s="23" t="n">
        <f aca="false">((C473+D473+E473)-(F473-G473))</f>
        <v>-8.75</v>
      </c>
      <c r="I473" s="24" t="n">
        <f aca="false">ABS(IFERROR(H473/(F473-G473),H473/E473))</f>
        <v>0.302663438256659</v>
      </c>
    </row>
    <row r="474" customFormat="false" ht="15.75" hidden="false" customHeight="false" outlineLevel="0" collapsed="false">
      <c r="A474" s="3" t="n">
        <v>473</v>
      </c>
      <c r="B474" s="4" t="n">
        <v>45627</v>
      </c>
      <c r="C474" s="23" t="n">
        <v>3.25</v>
      </c>
      <c r="D474" s="23" t="n">
        <v>0</v>
      </c>
      <c r="E474" s="23" t="n">
        <v>20.41</v>
      </c>
      <c r="F474" s="23" t="n">
        <v>26.57</v>
      </c>
      <c r="G474" s="23" t="n">
        <v>1.64</v>
      </c>
      <c r="H474" s="23" t="n">
        <f aca="false">((C474+D474+E474)-(F474-G474))</f>
        <v>-1.27</v>
      </c>
      <c r="I474" s="24" t="n">
        <f aca="false">ABS(IFERROR(H474/(F474-G474),H474/E474))</f>
        <v>0.0509426393902928</v>
      </c>
    </row>
    <row r="475" customFormat="false" ht="15.75" hidden="false" customHeight="false" outlineLevel="0" collapsed="false">
      <c r="A475" s="3" t="n">
        <v>474</v>
      </c>
      <c r="B475" s="4" t="n">
        <v>45627</v>
      </c>
      <c r="C475" s="23" t="n">
        <v>2.25</v>
      </c>
      <c r="D475" s="23" t="n">
        <v>0</v>
      </c>
      <c r="E475" s="23" t="n">
        <v>10.41</v>
      </c>
      <c r="F475" s="23" t="n">
        <v>14.9</v>
      </c>
      <c r="G475" s="23" t="n">
        <v>0</v>
      </c>
      <c r="H475" s="23" t="n">
        <f aca="false">((C475+D475+E475)-(F475-G475))</f>
        <v>-2.24</v>
      </c>
      <c r="I475" s="24" t="n">
        <f aca="false">ABS(IFERROR(H475/(F475-G475),H475/E475))</f>
        <v>0.150335570469799</v>
      </c>
    </row>
    <row r="476" customFormat="false" ht="15.75" hidden="false" customHeight="false" outlineLevel="0" collapsed="false">
      <c r="A476" s="3" t="n">
        <v>475</v>
      </c>
      <c r="B476" s="4" t="n">
        <v>45627</v>
      </c>
      <c r="C476" s="23" t="n">
        <v>2</v>
      </c>
      <c r="D476" s="23" t="n">
        <v>0</v>
      </c>
      <c r="E476" s="23" t="n">
        <v>6.98</v>
      </c>
      <c r="F476" s="23" t="n">
        <v>10.41</v>
      </c>
      <c r="G476" s="23" t="n">
        <v>1.42</v>
      </c>
      <c r="H476" s="23" t="n">
        <f aca="false">((C476+D476+E476)-(F476-G476))</f>
        <v>-0.00999999999999979</v>
      </c>
      <c r="I476" s="24" t="n">
        <f aca="false">ABS(IFERROR(H476/(F476-G476),H476/E476))</f>
        <v>0.00111234705228029</v>
      </c>
    </row>
    <row r="477" customFormat="false" ht="15.75" hidden="false" customHeight="false" outlineLevel="0" collapsed="false">
      <c r="A477" s="3" t="n">
        <v>476</v>
      </c>
      <c r="B477" s="4" t="n">
        <v>45627</v>
      </c>
      <c r="C477" s="23" t="n">
        <v>0</v>
      </c>
      <c r="D477" s="23" t="n">
        <v>0</v>
      </c>
      <c r="E477" s="23" t="n">
        <v>50</v>
      </c>
      <c r="F477" s="23" t="n">
        <v>0</v>
      </c>
      <c r="G477" s="23" t="n">
        <v>0</v>
      </c>
      <c r="H477" s="23" t="n">
        <f aca="false">((C477+D477+E477)-(F477-G477))</f>
        <v>50</v>
      </c>
      <c r="I477" s="24" t="n">
        <f aca="false">ABS(IFERROR(H477/(F477-G477),H477/E477))</f>
        <v>1</v>
      </c>
    </row>
    <row r="478" customFormat="false" ht="15.75" hidden="false" customHeight="false" outlineLevel="0" collapsed="false">
      <c r="A478" s="3" t="n">
        <v>477</v>
      </c>
      <c r="B478" s="4" t="n">
        <v>45628</v>
      </c>
      <c r="C478" s="23" t="n">
        <v>2.5</v>
      </c>
      <c r="D478" s="23" t="n">
        <v>0</v>
      </c>
      <c r="E478" s="23" t="n">
        <v>25.32</v>
      </c>
      <c r="F478" s="23" t="n">
        <v>31.51</v>
      </c>
      <c r="G478" s="23" t="n">
        <v>1.55</v>
      </c>
      <c r="H478" s="23" t="n">
        <f aca="false">((C478+D478+E478)-(F478-G478))</f>
        <v>-2.14</v>
      </c>
      <c r="I478" s="24" t="n">
        <f aca="false">ABS(IFERROR(H478/(F478-G478),H478/E478))</f>
        <v>0.0714285714285715</v>
      </c>
    </row>
    <row r="479" customFormat="false" ht="15.75" hidden="false" customHeight="false" outlineLevel="0" collapsed="false">
      <c r="A479" s="3" t="n">
        <v>478</v>
      </c>
      <c r="B479" s="4" t="n">
        <v>45628</v>
      </c>
      <c r="C479" s="23" t="n">
        <v>2.25</v>
      </c>
      <c r="D479" s="23" t="n">
        <v>0</v>
      </c>
      <c r="E479" s="23" t="n">
        <v>31.15</v>
      </c>
      <c r="F479" s="23" t="n">
        <v>36.58</v>
      </c>
      <c r="G479" s="23" t="n">
        <v>7.61</v>
      </c>
      <c r="H479" s="23" t="n">
        <f aca="false">((C479+D479+E479)-(F479-G479))</f>
        <v>4.43</v>
      </c>
      <c r="I479" s="24" t="n">
        <f aca="false">ABS(IFERROR(H479/(F479-G479),H479/E479))</f>
        <v>0.152916810493614</v>
      </c>
    </row>
    <row r="480" customFormat="false" ht="15.75" hidden="false" customHeight="false" outlineLevel="0" collapsed="false">
      <c r="A480" s="3" t="n">
        <v>479</v>
      </c>
      <c r="B480" s="4" t="n">
        <v>45630</v>
      </c>
      <c r="C480" s="23" t="n">
        <v>0</v>
      </c>
      <c r="D480" s="23" t="n">
        <v>0</v>
      </c>
      <c r="E480" s="23" t="n">
        <v>19.74</v>
      </c>
      <c r="F480" s="23" t="n">
        <v>23.79</v>
      </c>
      <c r="G480" s="23" t="n">
        <v>0</v>
      </c>
      <c r="H480" s="23" t="n">
        <f aca="false">((C480+D480+E480)-(F480-G480))</f>
        <v>-4.05</v>
      </c>
      <c r="I480" s="24" t="n">
        <f aca="false">ABS(IFERROR(H480/(F480-G480),H480/E480))</f>
        <v>0.170239596469105</v>
      </c>
    </row>
    <row r="481" customFormat="false" ht="15.75" hidden="false" customHeight="false" outlineLevel="0" collapsed="false">
      <c r="A481" s="3" t="n">
        <v>480</v>
      </c>
      <c r="B481" s="4" t="n">
        <v>45630</v>
      </c>
      <c r="C481" s="23" t="n">
        <v>0</v>
      </c>
      <c r="D481" s="23" t="n">
        <v>0</v>
      </c>
      <c r="E481" s="23" t="n">
        <v>17.21</v>
      </c>
      <c r="F481" s="23" t="n">
        <v>19.58</v>
      </c>
      <c r="G481" s="23" t="n">
        <v>3.26</v>
      </c>
      <c r="H481" s="23" t="n">
        <f aca="false">((C481+D481+E481)-(F481-G481))</f>
        <v>0.890000000000001</v>
      </c>
      <c r="I481" s="24" t="n">
        <f aca="false">ABS(IFERROR(H481/(F481-G481),H481/E481))</f>
        <v>0.0545343137254902</v>
      </c>
    </row>
    <row r="482" customFormat="false" ht="15.75" hidden="false" customHeight="false" outlineLevel="0" collapsed="false">
      <c r="A482" s="3" t="n">
        <v>481</v>
      </c>
      <c r="B482" s="4" t="n">
        <v>45630</v>
      </c>
      <c r="C482" s="23" t="n">
        <v>4</v>
      </c>
      <c r="D482" s="23" t="n">
        <v>0</v>
      </c>
      <c r="E482" s="23" t="n">
        <v>6.99</v>
      </c>
      <c r="F482" s="23" t="n">
        <v>12.48</v>
      </c>
      <c r="G482" s="23" t="n">
        <v>0.55</v>
      </c>
      <c r="H482" s="23" t="n">
        <f aca="false">((C482+D482+E482)-(F482-G482))</f>
        <v>-0.94</v>
      </c>
      <c r="I482" s="24" t="n">
        <f aca="false">ABS(IFERROR(H482/(F482-G482),H482/E482))</f>
        <v>0.0787929589270746</v>
      </c>
    </row>
    <row r="483" customFormat="false" ht="15.75" hidden="false" customHeight="false" outlineLevel="0" collapsed="false">
      <c r="A483" s="3" t="n">
        <v>482</v>
      </c>
      <c r="B483" s="4" t="n">
        <v>45631</v>
      </c>
      <c r="C483" s="23" t="n">
        <v>2.75</v>
      </c>
      <c r="D483" s="23" t="n">
        <v>0</v>
      </c>
      <c r="E483" s="23" t="n">
        <v>10.44</v>
      </c>
      <c r="F483" s="23" t="n">
        <v>16.96</v>
      </c>
      <c r="G483" s="23" t="n">
        <v>0</v>
      </c>
      <c r="H483" s="23" t="n">
        <f aca="false">((C483+D483+E483)-(F483-G483))</f>
        <v>-3.77</v>
      </c>
      <c r="I483" s="24" t="n">
        <f aca="false">ABS(IFERROR(H483/(F483-G483),H483/E483))</f>
        <v>0.222287735849057</v>
      </c>
    </row>
    <row r="484" customFormat="false" ht="15.75" hidden="false" customHeight="false" outlineLevel="0" collapsed="false">
      <c r="A484" s="3" t="n">
        <v>483</v>
      </c>
      <c r="B484" s="4" t="n">
        <v>45631</v>
      </c>
      <c r="C484" s="23" t="n">
        <v>2.25</v>
      </c>
      <c r="D484" s="23" t="n">
        <v>0</v>
      </c>
      <c r="E484" s="23" t="n">
        <v>7.39</v>
      </c>
      <c r="F484" s="23" t="n">
        <v>13.97</v>
      </c>
      <c r="G484" s="23" t="n">
        <v>0</v>
      </c>
      <c r="H484" s="23" t="n">
        <f aca="false">((C484+D484+E484)-(F484-G484))</f>
        <v>-4.33</v>
      </c>
      <c r="I484" s="24" t="n">
        <f aca="false">ABS(IFERROR(H484/(F484-G484),H484/E484))</f>
        <v>0.309949892627058</v>
      </c>
    </row>
    <row r="485" customFormat="false" ht="15.75" hidden="false" customHeight="false" outlineLevel="0" collapsed="false">
      <c r="A485" s="3" t="n">
        <v>484</v>
      </c>
      <c r="B485" s="4" t="n">
        <v>45631</v>
      </c>
      <c r="C485" s="23" t="n">
        <v>2.5</v>
      </c>
      <c r="D485" s="23" t="n">
        <v>0</v>
      </c>
      <c r="E485" s="23" t="n">
        <v>26.16</v>
      </c>
      <c r="F485" s="23" t="n">
        <v>31.76</v>
      </c>
      <c r="G485" s="23" t="n">
        <v>3.07</v>
      </c>
      <c r="H485" s="23" t="n">
        <f aca="false">((C485+D485+E485)-(F485-G485))</f>
        <v>-0.0300000000000011</v>
      </c>
      <c r="I485" s="24" t="n">
        <f aca="false">ABS(IFERROR(H485/(F485-G485),H485/E485))</f>
        <v>0.00104566050888815</v>
      </c>
    </row>
    <row r="486" customFormat="false" ht="15.75" hidden="false" customHeight="false" outlineLevel="0" collapsed="false">
      <c r="A486" s="3" t="n">
        <v>485</v>
      </c>
      <c r="B486" s="4" t="n">
        <v>45631</v>
      </c>
      <c r="C486" s="23" t="n">
        <v>3</v>
      </c>
      <c r="D486" s="23" t="n">
        <v>0</v>
      </c>
      <c r="E486" s="23" t="n">
        <v>27.79</v>
      </c>
      <c r="F486" s="23" t="n">
        <v>50.57</v>
      </c>
      <c r="G486" s="23" t="n">
        <v>1.36</v>
      </c>
      <c r="H486" s="23" t="n">
        <f aca="false">((C486+D486+E486)-(F486-G486))</f>
        <v>-18.42</v>
      </c>
      <c r="I486" s="24" t="n">
        <f aca="false">ABS(IFERROR(H486/(F486-G486),H486/E486))</f>
        <v>0.374314163787848</v>
      </c>
    </row>
    <row r="487" customFormat="false" ht="15.75" hidden="false" customHeight="false" outlineLevel="0" collapsed="false">
      <c r="A487" s="3" t="n">
        <v>486</v>
      </c>
      <c r="B487" s="16" t="n">
        <v>45632</v>
      </c>
      <c r="C487" s="22" t="n">
        <v>3.5</v>
      </c>
      <c r="D487" s="22" t="n">
        <v>0</v>
      </c>
      <c r="E487" s="22" t="n">
        <v>22.71</v>
      </c>
      <c r="F487" s="22" t="n">
        <v>32.7</v>
      </c>
      <c r="G487" s="22" t="n">
        <v>0</v>
      </c>
      <c r="H487" s="23" t="n">
        <f aca="false">((C487+D487+E487)-(F487-G487))</f>
        <v>-6.49</v>
      </c>
      <c r="I487" s="24" t="n">
        <f aca="false">ABS(IFERROR(H487/(F487-G487),H487/E487))</f>
        <v>0.198470948012232</v>
      </c>
    </row>
    <row r="488" customFormat="false" ht="15.75" hidden="false" customHeight="false" outlineLevel="0" collapsed="false">
      <c r="A488" s="3" t="n">
        <v>487</v>
      </c>
      <c r="B488" s="16" t="n">
        <v>45632</v>
      </c>
      <c r="C488" s="22" t="n">
        <v>4.25</v>
      </c>
      <c r="D488" s="22" t="n">
        <v>0</v>
      </c>
      <c r="E488" s="22" t="n">
        <v>27</v>
      </c>
      <c r="F488" s="22" t="n">
        <v>34.62</v>
      </c>
      <c r="G488" s="22" t="n">
        <v>5.61</v>
      </c>
      <c r="H488" s="23" t="n">
        <f aca="false">((C488+D488+E488)-(F488-G488))</f>
        <v>2.24</v>
      </c>
      <c r="I488" s="24" t="n">
        <f aca="false">ABS(IFERROR(H488/(F488-G488),H488/E488))</f>
        <v>0.0772147535332645</v>
      </c>
    </row>
    <row r="489" customFormat="false" ht="15.75" hidden="false" customHeight="false" outlineLevel="0" collapsed="false">
      <c r="A489" s="3" t="n">
        <v>488</v>
      </c>
      <c r="B489" s="16" t="n">
        <v>45632</v>
      </c>
      <c r="C489" s="22" t="n">
        <v>3.75</v>
      </c>
      <c r="D489" s="22" t="n">
        <v>0</v>
      </c>
      <c r="E489" s="22" t="n">
        <v>14.8</v>
      </c>
      <c r="F489" s="22" t="n">
        <v>30.92</v>
      </c>
      <c r="G489" s="22" t="n">
        <v>0</v>
      </c>
      <c r="H489" s="23" t="n">
        <f aca="false">((C489+D489+E489)-(F489-G489))</f>
        <v>-12.37</v>
      </c>
      <c r="I489" s="24" t="n">
        <f aca="false">ABS(IFERROR(H489/(F489-G489),H489/E489))</f>
        <v>0.40006468305304</v>
      </c>
    </row>
    <row r="490" customFormat="false" ht="15.75" hidden="false" customHeight="false" outlineLevel="0" collapsed="false">
      <c r="A490" s="3" t="n">
        <v>489</v>
      </c>
      <c r="B490" s="16" t="n">
        <v>45632</v>
      </c>
      <c r="C490" s="22" t="n">
        <v>3.25</v>
      </c>
      <c r="D490" s="22" t="n">
        <v>0</v>
      </c>
      <c r="E490" s="22" t="n">
        <v>12.87</v>
      </c>
      <c r="F490" s="22" t="n">
        <v>21.92</v>
      </c>
      <c r="G490" s="22" t="n">
        <v>0</v>
      </c>
      <c r="H490" s="23" t="n">
        <f aca="false">((C490+D490+E490)-(F490-G490))</f>
        <v>-5.8</v>
      </c>
      <c r="I490" s="24" t="n">
        <f aca="false">ABS(IFERROR(H490/(F490-G490),H490/E490))</f>
        <v>0.264598540145986</v>
      </c>
    </row>
    <row r="491" customFormat="false" ht="15.75" hidden="false" customHeight="false" outlineLevel="0" collapsed="false">
      <c r="A491" s="3" t="n">
        <v>490</v>
      </c>
      <c r="B491" s="16" t="n">
        <v>45632</v>
      </c>
      <c r="C491" s="22" t="n">
        <v>4.25</v>
      </c>
      <c r="D491" s="22" t="n">
        <v>0</v>
      </c>
      <c r="E491" s="22" t="n">
        <v>15.82</v>
      </c>
      <c r="F491" s="22" t="n">
        <v>22.46</v>
      </c>
      <c r="G491" s="22" t="n">
        <v>2.42</v>
      </c>
      <c r="H491" s="23" t="n">
        <f aca="false">((C491+D491+E491)-(F491-G491))</f>
        <v>0.0300000000000011</v>
      </c>
      <c r="I491" s="24" t="n">
        <f aca="false">ABS(IFERROR(H491/(F491-G491),H491/E491))</f>
        <v>0.00149700598802401</v>
      </c>
    </row>
    <row r="492" customFormat="false" ht="15.75" hidden="false" customHeight="false" outlineLevel="0" collapsed="false">
      <c r="A492" s="3" t="n">
        <v>491</v>
      </c>
      <c r="B492" s="16" t="n">
        <v>45632</v>
      </c>
      <c r="C492" s="22" t="n">
        <v>4.75</v>
      </c>
      <c r="D492" s="22" t="n">
        <v>0</v>
      </c>
      <c r="E492" s="22" t="n">
        <v>20.72</v>
      </c>
      <c r="F492" s="22" t="n">
        <v>33.52</v>
      </c>
      <c r="G492" s="22" t="n">
        <v>3.35</v>
      </c>
      <c r="H492" s="23" t="n">
        <f aca="false">((C492+D492+E492)-(F492-G492))</f>
        <v>-4.7</v>
      </c>
      <c r="I492" s="24" t="n">
        <f aca="false">ABS(IFERROR(H492/(F492-G492),H492/E492))</f>
        <v>0.155783891282731</v>
      </c>
    </row>
    <row r="493" customFormat="false" ht="15.75" hidden="false" customHeight="false" outlineLevel="0" collapsed="false">
      <c r="A493" s="3" t="n">
        <v>492</v>
      </c>
      <c r="B493" s="16" t="n">
        <v>45633</v>
      </c>
      <c r="C493" s="22" t="n">
        <v>2</v>
      </c>
      <c r="D493" s="22" t="n">
        <v>0</v>
      </c>
      <c r="E493" s="22" t="n">
        <v>24.94</v>
      </c>
      <c r="F493" s="22" t="n">
        <v>44.9</v>
      </c>
      <c r="G493" s="22" t="n">
        <v>0</v>
      </c>
      <c r="H493" s="23" t="n">
        <f aca="false">((C493+D493+E493)-(F493-G493))</f>
        <v>-17.96</v>
      </c>
      <c r="I493" s="24" t="n">
        <f aca="false">ABS(IFERROR(H493/(F493-G493),H493/E493))</f>
        <v>0.4</v>
      </c>
    </row>
    <row r="494" customFormat="false" ht="15.75" hidden="false" customHeight="false" outlineLevel="0" collapsed="false">
      <c r="A494" s="3" t="n">
        <v>493</v>
      </c>
      <c r="B494" s="16" t="n">
        <v>45633</v>
      </c>
      <c r="C494" s="22" t="n">
        <v>6.25</v>
      </c>
      <c r="D494" s="22" t="n">
        <v>0</v>
      </c>
      <c r="E494" s="22" t="n">
        <v>21.36</v>
      </c>
      <c r="F494" s="22" t="n">
        <v>33.02</v>
      </c>
      <c r="G494" s="22" t="n">
        <v>3.3</v>
      </c>
      <c r="H494" s="23" t="n">
        <f aca="false">((C494+D494+E494)-(F494-G494))</f>
        <v>-2.11</v>
      </c>
      <c r="I494" s="24" t="n">
        <f aca="false">ABS(IFERROR(H494/(F494-G494),H494/E494))</f>
        <v>0.0709959623149395</v>
      </c>
    </row>
    <row r="495" customFormat="false" ht="15.75" hidden="false" customHeight="false" outlineLevel="0" collapsed="false">
      <c r="A495" s="3" t="n">
        <v>494</v>
      </c>
      <c r="B495" s="16" t="n">
        <v>45633</v>
      </c>
      <c r="C495" s="22" t="n">
        <v>4.75</v>
      </c>
      <c r="D495" s="22" t="n">
        <v>0</v>
      </c>
      <c r="E495" s="22" t="n">
        <v>19.78</v>
      </c>
      <c r="F495" s="22" t="n">
        <v>30.09</v>
      </c>
      <c r="G495" s="22" t="n">
        <v>0</v>
      </c>
      <c r="H495" s="23" t="n">
        <f aca="false">((C495+D495+E495)-(F495-G495))</f>
        <v>-5.56</v>
      </c>
      <c r="I495" s="24" t="n">
        <f aca="false">ABS(IFERROR(H495/(F495-G495),H495/E495))</f>
        <v>0.1847789963443</v>
      </c>
    </row>
    <row r="496" customFormat="false" ht="15.75" hidden="false" customHeight="false" outlineLevel="0" collapsed="false">
      <c r="A496" s="3" t="n">
        <v>495</v>
      </c>
      <c r="B496" s="16" t="n">
        <v>45633</v>
      </c>
      <c r="C496" s="22" t="n">
        <v>4</v>
      </c>
      <c r="D496" s="22" t="n">
        <v>0</v>
      </c>
      <c r="E496" s="22" t="n">
        <v>12.6</v>
      </c>
      <c r="F496" s="22" t="n">
        <v>21.9</v>
      </c>
      <c r="G496" s="22" t="n">
        <v>0</v>
      </c>
      <c r="H496" s="23" t="n">
        <f aca="false">((C496+D496+E496)-(F496-G496))</f>
        <v>-5.3</v>
      </c>
      <c r="I496" s="24" t="n">
        <f aca="false">ABS(IFERROR(H496/(F496-G496),H496/E496))</f>
        <v>0.242009132420091</v>
      </c>
    </row>
    <row r="497" customFormat="false" ht="15.75" hidden="false" customHeight="false" outlineLevel="0" collapsed="false">
      <c r="A497" s="3" t="n">
        <v>496</v>
      </c>
      <c r="B497" s="16" t="n">
        <v>45635</v>
      </c>
      <c r="C497" s="22" t="n">
        <v>5.5</v>
      </c>
      <c r="D497" s="22" t="n">
        <v>0</v>
      </c>
      <c r="E497" s="22" t="n">
        <v>7.33</v>
      </c>
      <c r="F497" s="22" t="n">
        <v>14.59</v>
      </c>
      <c r="G497" s="22" t="n">
        <v>0.26</v>
      </c>
      <c r="H497" s="23" t="n">
        <f aca="false">((C497+D497+E497)-(F497-G497))</f>
        <v>-1.5</v>
      </c>
      <c r="I497" s="24" t="n">
        <f aca="false">ABS(IFERROR(H497/(F497-G497),H497/E497))</f>
        <v>0.104675505931612</v>
      </c>
    </row>
    <row r="498" customFormat="false" ht="15.75" hidden="false" customHeight="false" outlineLevel="0" collapsed="false">
      <c r="A498" s="3" t="n">
        <v>497</v>
      </c>
      <c r="B498" s="16" t="n">
        <v>45635</v>
      </c>
      <c r="C498" s="22" t="n">
        <v>5</v>
      </c>
      <c r="D498" s="22" t="n">
        <v>0</v>
      </c>
      <c r="E498" s="22" t="n">
        <v>20.08</v>
      </c>
      <c r="F498" s="22" t="n">
        <v>28.19</v>
      </c>
      <c r="G498" s="22" t="n">
        <v>0.21</v>
      </c>
      <c r="H498" s="23" t="n">
        <f aca="false">((C498+D498+E498)-(F498-G498))</f>
        <v>-2.9</v>
      </c>
      <c r="I498" s="24" t="n">
        <f aca="false">ABS(IFERROR(H498/(F498-G498),H498/E498))</f>
        <v>0.103645461043603</v>
      </c>
    </row>
    <row r="499" customFormat="false" ht="15.75" hidden="false" customHeight="false" outlineLevel="0" collapsed="false">
      <c r="A499" s="3" t="n">
        <v>498</v>
      </c>
      <c r="B499" s="16" t="n">
        <v>45635</v>
      </c>
      <c r="C499" s="22" t="n">
        <v>4.5</v>
      </c>
      <c r="D499" s="22" t="n">
        <v>0</v>
      </c>
      <c r="E499" s="22" t="n">
        <v>18.88</v>
      </c>
      <c r="F499" s="22" t="n">
        <v>38.96</v>
      </c>
      <c r="G499" s="22" t="n">
        <v>0</v>
      </c>
      <c r="H499" s="23" t="n">
        <f aca="false">((C499+D499+E499)-(F499-G499))</f>
        <v>-15.58</v>
      </c>
      <c r="I499" s="24" t="n">
        <f aca="false">ABS(IFERROR(H499/(F499-G499),H499/E499))</f>
        <v>0.399897330595483</v>
      </c>
    </row>
    <row r="500" customFormat="false" ht="15.75" hidden="false" customHeight="false" outlineLevel="0" collapsed="false">
      <c r="A500" s="3" t="n">
        <v>499</v>
      </c>
      <c r="B500" s="16" t="n">
        <v>45635</v>
      </c>
      <c r="C500" s="22" t="n">
        <v>3</v>
      </c>
      <c r="D500" s="22" t="n">
        <v>0</v>
      </c>
      <c r="E500" s="22" t="n">
        <v>18.57</v>
      </c>
      <c r="F500" s="22" t="n">
        <v>25.97</v>
      </c>
      <c r="G500" s="22" t="n">
        <v>0</v>
      </c>
      <c r="H500" s="23" t="n">
        <f aca="false">((C500+D500+E500)-(F500-G500))</f>
        <v>-4.4</v>
      </c>
      <c r="I500" s="24" t="n">
        <f aca="false">ABS(IFERROR(H500/(F500-G500),H500/E500))</f>
        <v>0.169426261070466</v>
      </c>
    </row>
    <row r="501" customFormat="false" ht="15.75" hidden="false" customHeight="false" outlineLevel="0" collapsed="false">
      <c r="A501" s="3" t="n">
        <v>500</v>
      </c>
      <c r="B501" s="16" t="n">
        <v>45636</v>
      </c>
      <c r="C501" s="22" t="n">
        <v>0</v>
      </c>
      <c r="D501" s="22" t="n">
        <v>0</v>
      </c>
      <c r="E501" s="22" t="n">
        <v>6.99</v>
      </c>
      <c r="F501" s="22" t="n">
        <v>10.91</v>
      </c>
      <c r="G501" s="22" t="n">
        <v>0</v>
      </c>
      <c r="H501" s="23" t="n">
        <f aca="false">((C501+D501+E501)-(F501-G501))</f>
        <v>-3.92</v>
      </c>
      <c r="I501" s="24" t="n">
        <f aca="false">ABS(IFERROR(H501/(F501-G501),H501/E501))</f>
        <v>0.359303391384051</v>
      </c>
    </row>
    <row r="502" customFormat="false" ht="15.75" hidden="false" customHeight="false" outlineLevel="0" collapsed="false">
      <c r="A502" s="7" t="n">
        <v>501</v>
      </c>
      <c r="B502" s="16" t="n">
        <v>45636</v>
      </c>
      <c r="C502" s="22" t="n">
        <v>0</v>
      </c>
      <c r="D502" s="22" t="n">
        <v>0</v>
      </c>
      <c r="E502" s="22" t="n">
        <v>2.98</v>
      </c>
      <c r="F502" s="22" t="n">
        <v>3.44</v>
      </c>
      <c r="G502" s="22" t="n">
        <v>0</v>
      </c>
      <c r="H502" s="23" t="n">
        <f aca="false">((C502+D502+E502)-(F502-G502))</f>
        <v>-0.46</v>
      </c>
      <c r="I502" s="24" t="n">
        <f aca="false">ABS(IFERROR(H502/(F502-G502),H502/E502))</f>
        <v>0.133720930232558</v>
      </c>
    </row>
    <row r="503" customFormat="false" ht="15.75" hidden="false" customHeight="false" outlineLevel="0" collapsed="false">
      <c r="A503" s="7" t="n">
        <v>502</v>
      </c>
      <c r="B503" s="16" t="n">
        <v>45636</v>
      </c>
      <c r="C503" s="22" t="n">
        <v>0</v>
      </c>
      <c r="D503" s="22" t="n">
        <v>0</v>
      </c>
      <c r="E503" s="22" t="n">
        <v>33.07</v>
      </c>
      <c r="F503" s="22" t="n">
        <v>42.58</v>
      </c>
      <c r="G503" s="22" t="n">
        <v>0</v>
      </c>
      <c r="H503" s="23" t="n">
        <f aca="false">((C503+D503+E503)-(F503-G503))</f>
        <v>-9.51</v>
      </c>
      <c r="I503" s="24" t="n">
        <f aca="false">ABS(IFERROR(H503/(F503-G503),H503/E503))</f>
        <v>0.22334429309535</v>
      </c>
    </row>
    <row r="504" customFormat="false" ht="15.75" hidden="false" customHeight="false" outlineLevel="0" collapsed="false">
      <c r="A504" s="7" t="n">
        <v>503</v>
      </c>
      <c r="B504" s="16" t="n">
        <v>45636</v>
      </c>
      <c r="C504" s="22" t="n">
        <v>0</v>
      </c>
      <c r="D504" s="22" t="n">
        <v>0</v>
      </c>
      <c r="E504" s="22" t="n">
        <v>21.44</v>
      </c>
      <c r="F504" s="22" t="n">
        <v>35.75</v>
      </c>
      <c r="G504" s="22" t="n">
        <v>0</v>
      </c>
      <c r="H504" s="23" t="n">
        <f aca="false">((C504+D504+E504)-(F504-G504))</f>
        <v>-14.31</v>
      </c>
      <c r="I504" s="24" t="n">
        <f aca="false">ABS(IFERROR(H504/(F504-G504),H504/E504))</f>
        <v>0.40027972027972</v>
      </c>
    </row>
    <row r="505" customFormat="false" ht="15.75" hidden="false" customHeight="false" outlineLevel="0" collapsed="false">
      <c r="A505" s="7" t="n">
        <v>504</v>
      </c>
      <c r="B505" s="16" t="n">
        <v>45636</v>
      </c>
      <c r="C505" s="22" t="n">
        <v>0</v>
      </c>
      <c r="D505" s="22" t="n">
        <v>0</v>
      </c>
      <c r="E505" s="22" t="n">
        <v>22.46</v>
      </c>
      <c r="F505" s="22" t="n">
        <v>37.44</v>
      </c>
      <c r="G505" s="22" t="n">
        <v>0</v>
      </c>
      <c r="H505" s="23" t="n">
        <f aca="false">((C505+D505+E505)-(F505-G505))</f>
        <v>-14.98</v>
      </c>
      <c r="I505" s="24" t="n">
        <f aca="false">ABS(IFERROR(H505/(F505-G505),H505/E505))</f>
        <v>0.400106837606838</v>
      </c>
    </row>
    <row r="506" customFormat="false" ht="15.75" hidden="false" customHeight="false" outlineLevel="0" collapsed="false">
      <c r="A506" s="7" t="n">
        <v>505</v>
      </c>
      <c r="B506" s="16" t="n">
        <v>45636</v>
      </c>
      <c r="C506" s="22" t="n">
        <v>0</v>
      </c>
      <c r="D506" s="22" t="n">
        <v>0</v>
      </c>
      <c r="E506" s="22" t="n">
        <v>21.09</v>
      </c>
      <c r="F506" s="22" t="n">
        <v>25.1</v>
      </c>
      <c r="G506" s="22" t="n">
        <v>0</v>
      </c>
      <c r="H506" s="23" t="n">
        <f aca="false">((C506+D506+E506)-(F506-G506))</f>
        <v>-4.01</v>
      </c>
      <c r="I506" s="24" t="n">
        <f aca="false">ABS(IFERROR(H506/(F506-G506),H506/E506))</f>
        <v>0.159760956175299</v>
      </c>
    </row>
    <row r="507" customFormat="false" ht="15.75" hidden="false" customHeight="false" outlineLevel="0" collapsed="false">
      <c r="A507" s="7" t="n">
        <v>506</v>
      </c>
      <c r="B507" s="16" t="n">
        <v>45638</v>
      </c>
      <c r="C507" s="22" t="n">
        <v>0</v>
      </c>
      <c r="D507" s="22" t="n">
        <v>0</v>
      </c>
      <c r="E507" s="22" t="n">
        <v>17.73</v>
      </c>
      <c r="F507" s="22" t="n">
        <v>29.06</v>
      </c>
      <c r="G507" s="22" t="n">
        <v>0</v>
      </c>
      <c r="H507" s="23" t="n">
        <f aca="false">((C507+D507+E507)-(F507-G507))</f>
        <v>-11.33</v>
      </c>
      <c r="I507" s="24" t="n">
        <f aca="false">ABS(IFERROR(H507/(F507-G507),H507/E507))</f>
        <v>0.389883000688231</v>
      </c>
    </row>
    <row r="508" customFormat="false" ht="15.75" hidden="false" customHeight="false" outlineLevel="0" collapsed="false">
      <c r="A508" s="7" t="n">
        <v>507</v>
      </c>
      <c r="B508" s="16" t="n">
        <v>45638</v>
      </c>
      <c r="C508" s="22" t="n">
        <v>1.11</v>
      </c>
      <c r="D508" s="22" t="n">
        <v>0</v>
      </c>
      <c r="E508" s="22" t="n">
        <v>7.79</v>
      </c>
      <c r="F508" s="22" t="n">
        <v>14.25</v>
      </c>
      <c r="G508" s="22" t="n">
        <v>0</v>
      </c>
      <c r="H508" s="23" t="n">
        <f aca="false">((C508+D508+E508)-(F508-G508))</f>
        <v>-5.35</v>
      </c>
      <c r="I508" s="24" t="n">
        <f aca="false">ABS(IFERROR(H508/(F508-G508),H508/E508))</f>
        <v>0.375438596491228</v>
      </c>
    </row>
    <row r="509" customFormat="false" ht="15.75" hidden="false" customHeight="false" outlineLevel="0" collapsed="false">
      <c r="A509" s="7" t="n">
        <v>508</v>
      </c>
      <c r="B509" s="16" t="n">
        <v>45638</v>
      </c>
      <c r="C509" s="22" t="n">
        <v>1.25</v>
      </c>
      <c r="D509" s="22" t="n">
        <v>0</v>
      </c>
      <c r="E509" s="22" t="n">
        <v>16.37</v>
      </c>
      <c r="F509" s="22" t="n">
        <v>21.95</v>
      </c>
      <c r="G509" s="22" t="n">
        <v>0</v>
      </c>
      <c r="H509" s="23" t="n">
        <f aca="false">((C509+D509+E509)-(F509-G509))</f>
        <v>-4.33</v>
      </c>
      <c r="I509" s="24" t="n">
        <f aca="false">ABS(IFERROR(H509/(F509-G509),H509/E509))</f>
        <v>0.197266514806378</v>
      </c>
    </row>
    <row r="510" customFormat="false" ht="15.75" hidden="false" customHeight="false" outlineLevel="0" collapsed="false">
      <c r="A510" s="7" t="n">
        <v>509</v>
      </c>
      <c r="B510" s="16" t="n">
        <v>45639</v>
      </c>
      <c r="C510" s="22" t="n">
        <v>4.75</v>
      </c>
      <c r="D510" s="22" t="n">
        <v>0</v>
      </c>
      <c r="E510" s="22" t="n">
        <v>9.82</v>
      </c>
      <c r="F510" s="22" t="n">
        <v>16.46</v>
      </c>
      <c r="G510" s="22" t="n">
        <v>2.53</v>
      </c>
      <c r="H510" s="23" t="n">
        <f aca="false">((C510+D510+E510)-(F510-G510))</f>
        <v>0.639999999999999</v>
      </c>
      <c r="I510" s="24" t="n">
        <f aca="false">ABS(IFERROR(H510/(F510-G510),H510/E510))</f>
        <v>0.0459440057430006</v>
      </c>
    </row>
    <row r="511" customFormat="false" ht="15.75" hidden="false" customHeight="false" outlineLevel="0" collapsed="false">
      <c r="A511" s="7" t="n">
        <v>510</v>
      </c>
      <c r="B511" s="16" t="n">
        <v>45639</v>
      </c>
      <c r="C511" s="22" t="n">
        <v>5.5</v>
      </c>
      <c r="D511" s="22" t="n">
        <v>0</v>
      </c>
      <c r="E511" s="22" t="n">
        <v>8.39</v>
      </c>
      <c r="F511" s="22" t="n">
        <v>15.43</v>
      </c>
      <c r="G511" s="22" t="n">
        <v>3.49</v>
      </c>
      <c r="H511" s="23" t="n">
        <f aca="false">((C511+D511+E511)-(F511-G511))</f>
        <v>1.95</v>
      </c>
      <c r="I511" s="24" t="n">
        <f aca="false">ABS(IFERROR(H511/(F511-G511),H511/E511))</f>
        <v>0.163316582914573</v>
      </c>
    </row>
    <row r="512" customFormat="false" ht="15.75" hidden="false" customHeight="false" outlineLevel="0" collapsed="false">
      <c r="A512" s="7" t="n">
        <v>511</v>
      </c>
      <c r="B512" s="16" t="n">
        <v>45639</v>
      </c>
      <c r="C512" s="22" t="n">
        <v>5.5</v>
      </c>
      <c r="D512" s="22" t="n">
        <v>0</v>
      </c>
      <c r="E512" s="22" t="n">
        <v>16.13</v>
      </c>
      <c r="F512" s="22" t="n">
        <v>23.76</v>
      </c>
      <c r="G512" s="22" t="n">
        <v>3.83</v>
      </c>
      <c r="H512" s="23" t="n">
        <f aca="false">((C512+D512+E512)-(F512-G512))</f>
        <v>1.7</v>
      </c>
      <c r="I512" s="24" t="n">
        <f aca="false">ABS(IFERROR(H512/(F512-G512),H512/E512))</f>
        <v>0.0852985449071751</v>
      </c>
    </row>
    <row r="513" customFormat="false" ht="15.75" hidden="false" customHeight="false" outlineLevel="0" collapsed="false">
      <c r="A513" s="7" t="n">
        <v>512</v>
      </c>
      <c r="B513" s="16" t="n">
        <v>45639</v>
      </c>
      <c r="C513" s="22" t="n">
        <v>5.6</v>
      </c>
      <c r="D513" s="22" t="n">
        <v>0</v>
      </c>
      <c r="E513" s="22" t="n">
        <v>21.75</v>
      </c>
      <c r="F513" s="22" t="n">
        <v>30.29</v>
      </c>
      <c r="G513" s="22" t="n">
        <v>9.26</v>
      </c>
      <c r="H513" s="23" t="n">
        <f aca="false">((C513+D513+E513)-(F513-G513))</f>
        <v>6.32</v>
      </c>
      <c r="I513" s="24" t="n">
        <f aca="false">ABS(IFERROR(H513/(F513-G513),H513/E513))</f>
        <v>0.300523062291964</v>
      </c>
    </row>
    <row r="514" customFormat="false" ht="15.75" hidden="false" customHeight="false" outlineLevel="0" collapsed="false">
      <c r="A514" s="7" t="n">
        <v>513</v>
      </c>
      <c r="B514" s="16" t="n">
        <v>45639</v>
      </c>
      <c r="C514" s="22" t="n">
        <v>5</v>
      </c>
      <c r="D514" s="22" t="n">
        <v>0</v>
      </c>
      <c r="E514" s="22" t="n">
        <v>13.57</v>
      </c>
      <c r="F514" s="22" t="n">
        <v>38.89</v>
      </c>
      <c r="G514" s="22" t="n">
        <v>0</v>
      </c>
      <c r="H514" s="23" t="n">
        <f aca="false">((C514+D514+E514)-(F514-G514))</f>
        <v>-20.32</v>
      </c>
      <c r="I514" s="24" t="n">
        <f aca="false">ABS(IFERROR(H514/(F514-G514),H514/E514))</f>
        <v>0.522499357161224</v>
      </c>
    </row>
    <row r="515" customFormat="false" ht="15.75" hidden="false" customHeight="false" outlineLevel="0" collapsed="false">
      <c r="A515" s="7" t="n">
        <v>514</v>
      </c>
      <c r="B515" s="16" t="n">
        <v>45639</v>
      </c>
      <c r="C515" s="22" t="n">
        <v>7.5</v>
      </c>
      <c r="D515" s="22" t="n">
        <v>2.55</v>
      </c>
      <c r="E515" s="22" t="n">
        <v>6.99</v>
      </c>
      <c r="F515" s="22" t="n">
        <v>18.89</v>
      </c>
      <c r="G515" s="22" t="n">
        <v>2.92</v>
      </c>
      <c r="H515" s="23" t="n">
        <f aca="false">((C515+D515+E515)-(F515-G515))</f>
        <v>1.07</v>
      </c>
      <c r="I515" s="24" t="n">
        <f aca="false">ABS(IFERROR(H515/(F515-G515),H515/E515))</f>
        <v>0.0670006261740763</v>
      </c>
    </row>
    <row r="516" customFormat="false" ht="15.75" hidden="false" customHeight="false" outlineLevel="0" collapsed="false">
      <c r="A516" s="7" t="n">
        <v>515</v>
      </c>
      <c r="B516" s="16" t="n">
        <v>45639</v>
      </c>
      <c r="C516" s="22" t="n">
        <v>5.75</v>
      </c>
      <c r="D516" s="22" t="n">
        <v>8.45</v>
      </c>
      <c r="E516" s="22" t="n">
        <v>20.34</v>
      </c>
      <c r="F516" s="22" t="n">
        <v>37.37</v>
      </c>
      <c r="G516" s="22" t="n">
        <v>14.46</v>
      </c>
      <c r="H516" s="23" t="n">
        <f aca="false">((C516+D516+E516)-(F516-G516))</f>
        <v>11.63</v>
      </c>
      <c r="I516" s="24" t="n">
        <f aca="false">ABS(IFERROR(H516/(F516-G516),H516/E516))</f>
        <v>0.507638585770406</v>
      </c>
    </row>
    <row r="517" customFormat="false" ht="15.75" hidden="false" customHeight="false" outlineLevel="0" collapsed="false">
      <c r="A517" s="7" t="n">
        <v>516</v>
      </c>
      <c r="B517" s="16" t="n">
        <v>45639</v>
      </c>
      <c r="C517" s="22" t="n">
        <v>3.5</v>
      </c>
      <c r="D517" s="22" t="n">
        <v>0</v>
      </c>
      <c r="E517" s="22" t="n">
        <v>21.33</v>
      </c>
      <c r="F517" s="22" t="n">
        <v>23.72</v>
      </c>
      <c r="G517" s="22" t="n">
        <v>0.77</v>
      </c>
      <c r="H517" s="23" t="n">
        <f aca="false">((C517+D517+E517)-(F517-G517))</f>
        <v>1.88</v>
      </c>
      <c r="I517" s="24" t="n">
        <f aca="false">ABS(IFERROR(H517/(F517-G517),H517/E517))</f>
        <v>0.081917211328976</v>
      </c>
    </row>
    <row r="518" customFormat="false" ht="15.75" hidden="false" customHeight="false" outlineLevel="0" collapsed="false">
      <c r="A518" s="7" t="n">
        <v>517</v>
      </c>
      <c r="B518" s="16" t="n">
        <v>45640</v>
      </c>
      <c r="C518" s="22" t="n">
        <v>4.75</v>
      </c>
      <c r="D518" s="22" t="n">
        <v>0</v>
      </c>
      <c r="E518" s="22" t="n">
        <v>33.94</v>
      </c>
      <c r="F518" s="22" t="n">
        <v>43.26</v>
      </c>
      <c r="G518" s="22" t="n">
        <v>4.35</v>
      </c>
      <c r="H518" s="23" t="n">
        <f aca="false">((C518+D518+E518)-(F518-G518))</f>
        <v>-0.219999999999999</v>
      </c>
      <c r="I518" s="24" t="n">
        <f aca="false">ABS(IFERROR(H518/(F518-G518),H518/E518))</f>
        <v>0.00565407350295551</v>
      </c>
    </row>
    <row r="519" customFormat="false" ht="15.75" hidden="false" customHeight="false" outlineLevel="0" collapsed="false">
      <c r="A519" s="7" t="n">
        <v>518</v>
      </c>
      <c r="B519" s="16" t="n">
        <v>45640</v>
      </c>
      <c r="C519" s="22" t="n">
        <v>0</v>
      </c>
      <c r="D519" s="22" t="n">
        <v>0</v>
      </c>
      <c r="E519" s="22" t="n">
        <v>10.14</v>
      </c>
      <c r="F519" s="22" t="n">
        <v>16.9</v>
      </c>
      <c r="G519" s="22" t="n">
        <v>0</v>
      </c>
      <c r="H519" s="23" t="n">
        <f aca="false">((C519+D519+E519)-(F519-G519))</f>
        <v>-6.76</v>
      </c>
      <c r="I519" s="24" t="n">
        <f aca="false">ABS(IFERROR(H519/(F519-G519),H519/E519))</f>
        <v>0.4</v>
      </c>
    </row>
    <row r="520" customFormat="false" ht="15.75" hidden="false" customHeight="false" outlineLevel="0" collapsed="false">
      <c r="A520" s="7" t="n">
        <v>519</v>
      </c>
      <c r="B520" s="16" t="n">
        <v>45640</v>
      </c>
      <c r="C520" s="22" t="n">
        <v>7</v>
      </c>
      <c r="D520" s="22" t="n">
        <v>0</v>
      </c>
      <c r="E520" s="22" t="n">
        <v>10.8</v>
      </c>
      <c r="F520" s="22" t="n">
        <v>19.69</v>
      </c>
      <c r="G520" s="22" t="n">
        <v>8.17</v>
      </c>
      <c r="H520" s="23" t="n">
        <f aca="false">((C520+D520+E520)-(F520-G520))</f>
        <v>6.28</v>
      </c>
      <c r="I520" s="24" t="n">
        <f aca="false">ABS(IFERROR(H520/(F520-G520),H520/E520))</f>
        <v>0.545138888888889</v>
      </c>
    </row>
    <row r="521" customFormat="false" ht="15.75" hidden="false" customHeight="false" outlineLevel="0" collapsed="false">
      <c r="A521" s="7" t="n">
        <v>520</v>
      </c>
      <c r="B521" s="16" t="n">
        <v>45640</v>
      </c>
      <c r="C521" s="22" t="n">
        <v>5</v>
      </c>
      <c r="D521" s="22" t="n">
        <v>0</v>
      </c>
      <c r="E521" s="22" t="n">
        <v>6.98</v>
      </c>
      <c r="F521" s="22" t="n">
        <v>13.97</v>
      </c>
      <c r="G521" s="22" t="n">
        <v>0</v>
      </c>
      <c r="H521" s="23" t="n">
        <f aca="false">((C521+D521+E521)-(F521-G521))</f>
        <v>-1.99</v>
      </c>
      <c r="I521" s="24" t="n">
        <f aca="false">ABS(IFERROR(H521/(F521-G521),H521/E521))</f>
        <v>0.142448103078024</v>
      </c>
    </row>
    <row r="522" customFormat="false" ht="15.75" hidden="false" customHeight="false" outlineLevel="0" collapsed="false">
      <c r="A522" s="7" t="n">
        <v>521</v>
      </c>
      <c r="B522" s="16" t="n">
        <v>45640</v>
      </c>
      <c r="C522" s="22" t="n">
        <v>4.75</v>
      </c>
      <c r="D522" s="22" t="n">
        <v>0</v>
      </c>
      <c r="E522" s="22" t="n">
        <v>15.42</v>
      </c>
      <c r="F522" s="22" t="n">
        <v>22.55</v>
      </c>
      <c r="G522" s="22" t="n">
        <v>7</v>
      </c>
      <c r="H522" s="23" t="n">
        <f aca="false">((C522+D522+E522)-(F522-G522))</f>
        <v>4.62</v>
      </c>
      <c r="I522" s="24" t="n">
        <f aca="false">ABS(IFERROR(H522/(F522-G522),H522/E522))</f>
        <v>0.297106109324759</v>
      </c>
    </row>
    <row r="523" customFormat="false" ht="15.75" hidden="false" customHeight="false" outlineLevel="0" collapsed="false">
      <c r="A523" s="7" t="n">
        <v>522</v>
      </c>
      <c r="B523" s="16" t="n">
        <v>45640</v>
      </c>
      <c r="C523" s="22" t="n">
        <v>4.75</v>
      </c>
      <c r="D523" s="22" t="n">
        <v>0</v>
      </c>
      <c r="E523" s="22" t="n">
        <v>24.97</v>
      </c>
      <c r="F523" s="22" t="n">
        <v>33.27</v>
      </c>
      <c r="G523" s="22" t="n">
        <v>3.3</v>
      </c>
      <c r="H523" s="23" t="n">
        <f aca="false">((C523+D523+E523)-(F523-G523))</f>
        <v>-0.250000000000004</v>
      </c>
      <c r="I523" s="24" t="n">
        <f aca="false">ABS(IFERROR(H523/(F523-G523),H523/E523))</f>
        <v>0.00834167500834179</v>
      </c>
    </row>
    <row r="524" customFormat="false" ht="15.75" hidden="false" customHeight="false" outlineLevel="0" collapsed="false">
      <c r="A524" s="7" t="n">
        <v>523</v>
      </c>
      <c r="B524" s="16" t="n">
        <v>45640</v>
      </c>
      <c r="C524" s="22" t="n">
        <v>2.75</v>
      </c>
      <c r="D524" s="22" t="n">
        <v>0</v>
      </c>
      <c r="E524" s="22" t="n">
        <v>20.9</v>
      </c>
      <c r="F524" s="22" t="n">
        <v>26.84</v>
      </c>
      <c r="G524" s="22" t="n">
        <v>1.86</v>
      </c>
      <c r="H524" s="23" t="n">
        <f aca="false">((C524+D524+E524)-(F524-G524))</f>
        <v>-1.33</v>
      </c>
      <c r="I524" s="24" t="n">
        <f aca="false">ABS(IFERROR(H524/(F524-G524),H524/E524))</f>
        <v>0.0532425940752603</v>
      </c>
    </row>
    <row r="525" customFormat="false" ht="15.75" hidden="false" customHeight="false" outlineLevel="0" collapsed="false">
      <c r="A525" s="7" t="n">
        <v>524</v>
      </c>
      <c r="B525" s="16" t="n">
        <v>45640</v>
      </c>
      <c r="C525" s="22" t="n">
        <v>0</v>
      </c>
      <c r="D525" s="22" t="n">
        <v>0</v>
      </c>
      <c r="E525" s="22" t="n">
        <v>15.35</v>
      </c>
      <c r="F525" s="22" t="n">
        <v>21.93</v>
      </c>
      <c r="G525" s="22" t="n">
        <v>0</v>
      </c>
      <c r="H525" s="23" t="n">
        <f aca="false">((C525+D525+E525)-(F525-G525))</f>
        <v>-6.58</v>
      </c>
      <c r="I525" s="24" t="n">
        <f aca="false">ABS(IFERROR(H525/(F525-G525),H525/E525))</f>
        <v>0.300045599635203</v>
      </c>
    </row>
    <row r="526" customFormat="false" ht="15.75" hidden="false" customHeight="false" outlineLevel="0" collapsed="false">
      <c r="A526" s="7" t="n">
        <v>525</v>
      </c>
      <c r="B526" s="16" t="n">
        <v>45642</v>
      </c>
      <c r="C526" s="22" t="n">
        <v>0</v>
      </c>
      <c r="D526" s="22" t="n">
        <v>0</v>
      </c>
      <c r="E526" s="22" t="n">
        <v>21.56</v>
      </c>
      <c r="F526" s="22" t="n">
        <v>35.94</v>
      </c>
      <c r="G526" s="22" t="n">
        <v>0</v>
      </c>
      <c r="H526" s="23" t="n">
        <f aca="false">((C526+D526+E526)-(F526-G526))</f>
        <v>-14.38</v>
      </c>
      <c r="I526" s="24" t="n">
        <f aca="false">ABS(IFERROR(H526/(F526-G526),H526/E526))</f>
        <v>0.400111296605454</v>
      </c>
    </row>
    <row r="527" customFormat="false" ht="15.75" hidden="false" customHeight="false" outlineLevel="0" collapsed="false">
      <c r="A527" s="7" t="n">
        <v>526</v>
      </c>
      <c r="B527" s="16" t="n">
        <v>45642</v>
      </c>
      <c r="C527" s="22" t="n">
        <v>0</v>
      </c>
      <c r="D527" s="22" t="n">
        <v>0</v>
      </c>
      <c r="E527" s="22" t="n">
        <v>21.02</v>
      </c>
      <c r="F527" s="22" t="n">
        <v>35.03</v>
      </c>
      <c r="G527" s="22" t="n">
        <v>3.5</v>
      </c>
      <c r="H527" s="23" t="n">
        <f aca="false">((C527+D527+E527)-(F527-G527))</f>
        <v>-10.51</v>
      </c>
      <c r="I527" s="24" t="n">
        <f aca="false">ABS(IFERROR(H527/(F527-G527),H527/E527))</f>
        <v>0.333333333333333</v>
      </c>
    </row>
    <row r="528" customFormat="false" ht="15.75" hidden="false" customHeight="false" outlineLevel="0" collapsed="false">
      <c r="A528" s="7" t="n">
        <v>527</v>
      </c>
      <c r="B528" s="16" t="n">
        <v>45642</v>
      </c>
      <c r="C528" s="22" t="n">
        <v>2.75</v>
      </c>
      <c r="D528" s="22" t="n">
        <v>0</v>
      </c>
      <c r="E528" s="22" t="n">
        <v>18.75</v>
      </c>
      <c r="F528" s="22" t="n">
        <v>23.83</v>
      </c>
      <c r="G528" s="22" t="n">
        <v>8.37</v>
      </c>
      <c r="H528" s="23" t="n">
        <f aca="false">((C528+D528+E528)-(F528-G528))</f>
        <v>6.04</v>
      </c>
      <c r="I528" s="24" t="n">
        <f aca="false">ABS(IFERROR(H528/(F528-G528),H528/E528))</f>
        <v>0.390685640362225</v>
      </c>
    </row>
    <row r="529" customFormat="false" ht="15.75" hidden="false" customHeight="false" outlineLevel="0" collapsed="false">
      <c r="A529" s="7" t="n">
        <v>528</v>
      </c>
      <c r="B529" s="16" t="n">
        <v>45642</v>
      </c>
      <c r="C529" s="22" t="n">
        <v>3.5</v>
      </c>
      <c r="D529" s="22" t="n">
        <v>8.41</v>
      </c>
      <c r="E529" s="22" t="n">
        <v>18.09</v>
      </c>
      <c r="F529" s="22" t="n">
        <v>32.59</v>
      </c>
      <c r="G529" s="22" t="n">
        <v>13.76</v>
      </c>
      <c r="H529" s="23" t="n">
        <f aca="false">((C529+D529+E529)-(F529-G529))</f>
        <v>11.17</v>
      </c>
      <c r="I529" s="24" t="n">
        <f aca="false">ABS(IFERROR(H529/(F529-G529),H529/E529))</f>
        <v>0.59320233669676</v>
      </c>
      <c r="J529" s="29"/>
    </row>
    <row r="530" customFormat="false" ht="15.75" hidden="false" customHeight="false" outlineLevel="0" collapsed="false">
      <c r="A530" s="7" t="n">
        <v>529</v>
      </c>
      <c r="B530" s="16" t="n">
        <v>45642</v>
      </c>
      <c r="C530" s="22" t="n">
        <v>0</v>
      </c>
      <c r="D530" s="22" t="n">
        <v>10.56</v>
      </c>
      <c r="E530" s="22" t="n">
        <v>21.72</v>
      </c>
      <c r="F530" s="22" t="n">
        <v>34.86</v>
      </c>
      <c r="G530" s="22" t="n">
        <v>8.87</v>
      </c>
      <c r="H530" s="23" t="n">
        <f aca="false">((C530+D530+E530)-(F530-G530))</f>
        <v>6.29</v>
      </c>
      <c r="I530" s="24" t="n">
        <f aca="false">ABS(IFERROR(H530/(F530-G530),H530/E530))</f>
        <v>0.242016160061562</v>
      </c>
    </row>
    <row r="531" customFormat="false" ht="15.75" hidden="false" customHeight="false" outlineLevel="0" collapsed="false">
      <c r="A531" s="7" t="n">
        <v>530</v>
      </c>
      <c r="B531" s="16" t="n">
        <v>45642</v>
      </c>
      <c r="C531" s="22" t="n">
        <v>5</v>
      </c>
      <c r="D531" s="22" t="n">
        <v>0</v>
      </c>
      <c r="E531" s="22" t="n">
        <v>25.58</v>
      </c>
      <c r="F531" s="22" t="n">
        <v>37.39</v>
      </c>
      <c r="G531" s="22" t="n">
        <v>0</v>
      </c>
      <c r="H531" s="23" t="n">
        <f aca="false">((C531+D531+E531)-(F531-G531))</f>
        <v>-6.81</v>
      </c>
      <c r="I531" s="24" t="n">
        <f aca="false">ABS(IFERROR(H531/(F531-G531),H531/E531))</f>
        <v>0.182134260497459</v>
      </c>
    </row>
    <row r="532" customFormat="false" ht="15.75" hidden="false" customHeight="false" outlineLevel="0" collapsed="false">
      <c r="A532" s="7" t="n">
        <v>531</v>
      </c>
      <c r="B532" s="16" t="n">
        <v>45642</v>
      </c>
      <c r="C532" s="22" t="n">
        <v>3.25</v>
      </c>
      <c r="D532" s="22" t="n">
        <v>0</v>
      </c>
      <c r="E532" s="22" t="n">
        <v>12.47</v>
      </c>
      <c r="F532" s="22" t="n">
        <v>17.77</v>
      </c>
      <c r="G532" s="22" t="n">
        <v>1.67</v>
      </c>
      <c r="H532" s="23" t="n">
        <f aca="false">((C532+D532+E532)-(F532-G532))</f>
        <v>-0.380000000000001</v>
      </c>
      <c r="I532" s="24" t="n">
        <f aca="false">ABS(IFERROR(H532/(F532-G532),H532/E532))</f>
        <v>0.0236024844720497</v>
      </c>
    </row>
    <row r="533" customFormat="false" ht="15.75" hidden="false" customHeight="false" outlineLevel="0" collapsed="false">
      <c r="A533" s="7" t="n">
        <v>532</v>
      </c>
      <c r="B533" s="16" t="n">
        <v>45642</v>
      </c>
      <c r="C533" s="22" t="n">
        <v>3.25</v>
      </c>
      <c r="D533" s="22" t="n">
        <v>0</v>
      </c>
      <c r="E533" s="22" t="n">
        <v>6.99</v>
      </c>
      <c r="F533" s="22" t="n">
        <v>12.92</v>
      </c>
      <c r="G533" s="22" t="n">
        <v>0</v>
      </c>
      <c r="H533" s="23" t="n">
        <f aca="false">((C533+D533+E533)-(F533-G533))</f>
        <v>-2.68</v>
      </c>
      <c r="I533" s="24" t="n">
        <f aca="false">ABS(IFERROR(H533/(F533-G533),H533/E533))</f>
        <v>0.207430340557276</v>
      </c>
    </row>
    <row r="534" customFormat="false" ht="15.75" hidden="false" customHeight="false" outlineLevel="0" collapsed="false">
      <c r="A534" s="7" t="n">
        <v>533</v>
      </c>
      <c r="B534" s="16" t="n">
        <v>45644</v>
      </c>
      <c r="C534" s="22" t="n">
        <v>4.25</v>
      </c>
      <c r="D534" s="22" t="n">
        <v>0</v>
      </c>
      <c r="E534" s="22" t="n">
        <v>18.37</v>
      </c>
      <c r="F534" s="22" t="n">
        <v>25.95</v>
      </c>
      <c r="G534" s="22" t="n">
        <v>0</v>
      </c>
      <c r="H534" s="23" t="n">
        <f aca="false">((C534+D534+E534)-(F534-G534))</f>
        <v>-3.33</v>
      </c>
      <c r="I534" s="24" t="n">
        <f aca="false">ABS(IFERROR(H534/(F534-G534),H534/E534))</f>
        <v>0.128323699421965</v>
      </c>
    </row>
    <row r="535" customFormat="false" ht="15.75" hidden="false" customHeight="false" outlineLevel="0" collapsed="false">
      <c r="A535" s="7" t="n">
        <v>534</v>
      </c>
      <c r="B535" s="16" t="n">
        <v>45645</v>
      </c>
      <c r="C535" s="22" t="n">
        <v>4</v>
      </c>
      <c r="D535" s="22" t="n">
        <v>7.84</v>
      </c>
      <c r="E535" s="22" t="n">
        <v>16.79</v>
      </c>
      <c r="F535" s="22" t="n">
        <v>31.06</v>
      </c>
      <c r="G535" s="22" t="n">
        <v>9.07</v>
      </c>
      <c r="H535" s="23" t="n">
        <f aca="false">((C535+D535+E535)-(F535-G535))</f>
        <v>6.64</v>
      </c>
      <c r="I535" s="24" t="n">
        <f aca="false">ABS(IFERROR(H535/(F535-G535),H535/E535))</f>
        <v>0.301955434288313</v>
      </c>
    </row>
    <row r="536" customFormat="false" ht="15.75" hidden="false" customHeight="false" outlineLevel="0" collapsed="false">
      <c r="A536" s="7" t="n">
        <v>535</v>
      </c>
      <c r="B536" s="16" t="n">
        <v>45645</v>
      </c>
      <c r="C536" s="22" t="n">
        <v>1.25</v>
      </c>
      <c r="D536" s="22" t="n">
        <v>9.53</v>
      </c>
      <c r="E536" s="22" t="n">
        <v>25.34</v>
      </c>
      <c r="F536" s="22" t="n">
        <v>39.5</v>
      </c>
      <c r="G536" s="22" t="n">
        <v>9.53</v>
      </c>
      <c r="H536" s="23" t="n">
        <f aca="false">((C536+D536+E536)-(F536-G536))</f>
        <v>6.15</v>
      </c>
      <c r="I536" s="24" t="n">
        <f aca="false">ABS(IFERROR(H536/(F536-G536),H536/E536))</f>
        <v>0.205205205205205</v>
      </c>
    </row>
    <row r="537" customFormat="false" ht="15.75" hidden="false" customHeight="false" outlineLevel="0" collapsed="false">
      <c r="A537" s="7" t="n">
        <v>536</v>
      </c>
      <c r="B537" s="16" t="n">
        <v>45648</v>
      </c>
      <c r="C537" s="22" t="n">
        <v>3.75</v>
      </c>
      <c r="D537" s="22" t="n">
        <v>0</v>
      </c>
      <c r="E537" s="22" t="n">
        <v>16.55</v>
      </c>
      <c r="F537" s="22" t="n">
        <v>22.54</v>
      </c>
      <c r="G537" s="22" t="n">
        <v>3.64</v>
      </c>
      <c r="H537" s="23" t="n">
        <f aca="false">((C537+D537+E537)-(F537-G537))</f>
        <v>1.4</v>
      </c>
      <c r="I537" s="24" t="n">
        <f aca="false">ABS(IFERROR(H537/(F537-G537),H537/E537))</f>
        <v>0.0740740740740742</v>
      </c>
    </row>
    <row r="538" customFormat="false" ht="15.75" hidden="false" customHeight="false" outlineLevel="0" collapsed="false">
      <c r="A538" s="7" t="n">
        <v>537</v>
      </c>
      <c r="B538" s="16" t="n">
        <v>45648</v>
      </c>
      <c r="C538" s="22" t="n">
        <v>0</v>
      </c>
      <c r="D538" s="22" t="n">
        <v>0</v>
      </c>
      <c r="E538" s="22" t="n">
        <v>17.6</v>
      </c>
      <c r="F538" s="22" t="n">
        <v>23.97</v>
      </c>
      <c r="G538" s="22" t="n">
        <v>0</v>
      </c>
      <c r="H538" s="23" t="n">
        <f aca="false">((C538+D538+E538)-(F538-G538))</f>
        <v>-6.37</v>
      </c>
      <c r="I538" s="24" t="n">
        <f aca="false">ABS(IFERROR(H538/(F538-G538),H538/E538))</f>
        <v>0.265748852732582</v>
      </c>
    </row>
    <row r="539" customFormat="false" ht="15.75" hidden="false" customHeight="false" outlineLevel="0" collapsed="false">
      <c r="A539" s="7" t="n">
        <v>538</v>
      </c>
      <c r="B539" s="16" t="n">
        <v>45648</v>
      </c>
      <c r="C539" s="22" t="n">
        <v>0</v>
      </c>
      <c r="D539" s="22" t="n">
        <v>0</v>
      </c>
      <c r="E539" s="22" t="n">
        <v>7.09</v>
      </c>
      <c r="F539" s="22" t="n">
        <v>10.08</v>
      </c>
      <c r="G539" s="22" t="n">
        <v>0</v>
      </c>
      <c r="H539" s="23" t="n">
        <f aca="false">((C539+D539+E539)-(F539-G539))</f>
        <v>-2.99</v>
      </c>
      <c r="I539" s="24" t="n">
        <f aca="false">ABS(IFERROR(H539/(F539-G539),H539/E539))</f>
        <v>0.296626984126984</v>
      </c>
    </row>
    <row r="540" customFormat="false" ht="15.75" hidden="false" customHeight="false" outlineLevel="0" collapsed="false">
      <c r="A540" s="7" t="n">
        <v>539</v>
      </c>
      <c r="B540" s="16" t="n">
        <v>45648</v>
      </c>
      <c r="C540" s="22" t="n">
        <v>0</v>
      </c>
      <c r="D540" s="22" t="n">
        <v>0</v>
      </c>
      <c r="E540" s="22" t="n">
        <v>6.98</v>
      </c>
      <c r="F540" s="22" t="n">
        <v>9.93</v>
      </c>
      <c r="G540" s="22" t="n">
        <v>0</v>
      </c>
      <c r="H540" s="23" t="n">
        <f aca="false">((C540+D540+E540)-(F540-G540))</f>
        <v>-2.95</v>
      </c>
      <c r="I540" s="24" t="n">
        <f aca="false">ABS(IFERROR(H540/(F540-G540),H540/E540))</f>
        <v>0.297079556898288</v>
      </c>
    </row>
    <row r="541" customFormat="false" ht="15.75" hidden="false" customHeight="false" outlineLevel="0" collapsed="false">
      <c r="A541" s="7" t="n">
        <v>540</v>
      </c>
      <c r="B541" s="16" t="n">
        <v>45649</v>
      </c>
      <c r="C541" s="22" t="n">
        <v>2.5</v>
      </c>
      <c r="D541" s="22" t="n">
        <v>3.63</v>
      </c>
      <c r="E541" s="22" t="n">
        <v>9.49</v>
      </c>
      <c r="F541" s="22" t="n">
        <v>17.88</v>
      </c>
      <c r="G541" s="22" t="n">
        <v>3.73</v>
      </c>
      <c r="H541" s="23" t="n">
        <f aca="false">((C541+D541+E541)-(F541-G541))</f>
        <v>1.47</v>
      </c>
      <c r="I541" s="24" t="n">
        <f aca="false">ABS(IFERROR(H541/(F541-G541),H541/E541))</f>
        <v>0.103886925795053</v>
      </c>
    </row>
    <row r="542" customFormat="false" ht="15.75" hidden="false" customHeight="false" outlineLevel="0" collapsed="false">
      <c r="A542" s="7" t="n">
        <v>541</v>
      </c>
      <c r="B542" s="16" t="n">
        <v>45649</v>
      </c>
      <c r="C542" s="22" t="n">
        <v>2.5</v>
      </c>
      <c r="D542" s="22" t="n">
        <v>1.03</v>
      </c>
      <c r="E542" s="22" t="n">
        <v>8.33</v>
      </c>
      <c r="F542" s="22" t="n">
        <v>15.08</v>
      </c>
      <c r="G542" s="22" t="n">
        <v>0</v>
      </c>
      <c r="H542" s="23" t="n">
        <f aca="false">((C542+D542+E542)-(F542-G542))</f>
        <v>-3.22</v>
      </c>
      <c r="I542" s="24" t="n">
        <f aca="false">ABS(IFERROR(H542/(F542-G542),H542/E542))</f>
        <v>0.213527851458886</v>
      </c>
    </row>
    <row r="543" customFormat="false" ht="15.75" hidden="false" customHeight="false" outlineLevel="0" collapsed="false">
      <c r="A543" s="7" t="n">
        <v>542</v>
      </c>
      <c r="B543" s="16" t="n">
        <v>45649</v>
      </c>
      <c r="C543" s="22" t="n">
        <v>4.25</v>
      </c>
      <c r="D543" s="22" t="n">
        <v>0</v>
      </c>
      <c r="E543" s="22" t="n">
        <v>6.99</v>
      </c>
      <c r="F543" s="22" t="n">
        <v>12.92</v>
      </c>
      <c r="G543" s="22" t="n">
        <v>1.01</v>
      </c>
      <c r="H543" s="23" t="n">
        <f aca="false">((C543+D543+E543)-(F543-G543))</f>
        <v>-0.67</v>
      </c>
      <c r="I543" s="24" t="n">
        <f aca="false">ABS(IFERROR(H543/(F543-G543),H543/E543))</f>
        <v>0.056255247691016</v>
      </c>
    </row>
    <row r="544" customFormat="false" ht="15.75" hidden="false" customHeight="false" outlineLevel="0" collapsed="false">
      <c r="A544" s="7" t="n">
        <v>543</v>
      </c>
      <c r="B544" s="16" t="n">
        <v>45649</v>
      </c>
      <c r="C544" s="22" t="n">
        <v>1.5</v>
      </c>
      <c r="D544" s="22" t="n">
        <v>0</v>
      </c>
      <c r="E544" s="22" t="n">
        <v>10.65</v>
      </c>
      <c r="F544" s="22" t="n">
        <v>13.97</v>
      </c>
      <c r="G544" s="22" t="n">
        <v>9.53</v>
      </c>
      <c r="H544" s="23" t="n">
        <f aca="false">((C544+D544+E544)-(F544-G544))</f>
        <v>7.71</v>
      </c>
      <c r="I544" s="24" t="n">
        <f aca="false">ABS(IFERROR(H544/(F544-G544),H544/E544))</f>
        <v>1.73648648648649</v>
      </c>
    </row>
    <row r="545" customFormat="false" ht="15.75" hidden="false" customHeight="false" outlineLevel="0" collapsed="false">
      <c r="A545" s="7" t="n">
        <v>544</v>
      </c>
      <c r="B545" s="16" t="n">
        <v>45649</v>
      </c>
      <c r="C545" s="22" t="n">
        <v>0</v>
      </c>
      <c r="D545" s="22" t="n">
        <v>3.63</v>
      </c>
      <c r="E545" s="22" t="n">
        <v>7.18</v>
      </c>
      <c r="F545" s="22" t="n">
        <v>14.04</v>
      </c>
      <c r="G545" s="22" t="n">
        <v>0.7</v>
      </c>
      <c r="H545" s="23" t="n">
        <f aca="false">((C545+D545+E545)-(F545-G545))</f>
        <v>-2.53</v>
      </c>
      <c r="I545" s="24" t="n">
        <f aca="false">ABS(IFERROR(H545/(F545-G545),H545/E545))</f>
        <v>0.189655172413793</v>
      </c>
    </row>
    <row r="546" customFormat="false" ht="15.75" hidden="false" customHeight="false" outlineLevel="0" collapsed="false">
      <c r="A546" s="7" t="n">
        <v>545</v>
      </c>
      <c r="B546" s="16" t="n">
        <v>45649</v>
      </c>
      <c r="C546" s="22" t="n">
        <v>2.25</v>
      </c>
      <c r="D546" s="22" t="n">
        <v>3.63</v>
      </c>
      <c r="E546" s="22" t="n">
        <v>8</v>
      </c>
      <c r="F546" s="22" t="n">
        <v>16.23</v>
      </c>
      <c r="G546" s="22" t="n">
        <v>0.86</v>
      </c>
      <c r="H546" s="23" t="n">
        <f aca="false">((C546+D546+E546)-(F546-G546))</f>
        <v>-1.49</v>
      </c>
      <c r="I546" s="24" t="n">
        <f aca="false">ABS(IFERROR(H546/(F546-G546),H546/E546))</f>
        <v>0.0969420949902409</v>
      </c>
    </row>
    <row r="547" customFormat="false" ht="15.75" hidden="false" customHeight="false" outlineLevel="0" collapsed="false">
      <c r="A547" s="7" t="n">
        <v>546</v>
      </c>
      <c r="B547" s="16" t="n">
        <v>45652</v>
      </c>
      <c r="C547" s="22" t="n">
        <v>2.5</v>
      </c>
      <c r="D547" s="22" t="n">
        <v>6.95</v>
      </c>
      <c r="E547" s="22" t="n">
        <v>28.71</v>
      </c>
      <c r="F547" s="22" t="n">
        <v>41.58</v>
      </c>
      <c r="G547" s="22" t="n">
        <v>13.64</v>
      </c>
      <c r="H547" s="23" t="n">
        <f aca="false">((C547+D547+E547)-(F547-G547))</f>
        <v>10.22</v>
      </c>
      <c r="I547" s="24" t="n">
        <f aca="false">ABS(IFERROR(H547/(F547-G547),H547/E547))</f>
        <v>0.365783822476736</v>
      </c>
    </row>
    <row r="548" customFormat="false" ht="15.75" hidden="false" customHeight="false" outlineLevel="0" collapsed="false">
      <c r="A548" s="7" t="n">
        <v>547</v>
      </c>
      <c r="B548" s="16" t="n">
        <v>45652</v>
      </c>
      <c r="C548" s="22" t="n">
        <v>1</v>
      </c>
      <c r="D548" s="22" t="n">
        <v>4.58</v>
      </c>
      <c r="E548" s="22" t="n">
        <v>16.1</v>
      </c>
      <c r="F548" s="22" t="n">
        <v>26.9</v>
      </c>
      <c r="G548" s="22" t="n">
        <v>0</v>
      </c>
      <c r="H548" s="23" t="n">
        <f aca="false">((C548+D548+E548)-(F548-G548))</f>
        <v>-5.22</v>
      </c>
      <c r="I548" s="24" t="n">
        <f aca="false">ABS(IFERROR(H548/(F548-G548),H548/E548))</f>
        <v>0.194052044609665</v>
      </c>
    </row>
    <row r="549" customFormat="false" ht="15.75" hidden="false" customHeight="false" outlineLevel="0" collapsed="false">
      <c r="A549" s="7" t="n">
        <v>548</v>
      </c>
      <c r="B549" s="16" t="n">
        <v>45652</v>
      </c>
      <c r="C549" s="22" t="n">
        <v>0</v>
      </c>
      <c r="D549" s="22" t="n">
        <v>5.12</v>
      </c>
      <c r="E549" s="22" t="n">
        <v>14.87</v>
      </c>
      <c r="F549" s="22" t="n">
        <v>22.17</v>
      </c>
      <c r="G549" s="22" t="n">
        <v>6.12</v>
      </c>
      <c r="H549" s="23" t="n">
        <f aca="false">((C549+D549+E549)-(F549-G549))</f>
        <v>3.94</v>
      </c>
      <c r="I549" s="24" t="n">
        <f aca="false">ABS(IFERROR(H549/(F549-G549),H549/E549))</f>
        <v>0.245482866043614</v>
      </c>
    </row>
    <row r="550" customFormat="false" ht="15.75" hidden="false" customHeight="false" outlineLevel="0" collapsed="false">
      <c r="A550" s="7" t="n">
        <v>549</v>
      </c>
      <c r="B550" s="16" t="n">
        <v>45652</v>
      </c>
      <c r="C550" s="22" t="n">
        <v>0</v>
      </c>
      <c r="D550" s="22" t="n">
        <v>4.37</v>
      </c>
      <c r="E550" s="22" t="n">
        <v>17.07</v>
      </c>
      <c r="F550" s="22" t="n">
        <v>24.23</v>
      </c>
      <c r="G550" s="22" t="n">
        <v>1.56</v>
      </c>
      <c r="H550" s="23" t="n">
        <f aca="false">((C550+D550+E550)-(F550-G550))</f>
        <v>-1.23</v>
      </c>
      <c r="I550" s="24" t="n">
        <f aca="false">ABS(IFERROR(H550/(F550-G550),H550/E550))</f>
        <v>0.0542567269519189</v>
      </c>
    </row>
    <row r="551" customFormat="false" ht="15.75" hidden="false" customHeight="false" outlineLevel="0" collapsed="false">
      <c r="A551" s="7" t="n">
        <v>550</v>
      </c>
      <c r="B551" s="16" t="n">
        <v>45652</v>
      </c>
      <c r="C551" s="22" t="n">
        <v>3.5</v>
      </c>
      <c r="D551" s="22" t="n">
        <v>0</v>
      </c>
      <c r="E551" s="22" t="n">
        <v>10.34</v>
      </c>
      <c r="F551" s="22" t="n">
        <v>20.1</v>
      </c>
      <c r="G551" s="22" t="n">
        <v>0</v>
      </c>
      <c r="H551" s="23" t="n">
        <f aca="false">((C551+D551+E551)-(F551-G551))</f>
        <v>-6.26</v>
      </c>
      <c r="I551" s="24" t="n">
        <f aca="false">ABS(IFERROR(H551/(F551-G551),H551/E551))</f>
        <v>0.311442786069652</v>
      </c>
    </row>
    <row r="552" customFormat="false" ht="15.75" hidden="false" customHeight="false" outlineLevel="0" collapsed="false">
      <c r="A552" s="7" t="n">
        <v>551</v>
      </c>
      <c r="B552" s="16" t="n">
        <v>45655</v>
      </c>
      <c r="C552" s="22" t="n">
        <v>0</v>
      </c>
      <c r="D552" s="22" t="n">
        <v>3.75</v>
      </c>
      <c r="E552" s="22" t="n">
        <v>9.47</v>
      </c>
      <c r="F552" s="22" t="n">
        <v>14.91</v>
      </c>
      <c r="G552" s="22" t="n">
        <v>1.96</v>
      </c>
      <c r="H552" s="23" t="n">
        <f aca="false">((C552+D552+E552)-(F552-G552))</f>
        <v>0.270000000000001</v>
      </c>
      <c r="I552" s="24" t="n">
        <f aca="false">ABS(IFERROR(H552/(F552-G552),H552/E552))</f>
        <v>0.020849420849421</v>
      </c>
    </row>
    <row r="553" customFormat="false" ht="15.75" hidden="false" customHeight="false" outlineLevel="0" collapsed="false">
      <c r="A553" s="7" t="n">
        <v>552</v>
      </c>
      <c r="B553" s="16" t="n">
        <v>45655</v>
      </c>
      <c r="C553" s="22" t="n">
        <v>3.66</v>
      </c>
      <c r="D553" s="22" t="n">
        <v>2.78</v>
      </c>
      <c r="E553" s="22" t="n">
        <v>7.28</v>
      </c>
      <c r="F553" s="22" t="n">
        <v>16.1</v>
      </c>
      <c r="G553" s="22" t="n">
        <v>2.42</v>
      </c>
      <c r="H553" s="23" t="n">
        <f aca="false">((C553+D553+E553)-(F553-G553))</f>
        <v>0.0399999999999974</v>
      </c>
      <c r="I553" s="24" t="n">
        <f aca="false">ABS(IFERROR(H553/(F553-G553),H553/E553))</f>
        <v>0.00292397660818694</v>
      </c>
    </row>
    <row r="554" customFormat="false" ht="15.75" hidden="false" customHeight="false" outlineLevel="0" collapsed="false">
      <c r="A554" s="7" t="n">
        <v>553</v>
      </c>
      <c r="B554" s="16" t="n">
        <v>45655</v>
      </c>
      <c r="C554" s="22" t="n">
        <v>0</v>
      </c>
      <c r="D554" s="22" t="n">
        <v>3.09</v>
      </c>
      <c r="E554" s="22" t="n">
        <v>8.41</v>
      </c>
      <c r="F554" s="22" t="n">
        <v>14</v>
      </c>
      <c r="G554" s="22" t="n">
        <v>0</v>
      </c>
      <c r="H554" s="23" t="n">
        <f aca="false">((C554+D554+E554)-(F554-G554))</f>
        <v>-2.5</v>
      </c>
      <c r="I554" s="24" t="n">
        <f aca="false">ABS(IFERROR(H554/(F554-G554),H554/E554))</f>
        <v>0.178571428571429</v>
      </c>
    </row>
    <row r="555" customFormat="false" ht="15.75" hidden="false" customHeight="false" outlineLevel="0" collapsed="false">
      <c r="A555" s="7" t="n">
        <v>554</v>
      </c>
      <c r="B555" s="16" t="n">
        <v>45655</v>
      </c>
      <c r="C555" s="22" t="n">
        <v>0</v>
      </c>
      <c r="D555" s="22" t="n">
        <v>3.65</v>
      </c>
      <c r="E555" s="22" t="n">
        <v>9.11</v>
      </c>
      <c r="F555" s="22" t="n">
        <v>14.48</v>
      </c>
      <c r="G555" s="22" t="n">
        <v>0.57</v>
      </c>
      <c r="H555" s="23" t="n">
        <f aca="false">((C555+D555+E555)-(F555-G555))</f>
        <v>-1.15</v>
      </c>
      <c r="I555" s="24" t="n">
        <f aca="false">ABS(IFERROR(H555/(F555-G555),H555/E555))</f>
        <v>0.0826743350107836</v>
      </c>
    </row>
    <row r="556" customFormat="false" ht="15.75" hidden="false" customHeight="false" outlineLevel="0" collapsed="false">
      <c r="A556" s="7" t="n">
        <v>555</v>
      </c>
      <c r="B556" s="16" t="n">
        <v>45655</v>
      </c>
      <c r="C556" s="22" t="n">
        <v>0</v>
      </c>
      <c r="D556" s="22" t="n">
        <v>1.5</v>
      </c>
      <c r="E556" s="22" t="n">
        <v>7.05</v>
      </c>
      <c r="F556" s="22" t="n">
        <v>9.95</v>
      </c>
      <c r="G556" s="22" t="n">
        <v>0.94</v>
      </c>
      <c r="H556" s="23" t="n">
        <f aca="false">((C556+D556+E556)-(F556-G556))</f>
        <v>-0.459999999999999</v>
      </c>
      <c r="I556" s="24" t="n">
        <f aca="false">ABS(IFERROR(H556/(F556-G556),H556/E556))</f>
        <v>0.0510543840177579</v>
      </c>
    </row>
    <row r="557" customFormat="false" ht="15.75" hidden="false" customHeight="false" outlineLevel="0" collapsed="false">
      <c r="A557" s="7" t="n">
        <v>556</v>
      </c>
      <c r="B557" s="16" t="n">
        <v>45656</v>
      </c>
      <c r="C557" s="22" t="n">
        <v>0</v>
      </c>
      <c r="D557" s="22" t="n">
        <v>2.75</v>
      </c>
      <c r="E557" s="22" t="n">
        <v>30.63</v>
      </c>
      <c r="F557" s="22" t="n">
        <v>36.8</v>
      </c>
      <c r="G557" s="22" t="n">
        <v>9.87</v>
      </c>
      <c r="H557" s="23" t="n">
        <f aca="false">((C557+D557+E557)-(F557-G557))</f>
        <v>6.45</v>
      </c>
      <c r="I557" s="24" t="n">
        <f aca="false">ABS(IFERROR(H557/(F557-G557),H557/E557))</f>
        <v>0.239509840326773</v>
      </c>
    </row>
    <row r="558" customFormat="false" ht="15.75" hidden="false" customHeight="false" outlineLevel="0" collapsed="false">
      <c r="A558" s="7" t="n">
        <v>557</v>
      </c>
      <c r="B558" s="16" t="n">
        <v>45656</v>
      </c>
      <c r="C558" s="22" t="n">
        <v>0</v>
      </c>
      <c r="D558" s="22" t="n">
        <v>0</v>
      </c>
      <c r="E558" s="22" t="n">
        <v>19.05</v>
      </c>
      <c r="F558" s="22" t="n">
        <v>23.96</v>
      </c>
      <c r="G558" s="22" t="n">
        <v>0</v>
      </c>
      <c r="H558" s="23" t="n">
        <f aca="false">((C558+D558+E558)-(F558-G558))</f>
        <v>-4.91</v>
      </c>
      <c r="I558" s="24" t="n">
        <f aca="false">ABS(IFERROR(H558/(F558-G558),H558/E558))</f>
        <v>0.204924874791319</v>
      </c>
    </row>
    <row r="559" customFormat="false" ht="15.75" hidden="false" customHeight="false" outlineLevel="0" collapsed="false">
      <c r="A559" s="7" t="n">
        <v>558</v>
      </c>
      <c r="B559" s="16" t="n">
        <v>45656</v>
      </c>
      <c r="C559" s="22" t="n">
        <v>0</v>
      </c>
      <c r="D559" s="22" t="n">
        <v>0</v>
      </c>
      <c r="E559" s="22" t="n">
        <v>18.66</v>
      </c>
      <c r="F559" s="22" t="n">
        <v>27</v>
      </c>
      <c r="G559" s="22" t="n">
        <v>0</v>
      </c>
      <c r="H559" s="23" t="n">
        <f aca="false">((C559+D559+E559)-(F559-G559))</f>
        <v>-8.34</v>
      </c>
      <c r="I559" s="24" t="n">
        <f aca="false">ABS(IFERROR(H559/(F559-G559),H559/E559))</f>
        <v>0.308888888888889</v>
      </c>
    </row>
    <row r="560" customFormat="false" ht="15.75" hidden="false" customHeight="false" outlineLevel="0" collapsed="false">
      <c r="A560" s="7" t="n">
        <v>559</v>
      </c>
      <c r="B560" s="16" t="n">
        <v>45656</v>
      </c>
      <c r="C560" s="22" t="n">
        <v>0</v>
      </c>
      <c r="D560" s="22" t="n">
        <v>0</v>
      </c>
      <c r="E560" s="22" t="n">
        <v>6.98</v>
      </c>
      <c r="F560" s="22" t="n">
        <v>9.6</v>
      </c>
      <c r="G560" s="22" t="n">
        <v>9.6</v>
      </c>
      <c r="H560" s="23" t="n">
        <f aca="false">((C560+D560+E560)-(F560-G560))</f>
        <v>6.98</v>
      </c>
      <c r="I560" s="24" t="n">
        <f aca="false">ABS(IFERROR(H560/(F560-G560),H560/E560))</f>
        <v>1</v>
      </c>
    </row>
    <row r="561" customFormat="false" ht="15.75" hidden="false" customHeight="false" outlineLevel="0" collapsed="false">
      <c r="A561" s="7" t="n">
        <v>560</v>
      </c>
      <c r="B561" s="16" t="n">
        <v>45656</v>
      </c>
      <c r="C561" s="22" t="n">
        <v>0</v>
      </c>
      <c r="D561" s="22" t="n">
        <v>0</v>
      </c>
      <c r="E561" s="22" t="n">
        <v>7.78</v>
      </c>
      <c r="F561" s="22" t="n">
        <v>12.97</v>
      </c>
      <c r="G561" s="22" t="n">
        <v>0</v>
      </c>
      <c r="H561" s="23" t="n">
        <f aca="false">((C561+D561+E561)-(F561-G561))</f>
        <v>-5.19</v>
      </c>
      <c r="I561" s="24" t="n">
        <f aca="false">ABS(IFERROR(H561/(F561-G561),H561/E561))</f>
        <v>0.400154202004626</v>
      </c>
    </row>
    <row r="562" customFormat="false" ht="15.75" hidden="false" customHeight="false" outlineLevel="0" collapsed="false">
      <c r="A562" s="7" t="n">
        <v>561</v>
      </c>
      <c r="B562" s="16" t="n">
        <v>45656</v>
      </c>
      <c r="C562" s="22" t="n">
        <v>2.75</v>
      </c>
      <c r="D562" s="22" t="n">
        <v>0</v>
      </c>
      <c r="E562" s="22" t="n">
        <v>7.68</v>
      </c>
      <c r="F562" s="22" t="n">
        <v>11.95</v>
      </c>
      <c r="G562" s="22" t="n">
        <v>1.05</v>
      </c>
      <c r="H562" s="23" t="n">
        <f aca="false">((C562+D562+E562)-(F562-G562))</f>
        <v>-0.469999999999999</v>
      </c>
      <c r="I562" s="24" t="n">
        <f aca="false">ABS(IFERROR(H562/(F562-G562),H562/E562))</f>
        <v>0.0431192660550458</v>
      </c>
    </row>
    <row r="563" customFormat="false" ht="15.75" hidden="false" customHeight="false" outlineLevel="0" collapsed="false">
      <c r="A563" s="7" t="n">
        <v>562</v>
      </c>
      <c r="B563" s="16" t="n">
        <v>45656</v>
      </c>
      <c r="C563" s="22" t="n">
        <v>1.25</v>
      </c>
      <c r="D563" s="22" t="n">
        <v>0</v>
      </c>
      <c r="E563" s="22" t="n">
        <v>7.14</v>
      </c>
      <c r="F563" s="22" t="n">
        <v>12.9</v>
      </c>
      <c r="G563" s="22" t="n">
        <v>0</v>
      </c>
      <c r="H563" s="23" t="n">
        <f aca="false">((C563+D563+E563)-(F563-G563))</f>
        <v>-4.51</v>
      </c>
      <c r="I563" s="24" t="n">
        <f aca="false">ABS(IFERROR(H563/(F563-G563),H563/E563))</f>
        <v>0.349612403100775</v>
      </c>
    </row>
    <row r="564" customFormat="false" ht="15.75" hidden="false" customHeight="false" outlineLevel="0" collapsed="false">
      <c r="A564" s="7"/>
      <c r="B564" s="16"/>
      <c r="C564" s="22"/>
      <c r="D564" s="22"/>
      <c r="E564" s="22"/>
      <c r="F564" s="22"/>
      <c r="G564" s="22"/>
      <c r="H564" s="22"/>
    </row>
    <row r="565" customFormat="false" ht="15.75" hidden="false" customHeight="false" outlineLevel="0" collapsed="false">
      <c r="A565" s="7"/>
      <c r="B565" s="16"/>
      <c r="C565" s="22"/>
      <c r="D565" s="22"/>
      <c r="E565" s="22"/>
      <c r="F565" s="22"/>
      <c r="G565" s="22"/>
      <c r="H565" s="22"/>
    </row>
    <row r="566" customFormat="false" ht="15.75" hidden="false" customHeight="false" outlineLevel="0" collapsed="false">
      <c r="A566" s="7"/>
      <c r="B566" s="16"/>
      <c r="C566" s="22"/>
      <c r="D566" s="22"/>
      <c r="E566" s="22"/>
      <c r="F566" s="22"/>
      <c r="G566" s="22"/>
      <c r="H566" s="22"/>
    </row>
    <row r="567" customFormat="false" ht="15.75" hidden="false" customHeight="false" outlineLevel="0" collapsed="false">
      <c r="A567" s="7"/>
      <c r="B567" s="16"/>
      <c r="C567" s="22"/>
      <c r="D567" s="22"/>
      <c r="E567" s="22"/>
      <c r="F567" s="22"/>
      <c r="G567" s="22"/>
      <c r="H567" s="22"/>
    </row>
    <row r="568" customFormat="false" ht="15.75" hidden="false" customHeight="false" outlineLevel="0" collapsed="false">
      <c r="A568" s="7"/>
      <c r="B568" s="16"/>
      <c r="C568" s="22"/>
      <c r="D568" s="22"/>
      <c r="E568" s="22"/>
      <c r="F568" s="22"/>
      <c r="G568" s="22"/>
      <c r="H568" s="22"/>
    </row>
    <row r="569" customFormat="false" ht="15.75" hidden="false" customHeight="false" outlineLevel="0" collapsed="false">
      <c r="A569" s="7"/>
      <c r="B569" s="16"/>
      <c r="C569" s="22"/>
      <c r="D569" s="22"/>
      <c r="E569" s="22"/>
      <c r="F569" s="22"/>
      <c r="G569" s="22"/>
      <c r="H569" s="22"/>
    </row>
    <row r="570" customFormat="false" ht="15.75" hidden="false" customHeight="false" outlineLevel="0" collapsed="false">
      <c r="A570" s="7"/>
      <c r="B570" s="16"/>
      <c r="C570" s="22"/>
      <c r="D570" s="22"/>
      <c r="E570" s="22"/>
      <c r="F570" s="22"/>
      <c r="G570" s="22"/>
      <c r="H570" s="22"/>
    </row>
    <row r="571" customFormat="false" ht="15.75" hidden="false" customHeight="false" outlineLevel="0" collapsed="false">
      <c r="A571" s="7"/>
      <c r="B571" s="16"/>
      <c r="C571" s="22"/>
      <c r="D571" s="22"/>
      <c r="E571" s="22"/>
      <c r="F571" s="22"/>
      <c r="G571" s="22"/>
      <c r="H571" s="22"/>
    </row>
    <row r="572" customFormat="false" ht="15.75" hidden="false" customHeight="false" outlineLevel="0" collapsed="false">
      <c r="A572" s="7"/>
      <c r="B572" s="16"/>
      <c r="C572" s="22"/>
      <c r="D572" s="22"/>
      <c r="E572" s="22"/>
      <c r="F572" s="22"/>
      <c r="G572" s="22"/>
      <c r="H572" s="22"/>
    </row>
    <row r="573" customFormat="false" ht="15.75" hidden="false" customHeight="false" outlineLevel="0" collapsed="false">
      <c r="A573" s="7"/>
      <c r="B573" s="16"/>
      <c r="C573" s="22"/>
      <c r="D573" s="22"/>
      <c r="E573" s="22"/>
      <c r="F573" s="22"/>
      <c r="G573" s="22"/>
      <c r="H573" s="22"/>
    </row>
    <row r="574" customFormat="false" ht="15.75" hidden="false" customHeight="false" outlineLevel="0" collapsed="false">
      <c r="A574" s="7"/>
      <c r="B574" s="16"/>
      <c r="C574" s="22"/>
      <c r="D574" s="22"/>
      <c r="E574" s="22"/>
      <c r="F574" s="22"/>
      <c r="G574" s="22"/>
      <c r="H574" s="22"/>
    </row>
    <row r="575" customFormat="false" ht="15.75" hidden="false" customHeight="false" outlineLevel="0" collapsed="false">
      <c r="A575" s="7"/>
      <c r="B575" s="16"/>
      <c r="C575" s="22"/>
      <c r="D575" s="22"/>
      <c r="E575" s="22"/>
      <c r="F575" s="22"/>
      <c r="G575" s="22"/>
      <c r="H575" s="22"/>
    </row>
    <row r="576" customFormat="false" ht="15.75" hidden="false" customHeight="false" outlineLevel="0" collapsed="false">
      <c r="A576" s="7"/>
      <c r="B576" s="16"/>
      <c r="C576" s="22"/>
      <c r="D576" s="22"/>
      <c r="E576" s="22"/>
      <c r="F576" s="22"/>
      <c r="G576" s="22"/>
      <c r="H576" s="22"/>
    </row>
    <row r="577" customFormat="false" ht="15.75" hidden="false" customHeight="false" outlineLevel="0" collapsed="false">
      <c r="A577" s="7"/>
      <c r="B577" s="16"/>
      <c r="C577" s="22"/>
      <c r="D577" s="22"/>
      <c r="E577" s="22"/>
      <c r="F577" s="22"/>
      <c r="G577" s="22"/>
      <c r="H577" s="22"/>
    </row>
    <row r="578" customFormat="false" ht="15.75" hidden="false" customHeight="false" outlineLevel="0" collapsed="false">
      <c r="A578" s="7"/>
      <c r="B578" s="16"/>
      <c r="C578" s="22"/>
      <c r="D578" s="22"/>
      <c r="E578" s="22"/>
      <c r="F578" s="22"/>
      <c r="G578" s="22"/>
      <c r="H578" s="22"/>
    </row>
    <row r="579" customFormat="false" ht="15.75" hidden="false" customHeight="false" outlineLevel="0" collapsed="false">
      <c r="A579" s="7"/>
      <c r="B579" s="16"/>
      <c r="C579" s="22"/>
      <c r="D579" s="22"/>
      <c r="E579" s="22"/>
      <c r="F579" s="22"/>
      <c r="G579" s="22"/>
      <c r="H579" s="22"/>
    </row>
    <row r="580" customFormat="false" ht="15.75" hidden="false" customHeight="false" outlineLevel="0" collapsed="false">
      <c r="A580" s="7"/>
      <c r="B580" s="16"/>
      <c r="C580" s="22"/>
      <c r="D580" s="22"/>
      <c r="E580" s="22"/>
      <c r="F580" s="22"/>
      <c r="G580" s="22"/>
      <c r="H580" s="22"/>
    </row>
    <row r="581" customFormat="false" ht="15.75" hidden="false" customHeight="false" outlineLevel="0" collapsed="false">
      <c r="A581" s="7"/>
      <c r="B581" s="16"/>
      <c r="C581" s="22"/>
      <c r="D581" s="22"/>
      <c r="E581" s="22"/>
      <c r="F581" s="22"/>
      <c r="G581" s="22"/>
      <c r="H581" s="22"/>
    </row>
    <row r="582" customFormat="false" ht="15.75" hidden="false" customHeight="false" outlineLevel="0" collapsed="false">
      <c r="A582" s="7"/>
      <c r="B582" s="16"/>
      <c r="C582" s="22"/>
      <c r="D582" s="22"/>
      <c r="E582" s="22"/>
      <c r="F582" s="22"/>
      <c r="G582" s="22"/>
      <c r="H582" s="22"/>
    </row>
    <row r="583" customFormat="false" ht="15.75" hidden="false" customHeight="false" outlineLevel="0" collapsed="false">
      <c r="A583" s="7"/>
      <c r="B583" s="16"/>
      <c r="C583" s="22"/>
      <c r="D583" s="22"/>
      <c r="E583" s="22"/>
      <c r="F583" s="22"/>
      <c r="G583" s="22"/>
      <c r="H583" s="22"/>
    </row>
    <row r="584" customFormat="false" ht="15.75" hidden="false" customHeight="false" outlineLevel="0" collapsed="false">
      <c r="A584" s="7"/>
      <c r="B584" s="16"/>
      <c r="C584" s="22"/>
      <c r="D584" s="22"/>
      <c r="E584" s="22"/>
      <c r="F584" s="22"/>
      <c r="G584" s="22"/>
      <c r="H584" s="22"/>
    </row>
    <row r="585" customFormat="false" ht="15.75" hidden="false" customHeight="false" outlineLevel="0" collapsed="false">
      <c r="A585" s="7"/>
      <c r="B585" s="16"/>
      <c r="C585" s="22"/>
      <c r="D585" s="22"/>
      <c r="E585" s="22"/>
      <c r="F585" s="22"/>
      <c r="G585" s="22"/>
      <c r="H585" s="22"/>
    </row>
    <row r="586" customFormat="false" ht="15.75" hidden="false" customHeight="false" outlineLevel="0" collapsed="false">
      <c r="A586" s="7"/>
      <c r="B586" s="16"/>
      <c r="C586" s="22"/>
      <c r="D586" s="22"/>
      <c r="E586" s="22"/>
      <c r="F586" s="22"/>
      <c r="G586" s="22"/>
      <c r="H586" s="22"/>
    </row>
    <row r="587" customFormat="false" ht="15.75" hidden="false" customHeight="false" outlineLevel="0" collapsed="false">
      <c r="A587" s="7"/>
      <c r="B587" s="16"/>
      <c r="C587" s="22"/>
      <c r="D587" s="22"/>
      <c r="E587" s="22"/>
      <c r="F587" s="22"/>
      <c r="G587" s="22"/>
      <c r="H587" s="22"/>
    </row>
    <row r="588" customFormat="false" ht="15.75" hidden="false" customHeight="false" outlineLevel="0" collapsed="false">
      <c r="A588" s="7"/>
      <c r="B588" s="16"/>
      <c r="C588" s="22"/>
      <c r="D588" s="22"/>
      <c r="E588" s="22"/>
      <c r="F588" s="22"/>
      <c r="G588" s="22"/>
      <c r="H588" s="22"/>
    </row>
    <row r="589" customFormat="false" ht="15.75" hidden="false" customHeight="false" outlineLevel="0" collapsed="false">
      <c r="A589" s="7"/>
      <c r="B589" s="16"/>
      <c r="C589" s="22"/>
      <c r="D589" s="22"/>
      <c r="E589" s="22"/>
      <c r="F589" s="22"/>
      <c r="G589" s="22"/>
      <c r="H589" s="22"/>
    </row>
    <row r="590" customFormat="false" ht="15.75" hidden="false" customHeight="false" outlineLevel="0" collapsed="false">
      <c r="A590" s="7"/>
      <c r="B590" s="16"/>
      <c r="C590" s="22"/>
      <c r="D590" s="22"/>
      <c r="E590" s="22"/>
      <c r="F590" s="22"/>
      <c r="G590" s="22"/>
      <c r="H590" s="22"/>
    </row>
    <row r="591" customFormat="false" ht="15.75" hidden="false" customHeight="false" outlineLevel="0" collapsed="false">
      <c r="A591" s="7"/>
      <c r="B591" s="16"/>
      <c r="C591" s="22"/>
      <c r="D591" s="22"/>
      <c r="E591" s="22"/>
      <c r="F591" s="22"/>
      <c r="G591" s="22"/>
      <c r="H591" s="22"/>
    </row>
    <row r="592" customFormat="false" ht="15.75" hidden="false" customHeight="false" outlineLevel="0" collapsed="false">
      <c r="A592" s="7"/>
      <c r="B592" s="16"/>
      <c r="C592" s="22"/>
      <c r="D592" s="22"/>
      <c r="E592" s="22"/>
      <c r="F592" s="22"/>
      <c r="G592" s="22"/>
      <c r="H592" s="22"/>
    </row>
    <row r="593" customFormat="false" ht="15.75" hidden="false" customHeight="false" outlineLevel="0" collapsed="false">
      <c r="A593" s="7"/>
      <c r="B593" s="16"/>
      <c r="C593" s="22"/>
      <c r="D593" s="22"/>
      <c r="E593" s="22"/>
      <c r="F593" s="22"/>
      <c r="G593" s="22"/>
      <c r="H593" s="22"/>
    </row>
    <row r="594" customFormat="false" ht="15.75" hidden="false" customHeight="false" outlineLevel="0" collapsed="false">
      <c r="A594" s="7"/>
      <c r="B594" s="16"/>
      <c r="C594" s="22"/>
      <c r="D594" s="22"/>
      <c r="E594" s="22"/>
      <c r="F594" s="22"/>
      <c r="G594" s="22"/>
      <c r="H594" s="22"/>
    </row>
    <row r="595" customFormat="false" ht="15.75" hidden="false" customHeight="false" outlineLevel="0" collapsed="false">
      <c r="A595" s="7"/>
      <c r="B595" s="16"/>
      <c r="C595" s="22"/>
      <c r="D595" s="22"/>
      <c r="E595" s="22"/>
      <c r="F595" s="22"/>
      <c r="G595" s="22"/>
      <c r="H595" s="22"/>
    </row>
    <row r="596" customFormat="false" ht="15.75" hidden="false" customHeight="false" outlineLevel="0" collapsed="false">
      <c r="A596" s="7"/>
      <c r="B596" s="16"/>
      <c r="C596" s="22"/>
      <c r="D596" s="22"/>
      <c r="E596" s="22"/>
      <c r="F596" s="22"/>
      <c r="G596" s="22"/>
      <c r="H596" s="22"/>
    </row>
    <row r="597" customFormat="false" ht="15.75" hidden="false" customHeight="false" outlineLevel="0" collapsed="false">
      <c r="A597" s="7"/>
      <c r="B597" s="16"/>
      <c r="C597" s="22"/>
      <c r="D597" s="22"/>
      <c r="E597" s="22"/>
      <c r="F597" s="22"/>
      <c r="G597" s="22"/>
      <c r="H597" s="22"/>
    </row>
    <row r="598" customFormat="false" ht="15.75" hidden="false" customHeight="false" outlineLevel="0" collapsed="false">
      <c r="A598" s="7"/>
      <c r="B598" s="16"/>
      <c r="C598" s="22"/>
      <c r="D598" s="22"/>
      <c r="E598" s="22"/>
      <c r="F598" s="22"/>
      <c r="G598" s="22"/>
      <c r="H598" s="22"/>
    </row>
    <row r="599" customFormat="false" ht="15.75" hidden="false" customHeight="false" outlineLevel="0" collapsed="false">
      <c r="A599" s="7"/>
      <c r="B599" s="16"/>
      <c r="C599" s="22"/>
      <c r="D599" s="22"/>
      <c r="E599" s="22"/>
      <c r="F599" s="22"/>
      <c r="G599" s="22"/>
      <c r="H599" s="22"/>
    </row>
    <row r="600" customFormat="false" ht="15.75" hidden="false" customHeight="false" outlineLevel="0" collapsed="false">
      <c r="A600" s="7"/>
      <c r="B600" s="16"/>
      <c r="C600" s="22"/>
      <c r="D600" s="22"/>
      <c r="E600" s="22"/>
      <c r="F600" s="22"/>
      <c r="G600" s="22"/>
      <c r="H600" s="22"/>
    </row>
    <row r="601" customFormat="false" ht="15.75" hidden="false" customHeight="false" outlineLevel="0" collapsed="false">
      <c r="A601" s="7"/>
      <c r="B601" s="16"/>
      <c r="C601" s="22"/>
      <c r="D601" s="22"/>
      <c r="E601" s="22"/>
      <c r="F601" s="22"/>
      <c r="G601" s="22"/>
      <c r="H601" s="22"/>
    </row>
    <row r="602" customFormat="false" ht="15.75" hidden="false" customHeight="false" outlineLevel="0" collapsed="false">
      <c r="A602" s="7"/>
      <c r="B602" s="16"/>
      <c r="C602" s="22"/>
      <c r="D602" s="22"/>
      <c r="E602" s="22"/>
      <c r="F602" s="22"/>
      <c r="G602" s="22"/>
      <c r="H602" s="22"/>
    </row>
    <row r="603" customFormat="false" ht="15.75" hidden="false" customHeight="false" outlineLevel="0" collapsed="false">
      <c r="A603" s="7"/>
      <c r="B603" s="16"/>
      <c r="C603" s="22"/>
      <c r="D603" s="22"/>
      <c r="E603" s="22"/>
      <c r="F603" s="22"/>
      <c r="G603" s="22"/>
      <c r="H603" s="22"/>
    </row>
    <row r="604" customFormat="false" ht="15.75" hidden="false" customHeight="false" outlineLevel="0" collapsed="false">
      <c r="A604" s="7"/>
      <c r="B604" s="16"/>
      <c r="C604" s="22"/>
      <c r="D604" s="22"/>
      <c r="E604" s="22"/>
      <c r="F604" s="22"/>
      <c r="G604" s="22"/>
      <c r="H604" s="22"/>
    </row>
    <row r="605" customFormat="false" ht="15.75" hidden="false" customHeight="false" outlineLevel="0" collapsed="false">
      <c r="A605" s="7"/>
      <c r="B605" s="16"/>
      <c r="C605" s="22"/>
      <c r="D605" s="22"/>
      <c r="E605" s="22"/>
      <c r="F605" s="22"/>
      <c r="G605" s="22"/>
      <c r="H605" s="22"/>
    </row>
    <row r="606" customFormat="false" ht="15.75" hidden="false" customHeight="false" outlineLevel="0" collapsed="false">
      <c r="A606" s="7"/>
      <c r="B606" s="16"/>
      <c r="C606" s="22"/>
      <c r="D606" s="22"/>
      <c r="E606" s="22"/>
      <c r="F606" s="22"/>
      <c r="G606" s="22"/>
      <c r="H606" s="22"/>
    </row>
    <row r="607" customFormat="false" ht="15.75" hidden="false" customHeight="false" outlineLevel="0" collapsed="false">
      <c r="A607" s="7"/>
      <c r="B607" s="16"/>
      <c r="C607" s="22"/>
      <c r="D607" s="22"/>
      <c r="E607" s="22"/>
      <c r="F607" s="22"/>
      <c r="G607" s="22"/>
      <c r="H607" s="22"/>
    </row>
    <row r="608" customFormat="false" ht="15.75" hidden="false" customHeight="false" outlineLevel="0" collapsed="false">
      <c r="A608" s="7"/>
      <c r="B608" s="16"/>
      <c r="C608" s="22"/>
      <c r="D608" s="22"/>
      <c r="E608" s="22"/>
      <c r="F608" s="22"/>
      <c r="G608" s="22"/>
      <c r="H608" s="22"/>
    </row>
    <row r="609" customFormat="false" ht="15.75" hidden="false" customHeight="false" outlineLevel="0" collapsed="false">
      <c r="A609" s="7"/>
      <c r="B609" s="16"/>
      <c r="C609" s="22"/>
      <c r="D609" s="22"/>
      <c r="E609" s="22"/>
      <c r="F609" s="22"/>
      <c r="G609" s="22"/>
      <c r="H609" s="22"/>
    </row>
    <row r="610" customFormat="false" ht="15.75" hidden="false" customHeight="false" outlineLevel="0" collapsed="false">
      <c r="A610" s="7"/>
      <c r="B610" s="16"/>
      <c r="C610" s="22"/>
      <c r="D610" s="22"/>
      <c r="E610" s="22"/>
      <c r="F610" s="22"/>
      <c r="G610" s="22"/>
      <c r="H610" s="22"/>
    </row>
    <row r="611" customFormat="false" ht="15.75" hidden="false" customHeight="false" outlineLevel="0" collapsed="false">
      <c r="A611" s="7"/>
      <c r="B611" s="16"/>
      <c r="C611" s="22"/>
      <c r="D611" s="22"/>
      <c r="E611" s="22"/>
      <c r="F611" s="22"/>
      <c r="G611" s="22"/>
      <c r="H611" s="22"/>
    </row>
    <row r="612" customFormat="false" ht="15.75" hidden="false" customHeight="false" outlineLevel="0" collapsed="false">
      <c r="A612" s="7"/>
      <c r="B612" s="16"/>
      <c r="C612" s="22"/>
      <c r="D612" s="22"/>
      <c r="E612" s="22"/>
      <c r="F612" s="22"/>
      <c r="G612" s="22"/>
      <c r="H612" s="22"/>
    </row>
    <row r="613" customFormat="false" ht="15.75" hidden="false" customHeight="false" outlineLevel="0" collapsed="false">
      <c r="A613" s="7"/>
      <c r="B613" s="16"/>
      <c r="C613" s="22"/>
      <c r="D613" s="22"/>
      <c r="E613" s="22"/>
      <c r="F613" s="22"/>
      <c r="G613" s="22"/>
      <c r="H613" s="22"/>
    </row>
    <row r="614" customFormat="false" ht="15.75" hidden="false" customHeight="false" outlineLevel="0" collapsed="false">
      <c r="A614" s="7"/>
      <c r="B614" s="16"/>
      <c r="C614" s="22"/>
      <c r="D614" s="22"/>
      <c r="E614" s="22"/>
      <c r="F614" s="22"/>
      <c r="G614" s="22"/>
      <c r="H614" s="22"/>
    </row>
    <row r="615" customFormat="false" ht="15.75" hidden="false" customHeight="false" outlineLevel="0" collapsed="false">
      <c r="A615" s="7"/>
      <c r="B615" s="16"/>
      <c r="C615" s="22"/>
      <c r="D615" s="22"/>
      <c r="E615" s="22"/>
      <c r="F615" s="22"/>
      <c r="G615" s="22"/>
      <c r="H615" s="22"/>
    </row>
    <row r="616" customFormat="false" ht="15.75" hidden="false" customHeight="false" outlineLevel="0" collapsed="false">
      <c r="A616" s="7"/>
      <c r="B616" s="16"/>
      <c r="C616" s="22"/>
      <c r="D616" s="22"/>
      <c r="E616" s="22"/>
      <c r="F616" s="22"/>
      <c r="G616" s="22"/>
      <c r="H616" s="22"/>
    </row>
    <row r="617" customFormat="false" ht="15.75" hidden="false" customHeight="false" outlineLevel="0" collapsed="false">
      <c r="A617" s="7"/>
      <c r="B617" s="16"/>
      <c r="C617" s="22"/>
      <c r="D617" s="22"/>
      <c r="E617" s="22"/>
      <c r="F617" s="22"/>
      <c r="G617" s="22"/>
      <c r="H617" s="22"/>
    </row>
    <row r="618" customFormat="false" ht="15.75" hidden="false" customHeight="false" outlineLevel="0" collapsed="false">
      <c r="A618" s="7"/>
      <c r="B618" s="16"/>
      <c r="C618" s="22"/>
      <c r="D618" s="22"/>
      <c r="E618" s="22"/>
      <c r="F618" s="22"/>
      <c r="G618" s="22"/>
      <c r="H618" s="22"/>
    </row>
    <row r="619" customFormat="false" ht="15.75" hidden="false" customHeight="false" outlineLevel="0" collapsed="false">
      <c r="A619" s="7"/>
      <c r="B619" s="16"/>
      <c r="C619" s="22"/>
      <c r="D619" s="22"/>
      <c r="E619" s="22"/>
      <c r="F619" s="22"/>
      <c r="G619" s="22"/>
      <c r="H619" s="22"/>
    </row>
    <row r="620" customFormat="false" ht="15.75" hidden="false" customHeight="false" outlineLevel="0" collapsed="false">
      <c r="A620" s="7"/>
      <c r="B620" s="16"/>
      <c r="C620" s="22"/>
      <c r="D620" s="22"/>
      <c r="E620" s="22"/>
      <c r="F620" s="22"/>
      <c r="G620" s="22"/>
      <c r="H620" s="22"/>
    </row>
    <row r="621" customFormat="false" ht="15.75" hidden="false" customHeight="false" outlineLevel="0" collapsed="false">
      <c r="A621" s="7"/>
      <c r="B621" s="16"/>
      <c r="C621" s="22"/>
      <c r="D621" s="22"/>
      <c r="E621" s="22"/>
      <c r="F621" s="22"/>
      <c r="G621" s="22"/>
      <c r="H621" s="22"/>
    </row>
    <row r="622" customFormat="false" ht="15.75" hidden="false" customHeight="false" outlineLevel="0" collapsed="false">
      <c r="A622" s="7"/>
      <c r="B622" s="16"/>
      <c r="C622" s="22"/>
      <c r="D622" s="22"/>
      <c r="E622" s="22"/>
      <c r="F622" s="22"/>
      <c r="G622" s="22"/>
      <c r="H622" s="22"/>
    </row>
    <row r="623" customFormat="false" ht="15.75" hidden="false" customHeight="false" outlineLevel="0" collapsed="false">
      <c r="A623" s="7"/>
      <c r="B623" s="16"/>
      <c r="C623" s="22"/>
      <c r="D623" s="22"/>
      <c r="E623" s="22"/>
      <c r="F623" s="22"/>
      <c r="G623" s="22"/>
      <c r="H623" s="22"/>
    </row>
    <row r="624" customFormat="false" ht="15.75" hidden="false" customHeight="false" outlineLevel="0" collapsed="false">
      <c r="A624" s="7"/>
      <c r="B624" s="16"/>
      <c r="C624" s="22"/>
      <c r="D624" s="22"/>
      <c r="E624" s="22"/>
      <c r="F624" s="22"/>
      <c r="G624" s="22"/>
      <c r="H624" s="22"/>
    </row>
    <row r="625" customFormat="false" ht="15.75" hidden="false" customHeight="false" outlineLevel="0" collapsed="false">
      <c r="A625" s="7"/>
      <c r="B625" s="16"/>
      <c r="C625" s="22"/>
      <c r="D625" s="22"/>
      <c r="E625" s="22"/>
      <c r="F625" s="22"/>
      <c r="G625" s="22"/>
      <c r="H625" s="22"/>
    </row>
    <row r="626" customFormat="false" ht="15.75" hidden="false" customHeight="false" outlineLevel="0" collapsed="false">
      <c r="A626" s="7"/>
      <c r="B626" s="16"/>
      <c r="C626" s="22"/>
      <c r="D626" s="22"/>
      <c r="E626" s="22"/>
      <c r="F626" s="22"/>
      <c r="G626" s="22"/>
      <c r="H626" s="22"/>
    </row>
    <row r="627" customFormat="false" ht="15.75" hidden="false" customHeight="false" outlineLevel="0" collapsed="false">
      <c r="A627" s="7"/>
      <c r="B627" s="16"/>
      <c r="C627" s="22"/>
      <c r="D627" s="22"/>
      <c r="E627" s="22"/>
      <c r="F627" s="22"/>
      <c r="G627" s="22"/>
      <c r="H627" s="22"/>
    </row>
    <row r="628" customFormat="false" ht="15.75" hidden="false" customHeight="false" outlineLevel="0" collapsed="false">
      <c r="A628" s="7"/>
      <c r="B628" s="16"/>
      <c r="C628" s="22"/>
      <c r="D628" s="22"/>
      <c r="E628" s="22"/>
      <c r="F628" s="22"/>
      <c r="G628" s="22"/>
      <c r="H628" s="22"/>
    </row>
    <row r="629" customFormat="false" ht="15.75" hidden="false" customHeight="false" outlineLevel="0" collapsed="false">
      <c r="A629" s="7"/>
      <c r="B629" s="16"/>
      <c r="C629" s="22"/>
      <c r="D629" s="22"/>
      <c r="E629" s="22"/>
      <c r="F629" s="22"/>
      <c r="G629" s="22"/>
      <c r="H629" s="22"/>
    </row>
    <row r="630" customFormat="false" ht="15.75" hidden="false" customHeight="false" outlineLevel="0" collapsed="false">
      <c r="A630" s="7"/>
      <c r="B630" s="16"/>
      <c r="C630" s="22"/>
      <c r="D630" s="22"/>
      <c r="E630" s="22"/>
      <c r="F630" s="22"/>
      <c r="G630" s="22"/>
      <c r="H630" s="22"/>
    </row>
    <row r="631" customFormat="false" ht="15.75" hidden="false" customHeight="false" outlineLevel="0" collapsed="false">
      <c r="A631" s="7"/>
      <c r="B631" s="16"/>
      <c r="C631" s="22"/>
      <c r="D631" s="22"/>
      <c r="E631" s="22"/>
      <c r="F631" s="22"/>
      <c r="G631" s="22"/>
      <c r="H631" s="22"/>
    </row>
    <row r="632" customFormat="false" ht="15.75" hidden="false" customHeight="false" outlineLevel="0" collapsed="false">
      <c r="A632" s="7"/>
      <c r="B632" s="16"/>
      <c r="C632" s="22"/>
      <c r="D632" s="22"/>
      <c r="E632" s="22"/>
      <c r="F632" s="22"/>
      <c r="G632" s="22"/>
      <c r="H632" s="22"/>
    </row>
    <row r="633" customFormat="false" ht="15.75" hidden="false" customHeight="false" outlineLevel="0" collapsed="false">
      <c r="A633" s="7"/>
      <c r="B633" s="16"/>
      <c r="C633" s="22"/>
      <c r="D633" s="22"/>
      <c r="E633" s="22"/>
      <c r="F633" s="22"/>
      <c r="G633" s="22"/>
      <c r="H633" s="22"/>
    </row>
    <row r="634" customFormat="false" ht="15.75" hidden="false" customHeight="false" outlineLevel="0" collapsed="false">
      <c r="A634" s="7"/>
      <c r="B634" s="16"/>
      <c r="C634" s="22"/>
      <c r="D634" s="22"/>
      <c r="E634" s="22"/>
      <c r="F634" s="22"/>
      <c r="G634" s="22"/>
      <c r="H634" s="22"/>
    </row>
    <row r="635" customFormat="false" ht="15.75" hidden="false" customHeight="false" outlineLevel="0" collapsed="false">
      <c r="A635" s="7"/>
      <c r="B635" s="16"/>
      <c r="C635" s="22"/>
      <c r="D635" s="22"/>
      <c r="E635" s="22"/>
      <c r="F635" s="22"/>
      <c r="G635" s="22"/>
      <c r="H635" s="22"/>
    </row>
    <row r="636" customFormat="false" ht="15.75" hidden="false" customHeight="false" outlineLevel="0" collapsed="false">
      <c r="A636" s="7"/>
      <c r="B636" s="16"/>
      <c r="C636" s="22"/>
      <c r="D636" s="22"/>
      <c r="E636" s="22"/>
      <c r="F636" s="22"/>
      <c r="G636" s="22"/>
      <c r="H636" s="22"/>
    </row>
    <row r="637" customFormat="false" ht="15.75" hidden="false" customHeight="false" outlineLevel="0" collapsed="false">
      <c r="A637" s="7"/>
      <c r="B637" s="16"/>
      <c r="C637" s="22"/>
      <c r="D637" s="22"/>
      <c r="E637" s="22"/>
      <c r="F637" s="22"/>
      <c r="G637" s="22"/>
      <c r="H637" s="22"/>
    </row>
    <row r="638" customFormat="false" ht="15.75" hidden="false" customHeight="false" outlineLevel="0" collapsed="false">
      <c r="A638" s="7"/>
      <c r="B638" s="16"/>
      <c r="C638" s="22"/>
      <c r="D638" s="22"/>
      <c r="E638" s="22"/>
      <c r="F638" s="22"/>
      <c r="G638" s="22"/>
      <c r="H638" s="22"/>
    </row>
    <row r="639" customFormat="false" ht="15.75" hidden="false" customHeight="false" outlineLevel="0" collapsed="false">
      <c r="A639" s="7"/>
      <c r="B639" s="16"/>
      <c r="C639" s="22"/>
      <c r="D639" s="22"/>
      <c r="E639" s="22"/>
      <c r="F639" s="22"/>
      <c r="G639" s="22"/>
      <c r="H639" s="22"/>
    </row>
    <row r="640" customFormat="false" ht="15.75" hidden="false" customHeight="false" outlineLevel="0" collapsed="false">
      <c r="A640" s="7"/>
      <c r="B640" s="16"/>
      <c r="C640" s="22"/>
      <c r="D640" s="22"/>
      <c r="E640" s="22"/>
      <c r="F640" s="22"/>
      <c r="G640" s="22"/>
      <c r="H640" s="22"/>
    </row>
    <row r="641" customFormat="false" ht="15.75" hidden="false" customHeight="false" outlineLevel="0" collapsed="false">
      <c r="A641" s="7"/>
      <c r="B641" s="16"/>
      <c r="C641" s="22"/>
      <c r="D641" s="22"/>
      <c r="E641" s="22"/>
      <c r="F641" s="22"/>
      <c r="G641" s="22"/>
      <c r="H641" s="22"/>
    </row>
    <row r="642" customFormat="false" ht="15.75" hidden="false" customHeight="false" outlineLevel="0" collapsed="false">
      <c r="A642" s="7"/>
      <c r="B642" s="16"/>
      <c r="C642" s="22"/>
      <c r="D642" s="22"/>
      <c r="E642" s="22"/>
      <c r="F642" s="22"/>
      <c r="G642" s="22"/>
      <c r="H642" s="22"/>
    </row>
    <row r="643" customFormat="false" ht="15.75" hidden="false" customHeight="false" outlineLevel="0" collapsed="false">
      <c r="A643" s="7"/>
      <c r="B643" s="16"/>
      <c r="C643" s="22"/>
      <c r="D643" s="22"/>
      <c r="E643" s="22"/>
      <c r="F643" s="22"/>
      <c r="G643" s="22"/>
      <c r="H643" s="22"/>
    </row>
    <row r="644" customFormat="false" ht="15.75" hidden="false" customHeight="false" outlineLevel="0" collapsed="false">
      <c r="A644" s="7"/>
      <c r="B644" s="16"/>
      <c r="C644" s="22"/>
      <c r="D644" s="22"/>
      <c r="E644" s="22"/>
      <c r="F644" s="22"/>
      <c r="G644" s="22"/>
      <c r="H644" s="22"/>
    </row>
    <row r="645" customFormat="false" ht="15.75" hidden="false" customHeight="false" outlineLevel="0" collapsed="false">
      <c r="A645" s="7"/>
      <c r="B645" s="16"/>
      <c r="C645" s="22"/>
      <c r="D645" s="22"/>
      <c r="E645" s="22"/>
      <c r="F645" s="22"/>
      <c r="G645" s="22"/>
      <c r="H645" s="22"/>
    </row>
    <row r="646" customFormat="false" ht="15.75" hidden="false" customHeight="false" outlineLevel="0" collapsed="false">
      <c r="A646" s="7"/>
      <c r="B646" s="16"/>
      <c r="C646" s="22"/>
      <c r="D646" s="22"/>
      <c r="E646" s="22"/>
      <c r="F646" s="22"/>
      <c r="G646" s="22"/>
      <c r="H646" s="22"/>
    </row>
    <row r="647" customFormat="false" ht="15.75" hidden="false" customHeight="false" outlineLevel="0" collapsed="false">
      <c r="A647" s="7"/>
      <c r="B647" s="16"/>
      <c r="C647" s="22"/>
      <c r="D647" s="22"/>
      <c r="E647" s="22"/>
      <c r="F647" s="22"/>
      <c r="G647" s="22"/>
      <c r="H647" s="22"/>
    </row>
    <row r="648" customFormat="false" ht="15.75" hidden="false" customHeight="false" outlineLevel="0" collapsed="false">
      <c r="A648" s="7"/>
      <c r="B648" s="16"/>
      <c r="C648" s="22"/>
      <c r="D648" s="22"/>
      <c r="E648" s="22"/>
      <c r="F648" s="22"/>
      <c r="G648" s="22"/>
      <c r="H648" s="22"/>
    </row>
    <row r="649" customFormat="false" ht="15.75" hidden="false" customHeight="false" outlineLevel="0" collapsed="false">
      <c r="A649" s="7"/>
      <c r="B649" s="16"/>
      <c r="C649" s="22"/>
      <c r="D649" s="22"/>
      <c r="E649" s="22"/>
      <c r="F649" s="22"/>
      <c r="G649" s="22"/>
      <c r="H649" s="22"/>
    </row>
    <row r="650" customFormat="false" ht="15.75" hidden="false" customHeight="false" outlineLevel="0" collapsed="false">
      <c r="A650" s="7"/>
      <c r="B650" s="16"/>
      <c r="C650" s="22"/>
      <c r="D650" s="22"/>
      <c r="E650" s="22"/>
      <c r="F650" s="22"/>
      <c r="G650" s="22"/>
      <c r="H650" s="22"/>
    </row>
    <row r="651" customFormat="false" ht="15.75" hidden="false" customHeight="false" outlineLevel="0" collapsed="false">
      <c r="A651" s="7"/>
      <c r="B651" s="16"/>
      <c r="C651" s="22"/>
      <c r="D651" s="22"/>
      <c r="E651" s="22"/>
      <c r="F651" s="22"/>
      <c r="G651" s="22"/>
      <c r="H651" s="22"/>
    </row>
    <row r="652" customFormat="false" ht="15.75" hidden="false" customHeight="false" outlineLevel="0" collapsed="false">
      <c r="A652" s="7"/>
      <c r="B652" s="16"/>
      <c r="C652" s="22"/>
      <c r="D652" s="22"/>
      <c r="E652" s="22"/>
      <c r="F652" s="22"/>
      <c r="G652" s="22"/>
      <c r="H652" s="22"/>
    </row>
    <row r="653" customFormat="false" ht="15.75" hidden="false" customHeight="false" outlineLevel="0" collapsed="false">
      <c r="A653" s="7"/>
      <c r="B653" s="16"/>
      <c r="C653" s="22"/>
      <c r="D653" s="22"/>
      <c r="E653" s="22"/>
      <c r="F653" s="22"/>
      <c r="G653" s="22"/>
      <c r="H653" s="22"/>
    </row>
    <row r="654" customFormat="false" ht="15.75" hidden="false" customHeight="false" outlineLevel="0" collapsed="false">
      <c r="A654" s="7"/>
      <c r="B654" s="16"/>
      <c r="C654" s="22"/>
      <c r="D654" s="22"/>
      <c r="E654" s="22"/>
      <c r="F654" s="22"/>
      <c r="G654" s="22"/>
      <c r="H654" s="22"/>
    </row>
    <row r="655" customFormat="false" ht="15.75" hidden="false" customHeight="false" outlineLevel="0" collapsed="false">
      <c r="A655" s="7"/>
      <c r="B655" s="16"/>
      <c r="C655" s="22"/>
      <c r="D655" s="22"/>
      <c r="E655" s="22"/>
      <c r="F655" s="22"/>
      <c r="G655" s="22"/>
      <c r="H655" s="22"/>
    </row>
    <row r="656" customFormat="false" ht="15.75" hidden="false" customHeight="false" outlineLevel="0" collapsed="false">
      <c r="A656" s="7"/>
      <c r="B656" s="16"/>
      <c r="C656" s="22"/>
      <c r="D656" s="22"/>
      <c r="E656" s="22"/>
      <c r="F656" s="22"/>
      <c r="G656" s="22"/>
      <c r="H656" s="22"/>
    </row>
    <row r="657" customFormat="false" ht="15.75" hidden="false" customHeight="false" outlineLevel="0" collapsed="false">
      <c r="A657" s="7"/>
      <c r="B657" s="16"/>
      <c r="C657" s="22"/>
      <c r="D657" s="22"/>
      <c r="E657" s="22"/>
      <c r="F657" s="22"/>
      <c r="G657" s="22"/>
      <c r="H657" s="22"/>
    </row>
    <row r="658" customFormat="false" ht="15.75" hidden="false" customHeight="false" outlineLevel="0" collapsed="false">
      <c r="A658" s="7"/>
      <c r="B658" s="16"/>
      <c r="C658" s="22"/>
      <c r="D658" s="22"/>
      <c r="E658" s="22"/>
      <c r="F658" s="22"/>
      <c r="G658" s="22"/>
      <c r="H658" s="22"/>
    </row>
    <row r="659" customFormat="false" ht="15.75" hidden="false" customHeight="false" outlineLevel="0" collapsed="false">
      <c r="A659" s="7"/>
      <c r="B659" s="16"/>
      <c r="C659" s="22"/>
      <c r="D659" s="22"/>
      <c r="E659" s="22"/>
      <c r="F659" s="22"/>
      <c r="G659" s="22"/>
      <c r="H659" s="22"/>
    </row>
    <row r="660" customFormat="false" ht="15.75" hidden="false" customHeight="false" outlineLevel="0" collapsed="false">
      <c r="A660" s="7"/>
      <c r="B660" s="16"/>
      <c r="C660" s="22"/>
      <c r="D660" s="22"/>
      <c r="E660" s="22"/>
      <c r="F660" s="22"/>
      <c r="G660" s="22"/>
      <c r="H660" s="22"/>
    </row>
    <row r="661" customFormat="false" ht="15.75" hidden="false" customHeight="false" outlineLevel="0" collapsed="false">
      <c r="A661" s="7"/>
      <c r="B661" s="16"/>
      <c r="C661" s="22"/>
      <c r="D661" s="22"/>
      <c r="E661" s="22"/>
      <c r="F661" s="22"/>
      <c r="G661" s="22"/>
      <c r="H661" s="22"/>
    </row>
    <row r="662" customFormat="false" ht="15.75" hidden="false" customHeight="false" outlineLevel="0" collapsed="false">
      <c r="A662" s="7"/>
      <c r="B662" s="16"/>
      <c r="C662" s="22"/>
      <c r="D662" s="22"/>
      <c r="E662" s="22"/>
      <c r="F662" s="22"/>
      <c r="G662" s="22"/>
      <c r="H662" s="22"/>
    </row>
    <row r="663" customFormat="false" ht="15.75" hidden="false" customHeight="false" outlineLevel="0" collapsed="false">
      <c r="A663" s="7"/>
      <c r="B663" s="16"/>
      <c r="C663" s="22"/>
      <c r="D663" s="22"/>
      <c r="E663" s="22"/>
      <c r="F663" s="22"/>
      <c r="G663" s="22"/>
      <c r="H663" s="22"/>
    </row>
    <row r="664" customFormat="false" ht="15.75" hidden="false" customHeight="false" outlineLevel="0" collapsed="false">
      <c r="A664" s="7"/>
      <c r="B664" s="16"/>
      <c r="C664" s="22"/>
      <c r="D664" s="22"/>
      <c r="E664" s="22"/>
      <c r="F664" s="22"/>
      <c r="G664" s="22"/>
      <c r="H664" s="22"/>
    </row>
    <row r="665" customFormat="false" ht="15.75" hidden="false" customHeight="false" outlineLevel="0" collapsed="false">
      <c r="A665" s="7"/>
      <c r="B665" s="16"/>
      <c r="C665" s="22"/>
      <c r="D665" s="22"/>
      <c r="E665" s="22"/>
      <c r="F665" s="22"/>
      <c r="G665" s="22"/>
      <c r="H665" s="22"/>
    </row>
    <row r="666" customFormat="false" ht="15.75" hidden="false" customHeight="false" outlineLevel="0" collapsed="false">
      <c r="A666" s="7"/>
      <c r="B666" s="16"/>
      <c r="C666" s="22"/>
      <c r="D666" s="22"/>
      <c r="E666" s="22"/>
      <c r="F666" s="22"/>
      <c r="G666" s="22"/>
      <c r="H666" s="22"/>
    </row>
    <row r="667" customFormat="false" ht="15.75" hidden="false" customHeight="false" outlineLevel="0" collapsed="false">
      <c r="A667" s="7"/>
      <c r="B667" s="16"/>
      <c r="C667" s="22"/>
      <c r="D667" s="22"/>
      <c r="E667" s="22"/>
      <c r="F667" s="22"/>
      <c r="G667" s="22"/>
      <c r="H667" s="22"/>
    </row>
    <row r="668" customFormat="false" ht="15.75" hidden="false" customHeight="false" outlineLevel="0" collapsed="false">
      <c r="A668" s="7"/>
      <c r="B668" s="16"/>
      <c r="C668" s="22"/>
      <c r="D668" s="22"/>
      <c r="E668" s="22"/>
      <c r="F668" s="22"/>
      <c r="G668" s="22"/>
      <c r="H668" s="22"/>
    </row>
    <row r="669" customFormat="false" ht="15.75" hidden="false" customHeight="false" outlineLevel="0" collapsed="false">
      <c r="A669" s="7"/>
      <c r="B669" s="16"/>
      <c r="C669" s="22"/>
      <c r="D669" s="22"/>
      <c r="E669" s="22"/>
      <c r="F669" s="22"/>
      <c r="G669" s="22"/>
      <c r="H669" s="22"/>
    </row>
    <row r="670" customFormat="false" ht="15.75" hidden="false" customHeight="false" outlineLevel="0" collapsed="false">
      <c r="A670" s="7"/>
      <c r="B670" s="16"/>
      <c r="C670" s="22"/>
      <c r="D670" s="22"/>
      <c r="E670" s="22"/>
      <c r="F670" s="22"/>
      <c r="G670" s="22"/>
      <c r="H670" s="22"/>
    </row>
    <row r="671" customFormat="false" ht="15.75" hidden="false" customHeight="false" outlineLevel="0" collapsed="false">
      <c r="A671" s="7"/>
      <c r="B671" s="16"/>
      <c r="C671" s="22"/>
      <c r="D671" s="22"/>
      <c r="E671" s="22"/>
      <c r="F671" s="22"/>
      <c r="G671" s="22"/>
      <c r="H671" s="22"/>
    </row>
    <row r="672" customFormat="false" ht="15.75" hidden="false" customHeight="false" outlineLevel="0" collapsed="false">
      <c r="A672" s="7"/>
      <c r="B672" s="16"/>
      <c r="C672" s="22"/>
      <c r="D672" s="22"/>
      <c r="E672" s="22"/>
      <c r="F672" s="22"/>
      <c r="G672" s="22"/>
      <c r="H672" s="22"/>
    </row>
    <row r="673" customFormat="false" ht="15.75" hidden="false" customHeight="false" outlineLevel="0" collapsed="false">
      <c r="A673" s="7"/>
      <c r="B673" s="16"/>
      <c r="C673" s="22"/>
      <c r="D673" s="22"/>
      <c r="E673" s="22"/>
      <c r="F673" s="22"/>
      <c r="G673" s="22"/>
      <c r="H673" s="22"/>
    </row>
    <row r="674" customFormat="false" ht="15.75" hidden="false" customHeight="false" outlineLevel="0" collapsed="false">
      <c r="A674" s="7"/>
      <c r="B674" s="16"/>
      <c r="C674" s="22"/>
      <c r="D674" s="22"/>
      <c r="E674" s="22"/>
      <c r="F674" s="22"/>
      <c r="G674" s="22"/>
      <c r="H674" s="22"/>
    </row>
    <row r="675" customFormat="false" ht="15.75" hidden="false" customHeight="false" outlineLevel="0" collapsed="false">
      <c r="A675" s="7"/>
      <c r="B675" s="16"/>
      <c r="C675" s="22"/>
      <c r="D675" s="22"/>
      <c r="E675" s="22"/>
      <c r="F675" s="22"/>
      <c r="G675" s="22"/>
      <c r="H675" s="22"/>
    </row>
    <row r="676" customFormat="false" ht="15.75" hidden="false" customHeight="false" outlineLevel="0" collapsed="false">
      <c r="A676" s="7"/>
      <c r="B676" s="16"/>
      <c r="C676" s="22"/>
      <c r="D676" s="22"/>
      <c r="E676" s="22"/>
      <c r="F676" s="22"/>
      <c r="G676" s="22"/>
      <c r="H676" s="22"/>
    </row>
    <row r="677" customFormat="false" ht="15.75" hidden="false" customHeight="false" outlineLevel="0" collapsed="false">
      <c r="A677" s="7"/>
      <c r="B677" s="16"/>
      <c r="C677" s="22"/>
      <c r="D677" s="22"/>
      <c r="E677" s="22"/>
      <c r="F677" s="22"/>
      <c r="G677" s="22"/>
      <c r="H677" s="22"/>
    </row>
    <row r="678" customFormat="false" ht="15.75" hidden="false" customHeight="false" outlineLevel="0" collapsed="false">
      <c r="A678" s="7"/>
      <c r="B678" s="16"/>
      <c r="C678" s="22"/>
      <c r="D678" s="22"/>
      <c r="E678" s="22"/>
      <c r="F678" s="22"/>
      <c r="G678" s="22"/>
      <c r="H678" s="22"/>
    </row>
    <row r="679" customFormat="false" ht="15.75" hidden="false" customHeight="false" outlineLevel="0" collapsed="false">
      <c r="A679" s="7"/>
      <c r="B679" s="16"/>
      <c r="C679" s="22"/>
      <c r="D679" s="22"/>
      <c r="E679" s="22"/>
      <c r="F679" s="22"/>
      <c r="G679" s="22"/>
      <c r="H679" s="22"/>
    </row>
    <row r="680" customFormat="false" ht="15.75" hidden="false" customHeight="false" outlineLevel="0" collapsed="false">
      <c r="A680" s="7"/>
      <c r="B680" s="16"/>
      <c r="C680" s="22"/>
      <c r="D680" s="22"/>
      <c r="E680" s="22"/>
      <c r="F680" s="22"/>
      <c r="G680" s="22"/>
      <c r="H680" s="22"/>
    </row>
    <row r="681" customFormat="false" ht="15.75" hidden="false" customHeight="false" outlineLevel="0" collapsed="false">
      <c r="A681" s="7"/>
      <c r="B681" s="16"/>
      <c r="C681" s="22"/>
      <c r="D681" s="22"/>
      <c r="E681" s="22"/>
      <c r="F681" s="22"/>
      <c r="G681" s="22"/>
      <c r="H681" s="22"/>
    </row>
    <row r="682" customFormat="false" ht="15.75" hidden="false" customHeight="false" outlineLevel="0" collapsed="false">
      <c r="A682" s="7"/>
      <c r="B682" s="16"/>
      <c r="C682" s="22"/>
      <c r="D682" s="22"/>
      <c r="E682" s="22"/>
      <c r="F682" s="22"/>
      <c r="G682" s="22"/>
      <c r="H682" s="22"/>
    </row>
    <row r="683" customFormat="false" ht="15.75" hidden="false" customHeight="false" outlineLevel="0" collapsed="false">
      <c r="A683" s="7"/>
      <c r="B683" s="16"/>
      <c r="C683" s="22"/>
      <c r="D683" s="22"/>
      <c r="E683" s="22"/>
      <c r="F683" s="22"/>
      <c r="G683" s="22"/>
      <c r="H683" s="22"/>
    </row>
    <row r="684" customFormat="false" ht="15.75" hidden="false" customHeight="false" outlineLevel="0" collapsed="false">
      <c r="A684" s="7"/>
      <c r="B684" s="16"/>
      <c r="C684" s="22"/>
      <c r="D684" s="22"/>
      <c r="E684" s="22"/>
      <c r="F684" s="22"/>
      <c r="G684" s="22"/>
      <c r="H684" s="22"/>
    </row>
    <row r="685" customFormat="false" ht="15.75" hidden="false" customHeight="false" outlineLevel="0" collapsed="false">
      <c r="A685" s="7"/>
      <c r="B685" s="16"/>
      <c r="C685" s="22"/>
      <c r="D685" s="22"/>
      <c r="E685" s="22"/>
      <c r="F685" s="22"/>
      <c r="G685" s="22"/>
      <c r="H685" s="22"/>
    </row>
    <row r="686" customFormat="false" ht="15.75" hidden="false" customHeight="false" outlineLevel="0" collapsed="false">
      <c r="A686" s="7"/>
      <c r="B686" s="16"/>
      <c r="C686" s="22"/>
      <c r="D686" s="22"/>
      <c r="E686" s="22"/>
      <c r="F686" s="22"/>
      <c r="G686" s="22"/>
      <c r="H686" s="22"/>
    </row>
    <row r="687" customFormat="false" ht="15.75" hidden="false" customHeight="false" outlineLevel="0" collapsed="false">
      <c r="A687" s="7"/>
      <c r="B687" s="16"/>
      <c r="C687" s="22"/>
      <c r="D687" s="22"/>
      <c r="E687" s="22"/>
      <c r="F687" s="22"/>
      <c r="G687" s="22"/>
      <c r="H687" s="22"/>
    </row>
    <row r="688" customFormat="false" ht="15.75" hidden="false" customHeight="false" outlineLevel="0" collapsed="false">
      <c r="A688" s="7"/>
      <c r="B688" s="16"/>
      <c r="C688" s="22"/>
      <c r="D688" s="22"/>
      <c r="E688" s="22"/>
      <c r="F688" s="22"/>
      <c r="G688" s="22"/>
      <c r="H688" s="22"/>
    </row>
    <row r="689" customFormat="false" ht="15.75" hidden="false" customHeight="false" outlineLevel="0" collapsed="false">
      <c r="A689" s="7"/>
      <c r="B689" s="16"/>
      <c r="C689" s="22"/>
      <c r="D689" s="22"/>
      <c r="E689" s="22"/>
      <c r="F689" s="22"/>
      <c r="G689" s="22"/>
      <c r="H689" s="22"/>
    </row>
    <row r="690" customFormat="false" ht="15.75" hidden="false" customHeight="false" outlineLevel="0" collapsed="false">
      <c r="A690" s="7"/>
      <c r="B690" s="16"/>
      <c r="C690" s="22"/>
      <c r="D690" s="22"/>
      <c r="E690" s="22"/>
      <c r="F690" s="22"/>
      <c r="G690" s="22"/>
      <c r="H690" s="22"/>
    </row>
    <row r="691" customFormat="false" ht="15.75" hidden="false" customHeight="false" outlineLevel="0" collapsed="false">
      <c r="A691" s="7"/>
      <c r="B691" s="16"/>
      <c r="C691" s="22"/>
      <c r="D691" s="22"/>
      <c r="E691" s="22"/>
      <c r="F691" s="22"/>
      <c r="G691" s="22"/>
      <c r="H691" s="22"/>
    </row>
    <row r="692" customFormat="false" ht="15.75" hidden="false" customHeight="false" outlineLevel="0" collapsed="false">
      <c r="A692" s="7"/>
      <c r="B692" s="16"/>
      <c r="C692" s="22"/>
      <c r="D692" s="22"/>
      <c r="E692" s="22"/>
      <c r="F692" s="22"/>
      <c r="G692" s="22"/>
      <c r="H692" s="22"/>
    </row>
    <row r="693" customFormat="false" ht="15.75" hidden="false" customHeight="false" outlineLevel="0" collapsed="false">
      <c r="A693" s="7"/>
      <c r="B693" s="16"/>
      <c r="C693" s="22"/>
      <c r="D693" s="22"/>
      <c r="E693" s="22"/>
      <c r="F693" s="22"/>
      <c r="G693" s="22"/>
      <c r="H693" s="22"/>
    </row>
    <row r="694" customFormat="false" ht="15.75" hidden="false" customHeight="false" outlineLevel="0" collapsed="false">
      <c r="A694" s="7"/>
      <c r="B694" s="16"/>
      <c r="C694" s="22"/>
      <c r="D694" s="22"/>
      <c r="E694" s="22"/>
      <c r="F694" s="22"/>
      <c r="G694" s="22"/>
      <c r="H694" s="22"/>
    </row>
    <row r="695" customFormat="false" ht="15.75" hidden="false" customHeight="false" outlineLevel="0" collapsed="false">
      <c r="A695" s="7"/>
      <c r="B695" s="16"/>
      <c r="C695" s="22"/>
      <c r="D695" s="22"/>
      <c r="E695" s="22"/>
      <c r="F695" s="22"/>
      <c r="G695" s="22"/>
      <c r="H695" s="22"/>
    </row>
    <row r="696" customFormat="false" ht="15.75" hidden="false" customHeight="false" outlineLevel="0" collapsed="false">
      <c r="A696" s="7"/>
      <c r="B696" s="16"/>
      <c r="C696" s="22"/>
      <c r="D696" s="22"/>
      <c r="E696" s="22"/>
      <c r="F696" s="22"/>
      <c r="G696" s="22"/>
      <c r="H696" s="22"/>
    </row>
    <row r="697" customFormat="false" ht="15.75" hidden="false" customHeight="false" outlineLevel="0" collapsed="false">
      <c r="A697" s="7"/>
      <c r="B697" s="16"/>
      <c r="C697" s="22"/>
      <c r="D697" s="22"/>
      <c r="E697" s="22"/>
      <c r="F697" s="22"/>
      <c r="G697" s="22"/>
      <c r="H697" s="22"/>
    </row>
    <row r="698" customFormat="false" ht="15.75" hidden="false" customHeight="false" outlineLevel="0" collapsed="false">
      <c r="A698" s="7"/>
      <c r="B698" s="16"/>
      <c r="C698" s="22"/>
      <c r="D698" s="22"/>
      <c r="E698" s="22"/>
      <c r="F698" s="22"/>
      <c r="G698" s="22"/>
      <c r="H698" s="22"/>
    </row>
    <row r="699" customFormat="false" ht="15.75" hidden="false" customHeight="false" outlineLevel="0" collapsed="false">
      <c r="A699" s="7"/>
      <c r="B699" s="16"/>
      <c r="C699" s="22"/>
      <c r="D699" s="22"/>
      <c r="E699" s="22"/>
      <c r="F699" s="22"/>
      <c r="G699" s="22"/>
      <c r="H699" s="22"/>
    </row>
    <row r="700" customFormat="false" ht="15.75" hidden="false" customHeight="false" outlineLevel="0" collapsed="false">
      <c r="A700" s="7"/>
      <c r="B700" s="16"/>
      <c r="C700" s="22"/>
      <c r="D700" s="22"/>
      <c r="E700" s="22"/>
      <c r="F700" s="22"/>
      <c r="G700" s="22"/>
      <c r="H700" s="22"/>
    </row>
    <row r="701" customFormat="false" ht="15.75" hidden="false" customHeight="false" outlineLevel="0" collapsed="false">
      <c r="A701" s="7"/>
      <c r="B701" s="16"/>
      <c r="C701" s="22"/>
      <c r="D701" s="22"/>
      <c r="E701" s="22"/>
      <c r="F701" s="22"/>
      <c r="G701" s="22"/>
      <c r="H701" s="22"/>
    </row>
    <row r="702" customFormat="false" ht="15.75" hidden="false" customHeight="false" outlineLevel="0" collapsed="false">
      <c r="A702" s="7"/>
      <c r="B702" s="16"/>
      <c r="C702" s="22"/>
      <c r="D702" s="22"/>
      <c r="E702" s="22"/>
      <c r="F702" s="22"/>
      <c r="G702" s="22"/>
      <c r="H702" s="22"/>
    </row>
    <row r="703" customFormat="false" ht="15.75" hidden="false" customHeight="false" outlineLevel="0" collapsed="false">
      <c r="A703" s="7"/>
      <c r="B703" s="16"/>
      <c r="C703" s="22"/>
      <c r="D703" s="22"/>
      <c r="E703" s="22"/>
      <c r="F703" s="22"/>
      <c r="G703" s="22"/>
      <c r="H703" s="22"/>
    </row>
    <row r="704" customFormat="false" ht="15.75" hidden="false" customHeight="false" outlineLevel="0" collapsed="false">
      <c r="A704" s="7"/>
      <c r="B704" s="16"/>
      <c r="C704" s="22"/>
      <c r="D704" s="22"/>
      <c r="E704" s="22"/>
      <c r="F704" s="22"/>
      <c r="G704" s="22"/>
      <c r="H704" s="22"/>
    </row>
    <row r="705" customFormat="false" ht="15.75" hidden="false" customHeight="false" outlineLevel="0" collapsed="false">
      <c r="A705" s="7"/>
      <c r="B705" s="16"/>
      <c r="C705" s="22"/>
      <c r="D705" s="22"/>
      <c r="E705" s="22"/>
      <c r="F705" s="22"/>
      <c r="G705" s="22"/>
      <c r="H705" s="22"/>
    </row>
    <row r="706" customFormat="false" ht="15.75" hidden="false" customHeight="false" outlineLevel="0" collapsed="false">
      <c r="A706" s="7"/>
      <c r="B706" s="16"/>
      <c r="C706" s="22"/>
      <c r="D706" s="22"/>
      <c r="E706" s="22"/>
      <c r="F706" s="22"/>
      <c r="G706" s="22"/>
      <c r="H706" s="22"/>
    </row>
    <row r="707" customFormat="false" ht="15.75" hidden="false" customHeight="false" outlineLevel="0" collapsed="false">
      <c r="A707" s="7"/>
      <c r="B707" s="16"/>
      <c r="C707" s="22"/>
      <c r="D707" s="22"/>
      <c r="E707" s="22"/>
      <c r="F707" s="22"/>
      <c r="G707" s="22"/>
      <c r="H707" s="22"/>
    </row>
    <row r="708" customFormat="false" ht="15.75" hidden="false" customHeight="false" outlineLevel="0" collapsed="false">
      <c r="A708" s="7"/>
      <c r="B708" s="16"/>
      <c r="C708" s="22"/>
      <c r="D708" s="22"/>
      <c r="E708" s="22"/>
      <c r="F708" s="22"/>
      <c r="G708" s="22"/>
      <c r="H708" s="22"/>
    </row>
    <row r="709" customFormat="false" ht="15.75" hidden="false" customHeight="false" outlineLevel="0" collapsed="false">
      <c r="A709" s="7"/>
      <c r="B709" s="16"/>
      <c r="C709" s="22"/>
      <c r="D709" s="22"/>
      <c r="E709" s="22"/>
      <c r="F709" s="22"/>
      <c r="G709" s="22"/>
      <c r="H709" s="22"/>
    </row>
    <row r="710" customFormat="false" ht="15.75" hidden="false" customHeight="false" outlineLevel="0" collapsed="false">
      <c r="A710" s="7"/>
      <c r="B710" s="16"/>
      <c r="C710" s="22"/>
      <c r="D710" s="22"/>
      <c r="E710" s="22"/>
      <c r="F710" s="22"/>
      <c r="G710" s="22"/>
      <c r="H710" s="22"/>
    </row>
    <row r="711" customFormat="false" ht="15.75" hidden="false" customHeight="false" outlineLevel="0" collapsed="false">
      <c r="A711" s="7"/>
      <c r="B711" s="16"/>
      <c r="C711" s="22"/>
      <c r="D711" s="22"/>
      <c r="E711" s="22"/>
      <c r="F711" s="22"/>
      <c r="G711" s="22"/>
      <c r="H711" s="22"/>
    </row>
    <row r="712" customFormat="false" ht="15.75" hidden="false" customHeight="false" outlineLevel="0" collapsed="false">
      <c r="A712" s="7"/>
      <c r="B712" s="16"/>
      <c r="C712" s="22"/>
      <c r="D712" s="22"/>
      <c r="E712" s="22"/>
      <c r="F712" s="22"/>
      <c r="G712" s="22"/>
      <c r="H712" s="22"/>
    </row>
    <row r="713" customFormat="false" ht="15.75" hidden="false" customHeight="false" outlineLevel="0" collapsed="false">
      <c r="A713" s="7"/>
      <c r="B713" s="16"/>
      <c r="C713" s="22"/>
      <c r="D713" s="22"/>
      <c r="E713" s="22"/>
      <c r="F713" s="22"/>
      <c r="G713" s="22"/>
      <c r="H713" s="22"/>
    </row>
    <row r="714" customFormat="false" ht="15.75" hidden="false" customHeight="false" outlineLevel="0" collapsed="false">
      <c r="A714" s="7"/>
      <c r="B714" s="16"/>
      <c r="C714" s="22"/>
      <c r="D714" s="22"/>
      <c r="E714" s="22"/>
      <c r="F714" s="22"/>
      <c r="G714" s="22"/>
      <c r="H714" s="22"/>
    </row>
    <row r="715" customFormat="false" ht="15.75" hidden="false" customHeight="false" outlineLevel="0" collapsed="false">
      <c r="A715" s="7"/>
      <c r="B715" s="16"/>
      <c r="C715" s="22"/>
      <c r="D715" s="22"/>
      <c r="E715" s="22"/>
      <c r="F715" s="22"/>
      <c r="G715" s="22"/>
      <c r="H715" s="22"/>
    </row>
    <row r="716" customFormat="false" ht="15.75" hidden="false" customHeight="false" outlineLevel="0" collapsed="false">
      <c r="A716" s="7"/>
      <c r="B716" s="16"/>
      <c r="C716" s="22"/>
      <c r="D716" s="22"/>
      <c r="E716" s="22"/>
      <c r="F716" s="22"/>
      <c r="G716" s="22"/>
      <c r="H716" s="22"/>
    </row>
    <row r="717" customFormat="false" ht="15.75" hidden="false" customHeight="false" outlineLevel="0" collapsed="false">
      <c r="A717" s="7"/>
      <c r="B717" s="16"/>
      <c r="C717" s="22"/>
      <c r="D717" s="22"/>
      <c r="E717" s="22"/>
      <c r="F717" s="22"/>
      <c r="G717" s="22"/>
      <c r="H717" s="22"/>
    </row>
    <row r="718" customFormat="false" ht="15.75" hidden="false" customHeight="false" outlineLevel="0" collapsed="false">
      <c r="A718" s="7"/>
      <c r="B718" s="16"/>
      <c r="C718" s="22"/>
      <c r="D718" s="22"/>
      <c r="E718" s="22"/>
      <c r="F718" s="22"/>
      <c r="G718" s="22"/>
      <c r="H718" s="22"/>
    </row>
    <row r="719" customFormat="false" ht="15.75" hidden="false" customHeight="false" outlineLevel="0" collapsed="false">
      <c r="A719" s="7"/>
      <c r="B719" s="16"/>
      <c r="C719" s="22"/>
      <c r="D719" s="22"/>
      <c r="E719" s="22"/>
      <c r="F719" s="22"/>
      <c r="G719" s="22"/>
      <c r="H719" s="22"/>
    </row>
    <row r="720" customFormat="false" ht="15.75" hidden="false" customHeight="false" outlineLevel="0" collapsed="false">
      <c r="A720" s="7"/>
      <c r="B720" s="16"/>
      <c r="C720" s="22"/>
      <c r="D720" s="22"/>
      <c r="E720" s="22"/>
      <c r="F720" s="22"/>
      <c r="G720" s="22"/>
      <c r="H720" s="22"/>
    </row>
    <row r="721" customFormat="false" ht="15.75" hidden="false" customHeight="false" outlineLevel="0" collapsed="false">
      <c r="A721" s="7"/>
      <c r="B721" s="16"/>
      <c r="C721" s="22"/>
      <c r="D721" s="22"/>
      <c r="E721" s="22"/>
      <c r="F721" s="22"/>
      <c r="G721" s="22"/>
      <c r="H721" s="22"/>
    </row>
    <row r="722" customFormat="false" ht="15.75" hidden="false" customHeight="false" outlineLevel="0" collapsed="false">
      <c r="A722" s="7"/>
      <c r="B722" s="16"/>
      <c r="C722" s="22"/>
      <c r="D722" s="22"/>
      <c r="E722" s="22"/>
      <c r="F722" s="22"/>
      <c r="G722" s="22"/>
      <c r="H722" s="22"/>
    </row>
    <row r="723" customFormat="false" ht="15.75" hidden="false" customHeight="false" outlineLevel="0" collapsed="false">
      <c r="A723" s="7"/>
      <c r="B723" s="16"/>
      <c r="C723" s="22"/>
      <c r="D723" s="22"/>
      <c r="E723" s="22"/>
      <c r="F723" s="22"/>
      <c r="G723" s="22"/>
      <c r="H723" s="22"/>
    </row>
    <row r="724" customFormat="false" ht="15.75" hidden="false" customHeight="false" outlineLevel="0" collapsed="false">
      <c r="A724" s="7"/>
      <c r="B724" s="16"/>
      <c r="C724" s="22"/>
      <c r="D724" s="22"/>
      <c r="E724" s="22"/>
      <c r="F724" s="22"/>
      <c r="G724" s="22"/>
      <c r="H724" s="22"/>
    </row>
    <row r="725" customFormat="false" ht="15.75" hidden="false" customHeight="false" outlineLevel="0" collapsed="false">
      <c r="A725" s="7"/>
      <c r="B725" s="16"/>
      <c r="C725" s="22"/>
      <c r="D725" s="22"/>
      <c r="E725" s="22"/>
      <c r="F725" s="22"/>
      <c r="G725" s="22"/>
      <c r="H725" s="22"/>
    </row>
    <row r="726" customFormat="false" ht="15.75" hidden="false" customHeight="false" outlineLevel="0" collapsed="false">
      <c r="A726" s="7"/>
      <c r="B726" s="16"/>
      <c r="C726" s="22"/>
      <c r="D726" s="22"/>
      <c r="E726" s="22"/>
      <c r="F726" s="22"/>
      <c r="G726" s="22"/>
      <c r="H726" s="22"/>
    </row>
    <row r="727" customFormat="false" ht="15.75" hidden="false" customHeight="false" outlineLevel="0" collapsed="false">
      <c r="A727" s="7"/>
      <c r="B727" s="16"/>
      <c r="C727" s="22"/>
      <c r="D727" s="22"/>
      <c r="E727" s="22"/>
      <c r="F727" s="22"/>
      <c r="G727" s="22"/>
      <c r="H727" s="22"/>
    </row>
    <row r="728" customFormat="false" ht="15.75" hidden="false" customHeight="false" outlineLevel="0" collapsed="false">
      <c r="A728" s="7"/>
      <c r="B728" s="16"/>
      <c r="C728" s="22"/>
      <c r="D728" s="22"/>
      <c r="E728" s="22"/>
      <c r="F728" s="22"/>
      <c r="G728" s="22"/>
      <c r="H728" s="22"/>
    </row>
    <row r="729" customFormat="false" ht="15.75" hidden="false" customHeight="false" outlineLevel="0" collapsed="false">
      <c r="A729" s="7"/>
      <c r="B729" s="16"/>
      <c r="C729" s="22"/>
      <c r="D729" s="22"/>
      <c r="E729" s="22"/>
      <c r="F729" s="22"/>
      <c r="G729" s="22"/>
      <c r="H729" s="22"/>
    </row>
    <row r="730" customFormat="false" ht="15.75" hidden="false" customHeight="false" outlineLevel="0" collapsed="false">
      <c r="A730" s="7"/>
      <c r="B730" s="16"/>
      <c r="C730" s="22"/>
      <c r="D730" s="22"/>
      <c r="E730" s="22"/>
      <c r="F730" s="22"/>
      <c r="G730" s="22"/>
      <c r="H730" s="22"/>
    </row>
    <row r="731" customFormat="false" ht="15.75" hidden="false" customHeight="false" outlineLevel="0" collapsed="false">
      <c r="A731" s="7"/>
      <c r="B731" s="16"/>
      <c r="C731" s="22"/>
      <c r="D731" s="22"/>
      <c r="E731" s="22"/>
      <c r="F731" s="22"/>
      <c r="G731" s="22"/>
      <c r="H731" s="22"/>
    </row>
    <row r="732" customFormat="false" ht="15.75" hidden="false" customHeight="false" outlineLevel="0" collapsed="false">
      <c r="A732" s="7"/>
      <c r="B732" s="16"/>
      <c r="C732" s="22"/>
      <c r="D732" s="22"/>
      <c r="E732" s="22"/>
      <c r="F732" s="22"/>
      <c r="G732" s="22"/>
      <c r="H732" s="22"/>
    </row>
    <row r="733" customFormat="false" ht="15.75" hidden="false" customHeight="false" outlineLevel="0" collapsed="false">
      <c r="A733" s="7"/>
      <c r="B733" s="16"/>
      <c r="C733" s="22"/>
      <c r="D733" s="22"/>
      <c r="E733" s="22"/>
      <c r="F733" s="22"/>
      <c r="G733" s="22"/>
      <c r="H733" s="22"/>
    </row>
    <row r="734" customFormat="false" ht="15.75" hidden="false" customHeight="false" outlineLevel="0" collapsed="false">
      <c r="A734" s="7"/>
      <c r="B734" s="16"/>
      <c r="C734" s="22"/>
      <c r="D734" s="22"/>
      <c r="E734" s="22"/>
      <c r="F734" s="22"/>
      <c r="G734" s="22"/>
      <c r="H734" s="22"/>
    </row>
    <row r="735" customFormat="false" ht="15.75" hidden="false" customHeight="false" outlineLevel="0" collapsed="false">
      <c r="A735" s="7"/>
      <c r="B735" s="16"/>
      <c r="C735" s="22"/>
      <c r="D735" s="22"/>
      <c r="E735" s="22"/>
      <c r="F735" s="22"/>
      <c r="G735" s="22"/>
      <c r="H735" s="22"/>
    </row>
    <row r="736" customFormat="false" ht="15.75" hidden="false" customHeight="false" outlineLevel="0" collapsed="false">
      <c r="A736" s="7"/>
      <c r="B736" s="16"/>
      <c r="C736" s="22"/>
      <c r="D736" s="22"/>
      <c r="E736" s="22"/>
      <c r="F736" s="22"/>
      <c r="G736" s="22"/>
      <c r="H736" s="22"/>
    </row>
    <row r="737" customFormat="false" ht="15.75" hidden="false" customHeight="false" outlineLevel="0" collapsed="false">
      <c r="A737" s="7"/>
      <c r="B737" s="16"/>
      <c r="C737" s="22"/>
      <c r="D737" s="22"/>
      <c r="E737" s="22"/>
      <c r="F737" s="22"/>
      <c r="G737" s="22"/>
      <c r="H737" s="22"/>
    </row>
    <row r="738" customFormat="false" ht="15.75" hidden="false" customHeight="false" outlineLevel="0" collapsed="false">
      <c r="A738" s="7"/>
      <c r="B738" s="16"/>
      <c r="C738" s="22"/>
      <c r="D738" s="22"/>
      <c r="E738" s="22"/>
      <c r="F738" s="22"/>
      <c r="G738" s="22"/>
      <c r="H738" s="22"/>
    </row>
    <row r="739" customFormat="false" ht="15.75" hidden="false" customHeight="false" outlineLevel="0" collapsed="false">
      <c r="A739" s="7"/>
      <c r="B739" s="16"/>
      <c r="C739" s="22"/>
      <c r="D739" s="22"/>
      <c r="E739" s="22"/>
      <c r="F739" s="22"/>
      <c r="G739" s="22"/>
      <c r="H739" s="22"/>
    </row>
    <row r="740" customFormat="false" ht="15.75" hidden="false" customHeight="false" outlineLevel="0" collapsed="false">
      <c r="A740" s="7"/>
      <c r="B740" s="16"/>
      <c r="C740" s="22"/>
      <c r="D740" s="22"/>
      <c r="E740" s="22"/>
      <c r="F740" s="22"/>
      <c r="G740" s="22"/>
      <c r="H740" s="22"/>
    </row>
    <row r="741" customFormat="false" ht="15.75" hidden="false" customHeight="false" outlineLevel="0" collapsed="false">
      <c r="A741" s="7"/>
      <c r="B741" s="16"/>
      <c r="C741" s="22"/>
      <c r="D741" s="22"/>
      <c r="E741" s="22"/>
      <c r="F741" s="22"/>
      <c r="G741" s="22"/>
      <c r="H741" s="22"/>
    </row>
    <row r="742" customFormat="false" ht="15.75" hidden="false" customHeight="false" outlineLevel="0" collapsed="false">
      <c r="A742" s="7"/>
      <c r="B742" s="16"/>
      <c r="C742" s="22"/>
      <c r="D742" s="22"/>
      <c r="E742" s="22"/>
      <c r="F742" s="22"/>
      <c r="G742" s="22"/>
      <c r="H742" s="22"/>
    </row>
    <row r="743" customFormat="false" ht="15.75" hidden="false" customHeight="false" outlineLevel="0" collapsed="false">
      <c r="A743" s="7"/>
      <c r="B743" s="16"/>
      <c r="C743" s="22"/>
      <c r="D743" s="22"/>
      <c r="E743" s="22"/>
      <c r="F743" s="22"/>
      <c r="G743" s="22"/>
      <c r="H743" s="22"/>
    </row>
    <row r="744" customFormat="false" ht="15.75" hidden="false" customHeight="false" outlineLevel="0" collapsed="false">
      <c r="A744" s="7"/>
      <c r="B744" s="16"/>
      <c r="C744" s="22"/>
      <c r="D744" s="22"/>
      <c r="E744" s="22"/>
      <c r="F744" s="22"/>
      <c r="G744" s="22"/>
      <c r="H744" s="22"/>
    </row>
    <row r="745" customFormat="false" ht="15.75" hidden="false" customHeight="false" outlineLevel="0" collapsed="false">
      <c r="A745" s="7"/>
      <c r="B745" s="16"/>
      <c r="C745" s="22"/>
      <c r="D745" s="22"/>
      <c r="E745" s="22"/>
      <c r="F745" s="22"/>
      <c r="G745" s="22"/>
      <c r="H745" s="22"/>
    </row>
    <row r="746" customFormat="false" ht="15.75" hidden="false" customHeight="false" outlineLevel="0" collapsed="false">
      <c r="A746" s="7"/>
      <c r="B746" s="16"/>
      <c r="C746" s="22"/>
      <c r="D746" s="22"/>
      <c r="E746" s="22"/>
      <c r="F746" s="22"/>
      <c r="G746" s="22"/>
      <c r="H746" s="22"/>
    </row>
    <row r="747" customFormat="false" ht="15.75" hidden="false" customHeight="false" outlineLevel="0" collapsed="false">
      <c r="A747" s="7"/>
      <c r="B747" s="16"/>
      <c r="C747" s="22"/>
      <c r="D747" s="22"/>
      <c r="E747" s="22"/>
      <c r="F747" s="22"/>
      <c r="G747" s="22"/>
      <c r="H747" s="22"/>
    </row>
    <row r="748" customFormat="false" ht="15.75" hidden="false" customHeight="false" outlineLevel="0" collapsed="false">
      <c r="A748" s="7"/>
      <c r="B748" s="16"/>
      <c r="C748" s="22"/>
      <c r="D748" s="22"/>
      <c r="E748" s="22"/>
      <c r="F748" s="22"/>
      <c r="G748" s="22"/>
      <c r="H748" s="22"/>
    </row>
    <row r="749" customFormat="false" ht="15.75" hidden="false" customHeight="false" outlineLevel="0" collapsed="false">
      <c r="A749" s="7"/>
      <c r="B749" s="16"/>
      <c r="C749" s="22"/>
      <c r="D749" s="22"/>
      <c r="E749" s="22"/>
      <c r="F749" s="22"/>
      <c r="G749" s="22"/>
      <c r="H749" s="22"/>
    </row>
    <row r="750" customFormat="false" ht="15.75" hidden="false" customHeight="false" outlineLevel="0" collapsed="false">
      <c r="A750" s="7"/>
      <c r="B750" s="16"/>
      <c r="C750" s="22"/>
      <c r="D750" s="22"/>
      <c r="E750" s="22"/>
      <c r="F750" s="22"/>
      <c r="G750" s="22"/>
      <c r="H750" s="22"/>
    </row>
    <row r="751" customFormat="false" ht="15.75" hidden="false" customHeight="false" outlineLevel="0" collapsed="false">
      <c r="A751" s="7"/>
      <c r="B751" s="16"/>
      <c r="C751" s="22"/>
      <c r="D751" s="22"/>
      <c r="E751" s="22"/>
      <c r="F751" s="22"/>
      <c r="G751" s="22"/>
      <c r="H751" s="22"/>
    </row>
    <row r="752" customFormat="false" ht="15.75" hidden="false" customHeight="false" outlineLevel="0" collapsed="false">
      <c r="A752" s="7"/>
      <c r="B752" s="16"/>
      <c r="C752" s="22"/>
      <c r="D752" s="22"/>
      <c r="E752" s="22"/>
      <c r="F752" s="22"/>
      <c r="G752" s="22"/>
      <c r="H752" s="22"/>
    </row>
    <row r="753" customFormat="false" ht="15.75" hidden="false" customHeight="false" outlineLevel="0" collapsed="false">
      <c r="A753" s="7"/>
      <c r="B753" s="16"/>
      <c r="C753" s="22"/>
      <c r="D753" s="22"/>
      <c r="E753" s="22"/>
      <c r="F753" s="22"/>
      <c r="G753" s="22"/>
      <c r="H753" s="22"/>
    </row>
    <row r="754" customFormat="false" ht="15.75" hidden="false" customHeight="false" outlineLevel="0" collapsed="false">
      <c r="A754" s="7"/>
      <c r="B754" s="16"/>
      <c r="C754" s="22"/>
      <c r="D754" s="22"/>
      <c r="E754" s="22"/>
      <c r="F754" s="22"/>
      <c r="G754" s="22"/>
      <c r="H754" s="22"/>
    </row>
    <row r="755" customFormat="false" ht="15.75" hidden="false" customHeight="false" outlineLevel="0" collapsed="false">
      <c r="A755" s="7"/>
      <c r="B755" s="16"/>
      <c r="C755" s="22"/>
      <c r="D755" s="22"/>
      <c r="E755" s="22"/>
      <c r="F755" s="22"/>
      <c r="G755" s="22"/>
      <c r="H755" s="22"/>
    </row>
    <row r="756" customFormat="false" ht="15.75" hidden="false" customHeight="false" outlineLevel="0" collapsed="false">
      <c r="A756" s="7"/>
      <c r="B756" s="16"/>
      <c r="C756" s="22"/>
      <c r="D756" s="22"/>
      <c r="E756" s="22"/>
      <c r="F756" s="22"/>
      <c r="G756" s="22"/>
      <c r="H756" s="22"/>
    </row>
    <row r="757" customFormat="false" ht="15.75" hidden="false" customHeight="false" outlineLevel="0" collapsed="false">
      <c r="A757" s="7"/>
      <c r="B757" s="16"/>
      <c r="C757" s="22"/>
      <c r="D757" s="22"/>
      <c r="E757" s="22"/>
      <c r="F757" s="22"/>
      <c r="G757" s="22"/>
      <c r="H757" s="22"/>
    </row>
    <row r="758" customFormat="false" ht="15.75" hidden="false" customHeight="false" outlineLevel="0" collapsed="false">
      <c r="A758" s="7"/>
      <c r="B758" s="16"/>
      <c r="C758" s="22"/>
      <c r="D758" s="22"/>
      <c r="E758" s="22"/>
      <c r="F758" s="22"/>
      <c r="G758" s="22"/>
      <c r="H758" s="22"/>
    </row>
    <row r="759" customFormat="false" ht="15.75" hidden="false" customHeight="false" outlineLevel="0" collapsed="false">
      <c r="A759" s="7"/>
      <c r="B759" s="16"/>
      <c r="C759" s="22"/>
      <c r="D759" s="22"/>
      <c r="E759" s="22"/>
      <c r="F759" s="22"/>
      <c r="G759" s="22"/>
      <c r="H759" s="22"/>
    </row>
    <row r="760" customFormat="false" ht="15.75" hidden="false" customHeight="false" outlineLevel="0" collapsed="false">
      <c r="A760" s="7"/>
      <c r="B760" s="16"/>
      <c r="C760" s="22"/>
      <c r="D760" s="22"/>
      <c r="E760" s="22"/>
      <c r="F760" s="22"/>
      <c r="G760" s="22"/>
      <c r="H760" s="22"/>
    </row>
    <row r="761" customFormat="false" ht="15.75" hidden="false" customHeight="false" outlineLevel="0" collapsed="false">
      <c r="A761" s="7"/>
      <c r="B761" s="16"/>
      <c r="C761" s="22"/>
      <c r="D761" s="22"/>
      <c r="E761" s="22"/>
      <c r="F761" s="22"/>
      <c r="G761" s="22"/>
      <c r="H761" s="22"/>
    </row>
    <row r="762" customFormat="false" ht="15.75" hidden="false" customHeight="false" outlineLevel="0" collapsed="false">
      <c r="A762" s="7"/>
      <c r="B762" s="16"/>
      <c r="C762" s="22"/>
      <c r="D762" s="22"/>
      <c r="E762" s="22"/>
      <c r="F762" s="22"/>
      <c r="G762" s="22"/>
      <c r="H762" s="22"/>
    </row>
    <row r="763" customFormat="false" ht="15.75" hidden="false" customHeight="false" outlineLevel="0" collapsed="false">
      <c r="A763" s="7"/>
      <c r="B763" s="16"/>
      <c r="C763" s="22"/>
      <c r="D763" s="22"/>
      <c r="E763" s="22"/>
      <c r="F763" s="22"/>
      <c r="G763" s="22"/>
      <c r="H763" s="22"/>
    </row>
    <row r="764" customFormat="false" ht="15.75" hidden="false" customHeight="false" outlineLevel="0" collapsed="false">
      <c r="A764" s="7"/>
      <c r="B764" s="16"/>
      <c r="C764" s="22"/>
      <c r="D764" s="22"/>
      <c r="E764" s="22"/>
      <c r="F764" s="22"/>
      <c r="G764" s="22"/>
      <c r="H764" s="22"/>
    </row>
    <row r="765" customFormat="false" ht="15.75" hidden="false" customHeight="false" outlineLevel="0" collapsed="false">
      <c r="A765" s="7"/>
      <c r="B765" s="16"/>
      <c r="C765" s="22"/>
      <c r="D765" s="22"/>
      <c r="E765" s="22"/>
      <c r="F765" s="22"/>
      <c r="G765" s="22"/>
      <c r="H765" s="22"/>
    </row>
    <row r="766" customFormat="false" ht="15.75" hidden="false" customHeight="false" outlineLevel="0" collapsed="false">
      <c r="A766" s="7"/>
      <c r="B766" s="16"/>
      <c r="C766" s="22"/>
      <c r="D766" s="22"/>
      <c r="E766" s="22"/>
      <c r="F766" s="22"/>
      <c r="G766" s="22"/>
      <c r="H766" s="22"/>
    </row>
    <row r="767" customFormat="false" ht="15.75" hidden="false" customHeight="false" outlineLevel="0" collapsed="false">
      <c r="A767" s="7"/>
      <c r="B767" s="16"/>
      <c r="C767" s="22"/>
      <c r="D767" s="22"/>
      <c r="E767" s="22"/>
      <c r="F767" s="22"/>
      <c r="G767" s="22"/>
      <c r="H767" s="22"/>
    </row>
    <row r="768" customFormat="false" ht="15.75" hidden="false" customHeight="false" outlineLevel="0" collapsed="false">
      <c r="A768" s="7"/>
      <c r="B768" s="16"/>
      <c r="C768" s="22"/>
      <c r="D768" s="22"/>
      <c r="E768" s="22"/>
      <c r="F768" s="22"/>
      <c r="G768" s="22"/>
      <c r="H768" s="22"/>
    </row>
    <row r="769" customFormat="false" ht="15.75" hidden="false" customHeight="false" outlineLevel="0" collapsed="false">
      <c r="A769" s="7"/>
      <c r="B769" s="16"/>
      <c r="C769" s="22"/>
      <c r="D769" s="22"/>
      <c r="E769" s="22"/>
      <c r="F769" s="22"/>
      <c r="G769" s="22"/>
      <c r="H769" s="22"/>
    </row>
    <row r="770" customFormat="false" ht="15.75" hidden="false" customHeight="false" outlineLevel="0" collapsed="false">
      <c r="A770" s="7"/>
      <c r="B770" s="16"/>
      <c r="C770" s="22"/>
      <c r="D770" s="22"/>
      <c r="E770" s="22"/>
      <c r="F770" s="22"/>
      <c r="G770" s="22"/>
      <c r="H770" s="22"/>
    </row>
    <row r="771" customFormat="false" ht="15.75" hidden="false" customHeight="false" outlineLevel="0" collapsed="false">
      <c r="A771" s="7"/>
      <c r="B771" s="16"/>
      <c r="C771" s="22"/>
      <c r="D771" s="22"/>
      <c r="E771" s="22"/>
      <c r="F771" s="22"/>
      <c r="G771" s="22"/>
      <c r="H771" s="22"/>
    </row>
    <row r="772" customFormat="false" ht="15.75" hidden="false" customHeight="false" outlineLevel="0" collapsed="false">
      <c r="A772" s="7"/>
      <c r="B772" s="16"/>
      <c r="C772" s="22"/>
      <c r="D772" s="22"/>
      <c r="E772" s="22"/>
      <c r="F772" s="22"/>
      <c r="G772" s="22"/>
      <c r="H772" s="22"/>
    </row>
    <row r="773" customFormat="false" ht="15.75" hidden="false" customHeight="false" outlineLevel="0" collapsed="false">
      <c r="A773" s="7"/>
      <c r="B773" s="16"/>
      <c r="C773" s="22"/>
      <c r="D773" s="22"/>
      <c r="E773" s="22"/>
      <c r="F773" s="22"/>
      <c r="G773" s="22"/>
      <c r="H773" s="22"/>
    </row>
    <row r="774" customFormat="false" ht="15.75" hidden="false" customHeight="false" outlineLevel="0" collapsed="false">
      <c r="A774" s="7"/>
      <c r="B774" s="16"/>
      <c r="C774" s="22"/>
      <c r="D774" s="22"/>
      <c r="E774" s="22"/>
      <c r="F774" s="22"/>
      <c r="G774" s="22"/>
      <c r="H774" s="22"/>
    </row>
    <row r="775" customFormat="false" ht="15.75" hidden="false" customHeight="false" outlineLevel="0" collapsed="false">
      <c r="A775" s="7"/>
      <c r="B775" s="16"/>
      <c r="C775" s="22"/>
      <c r="D775" s="22"/>
      <c r="E775" s="22"/>
      <c r="F775" s="22"/>
      <c r="G775" s="22"/>
      <c r="H775" s="22"/>
    </row>
    <row r="776" customFormat="false" ht="15.75" hidden="false" customHeight="false" outlineLevel="0" collapsed="false">
      <c r="A776" s="7"/>
      <c r="B776" s="16"/>
      <c r="C776" s="22"/>
      <c r="D776" s="22"/>
      <c r="E776" s="22"/>
      <c r="F776" s="22"/>
      <c r="G776" s="22"/>
      <c r="H776" s="22"/>
    </row>
    <row r="777" customFormat="false" ht="15.75" hidden="false" customHeight="false" outlineLevel="0" collapsed="false">
      <c r="A777" s="7"/>
      <c r="B777" s="16"/>
      <c r="C777" s="22"/>
      <c r="D777" s="22"/>
      <c r="E777" s="22"/>
      <c r="F777" s="22"/>
      <c r="G777" s="22"/>
      <c r="H777" s="22"/>
    </row>
    <row r="778" customFormat="false" ht="15.75" hidden="false" customHeight="false" outlineLevel="0" collapsed="false">
      <c r="A778" s="7"/>
      <c r="B778" s="16"/>
      <c r="C778" s="22"/>
      <c r="D778" s="22"/>
      <c r="E778" s="22"/>
      <c r="F778" s="22"/>
      <c r="G778" s="22"/>
      <c r="H778" s="22"/>
    </row>
    <row r="779" customFormat="false" ht="15.75" hidden="false" customHeight="false" outlineLevel="0" collapsed="false">
      <c r="A779" s="7"/>
      <c r="B779" s="16"/>
      <c r="C779" s="22"/>
      <c r="D779" s="22"/>
      <c r="E779" s="22"/>
      <c r="F779" s="22"/>
      <c r="G779" s="22"/>
      <c r="H779" s="22"/>
    </row>
    <row r="780" customFormat="false" ht="15.75" hidden="false" customHeight="false" outlineLevel="0" collapsed="false">
      <c r="A780" s="7"/>
      <c r="B780" s="16"/>
      <c r="C780" s="22"/>
      <c r="D780" s="22"/>
      <c r="E780" s="22"/>
      <c r="F780" s="22"/>
      <c r="G780" s="22"/>
      <c r="H780" s="22"/>
    </row>
    <row r="781" customFormat="false" ht="15.75" hidden="false" customHeight="false" outlineLevel="0" collapsed="false">
      <c r="A781" s="7"/>
      <c r="B781" s="16"/>
      <c r="C781" s="22"/>
      <c r="D781" s="22"/>
      <c r="E781" s="22"/>
      <c r="F781" s="22"/>
      <c r="G781" s="22"/>
      <c r="H781" s="22"/>
    </row>
    <row r="782" customFormat="false" ht="15.75" hidden="false" customHeight="false" outlineLevel="0" collapsed="false">
      <c r="A782" s="7"/>
      <c r="B782" s="16"/>
      <c r="C782" s="22"/>
      <c r="D782" s="22"/>
      <c r="E782" s="22"/>
      <c r="F782" s="22"/>
      <c r="G782" s="22"/>
      <c r="H782" s="22"/>
    </row>
    <row r="783" customFormat="false" ht="15.75" hidden="false" customHeight="false" outlineLevel="0" collapsed="false">
      <c r="A783" s="7"/>
      <c r="B783" s="16"/>
      <c r="C783" s="22"/>
      <c r="D783" s="22"/>
      <c r="E783" s="22"/>
      <c r="F783" s="22"/>
      <c r="G783" s="22"/>
      <c r="H783" s="22"/>
    </row>
    <row r="784" customFormat="false" ht="15.75" hidden="false" customHeight="false" outlineLevel="0" collapsed="false">
      <c r="A784" s="7"/>
      <c r="B784" s="16"/>
      <c r="C784" s="22"/>
      <c r="D784" s="22"/>
      <c r="E784" s="22"/>
      <c r="F784" s="22"/>
      <c r="G784" s="22"/>
      <c r="H784" s="22"/>
    </row>
    <row r="785" customFormat="false" ht="15.75" hidden="false" customHeight="false" outlineLevel="0" collapsed="false">
      <c r="A785" s="7"/>
      <c r="B785" s="16"/>
      <c r="C785" s="22"/>
      <c r="D785" s="22"/>
      <c r="E785" s="22"/>
      <c r="F785" s="22"/>
      <c r="G785" s="22"/>
      <c r="H785" s="22"/>
    </row>
    <row r="786" customFormat="false" ht="15.75" hidden="false" customHeight="false" outlineLevel="0" collapsed="false">
      <c r="A786" s="7"/>
      <c r="B786" s="16"/>
      <c r="C786" s="22"/>
      <c r="D786" s="22"/>
      <c r="E786" s="22"/>
      <c r="F786" s="22"/>
      <c r="G786" s="22"/>
      <c r="H786" s="22"/>
    </row>
    <row r="787" customFormat="false" ht="15.75" hidden="false" customHeight="false" outlineLevel="0" collapsed="false">
      <c r="A787" s="7"/>
      <c r="B787" s="16"/>
      <c r="C787" s="22"/>
      <c r="D787" s="22"/>
      <c r="E787" s="22"/>
      <c r="F787" s="22"/>
      <c r="G787" s="22"/>
      <c r="H787" s="22"/>
    </row>
    <row r="788" customFormat="false" ht="15.75" hidden="false" customHeight="false" outlineLevel="0" collapsed="false">
      <c r="A788" s="7"/>
      <c r="B788" s="16"/>
      <c r="C788" s="22"/>
      <c r="D788" s="22"/>
      <c r="E788" s="22"/>
      <c r="F788" s="22"/>
      <c r="G788" s="22"/>
      <c r="H788" s="22"/>
    </row>
    <row r="789" customFormat="false" ht="15.75" hidden="false" customHeight="false" outlineLevel="0" collapsed="false">
      <c r="A789" s="7"/>
      <c r="B789" s="16"/>
      <c r="C789" s="22"/>
      <c r="D789" s="22"/>
      <c r="E789" s="22"/>
      <c r="F789" s="22"/>
      <c r="G789" s="22"/>
      <c r="H789" s="22"/>
    </row>
    <row r="790" customFormat="false" ht="15.75" hidden="false" customHeight="false" outlineLevel="0" collapsed="false">
      <c r="A790" s="7"/>
      <c r="B790" s="16"/>
      <c r="C790" s="22"/>
      <c r="D790" s="22"/>
      <c r="E790" s="22"/>
      <c r="F790" s="22"/>
      <c r="G790" s="22"/>
      <c r="H790" s="22"/>
    </row>
    <row r="791" customFormat="false" ht="15.75" hidden="false" customHeight="false" outlineLevel="0" collapsed="false">
      <c r="A791" s="7"/>
      <c r="B791" s="16"/>
      <c r="C791" s="22"/>
      <c r="D791" s="22"/>
      <c r="E791" s="22"/>
      <c r="F791" s="22"/>
      <c r="G791" s="22"/>
      <c r="H791" s="22"/>
    </row>
    <row r="792" customFormat="false" ht="15.75" hidden="false" customHeight="false" outlineLevel="0" collapsed="false">
      <c r="A792" s="7"/>
      <c r="B792" s="16"/>
      <c r="C792" s="22"/>
      <c r="D792" s="22"/>
      <c r="E792" s="22"/>
      <c r="F792" s="22"/>
      <c r="G792" s="22"/>
      <c r="H792" s="22"/>
    </row>
    <row r="793" customFormat="false" ht="15.75" hidden="false" customHeight="false" outlineLevel="0" collapsed="false">
      <c r="A793" s="7"/>
      <c r="B793" s="16"/>
      <c r="C793" s="22"/>
      <c r="D793" s="22"/>
      <c r="E793" s="22"/>
      <c r="F793" s="22"/>
      <c r="G793" s="22"/>
      <c r="H793" s="22"/>
    </row>
    <row r="794" customFormat="false" ht="15.75" hidden="false" customHeight="false" outlineLevel="0" collapsed="false">
      <c r="A794" s="7"/>
      <c r="B794" s="16"/>
      <c r="C794" s="22"/>
      <c r="D794" s="22"/>
      <c r="E794" s="22"/>
      <c r="F794" s="22"/>
      <c r="G794" s="22"/>
      <c r="H794" s="22"/>
    </row>
    <row r="795" customFormat="false" ht="15.75" hidden="false" customHeight="false" outlineLevel="0" collapsed="false">
      <c r="A795" s="7"/>
      <c r="B795" s="16"/>
      <c r="C795" s="22"/>
      <c r="D795" s="22"/>
      <c r="E795" s="22"/>
      <c r="F795" s="22"/>
      <c r="G795" s="22"/>
      <c r="H795" s="22"/>
    </row>
    <row r="796" customFormat="false" ht="15.75" hidden="false" customHeight="false" outlineLevel="0" collapsed="false">
      <c r="A796" s="7"/>
      <c r="B796" s="16"/>
      <c r="C796" s="22"/>
      <c r="D796" s="22"/>
      <c r="E796" s="22"/>
      <c r="F796" s="22"/>
      <c r="G796" s="22"/>
      <c r="H796" s="22"/>
    </row>
    <row r="797" customFormat="false" ht="15.75" hidden="false" customHeight="false" outlineLevel="0" collapsed="false">
      <c r="A797" s="7"/>
      <c r="B797" s="16"/>
      <c r="C797" s="22"/>
      <c r="D797" s="22"/>
      <c r="E797" s="22"/>
      <c r="F797" s="22"/>
      <c r="G797" s="22"/>
      <c r="H797" s="22"/>
    </row>
    <row r="798" customFormat="false" ht="15.75" hidden="false" customHeight="false" outlineLevel="0" collapsed="false">
      <c r="A798" s="7"/>
      <c r="B798" s="16"/>
      <c r="C798" s="22"/>
      <c r="D798" s="22"/>
      <c r="E798" s="22"/>
      <c r="F798" s="22"/>
      <c r="G798" s="22"/>
      <c r="H798" s="22"/>
    </row>
    <row r="799" customFormat="false" ht="15.75" hidden="false" customHeight="false" outlineLevel="0" collapsed="false">
      <c r="A799" s="7"/>
      <c r="B799" s="16"/>
      <c r="C799" s="22"/>
      <c r="D799" s="22"/>
      <c r="E799" s="22"/>
      <c r="F799" s="22"/>
      <c r="G799" s="22"/>
      <c r="H799" s="22"/>
    </row>
    <row r="800" customFormat="false" ht="15.75" hidden="false" customHeight="false" outlineLevel="0" collapsed="false">
      <c r="A800" s="7"/>
      <c r="B800" s="16"/>
      <c r="C800" s="22"/>
      <c r="D800" s="22"/>
      <c r="E800" s="22"/>
      <c r="F800" s="22"/>
      <c r="G800" s="22"/>
      <c r="H800" s="22"/>
    </row>
    <row r="801" customFormat="false" ht="15.75" hidden="false" customHeight="false" outlineLevel="0" collapsed="false">
      <c r="A801" s="7"/>
      <c r="B801" s="16"/>
      <c r="C801" s="22"/>
      <c r="D801" s="22"/>
      <c r="E801" s="22"/>
      <c r="F801" s="22"/>
      <c r="G801" s="22"/>
      <c r="H801" s="22"/>
    </row>
    <row r="802" customFormat="false" ht="15.75" hidden="false" customHeight="false" outlineLevel="0" collapsed="false">
      <c r="A802" s="7"/>
      <c r="B802" s="16"/>
      <c r="C802" s="22"/>
      <c r="D802" s="22"/>
      <c r="E802" s="22"/>
      <c r="F802" s="22"/>
      <c r="G802" s="22"/>
      <c r="H802" s="22"/>
    </row>
    <row r="803" customFormat="false" ht="15.75" hidden="false" customHeight="false" outlineLevel="0" collapsed="false">
      <c r="A803" s="7"/>
      <c r="B803" s="16"/>
      <c r="C803" s="22"/>
      <c r="D803" s="22"/>
      <c r="E803" s="22"/>
      <c r="F803" s="22"/>
      <c r="G803" s="22"/>
      <c r="H803" s="22"/>
    </row>
    <row r="804" customFormat="false" ht="15.75" hidden="false" customHeight="false" outlineLevel="0" collapsed="false">
      <c r="A804" s="7"/>
      <c r="B804" s="16"/>
      <c r="C804" s="22"/>
      <c r="D804" s="22"/>
      <c r="E804" s="22"/>
      <c r="F804" s="22"/>
      <c r="G804" s="22"/>
      <c r="H804" s="22"/>
    </row>
    <row r="805" customFormat="false" ht="15.75" hidden="false" customHeight="false" outlineLevel="0" collapsed="false">
      <c r="A805" s="7"/>
      <c r="B805" s="16"/>
      <c r="C805" s="22"/>
      <c r="D805" s="22"/>
      <c r="E805" s="22"/>
      <c r="F805" s="22"/>
      <c r="G805" s="22"/>
      <c r="H805" s="22"/>
    </row>
    <row r="806" customFormat="false" ht="15.75" hidden="false" customHeight="false" outlineLevel="0" collapsed="false">
      <c r="A806" s="7"/>
      <c r="B806" s="16"/>
      <c r="C806" s="22"/>
      <c r="D806" s="22"/>
      <c r="E806" s="22"/>
      <c r="F806" s="22"/>
      <c r="G806" s="22"/>
      <c r="H806" s="22"/>
    </row>
    <row r="807" customFormat="false" ht="15.75" hidden="false" customHeight="false" outlineLevel="0" collapsed="false">
      <c r="A807" s="7"/>
      <c r="B807" s="16"/>
      <c r="C807" s="22"/>
      <c r="D807" s="22"/>
      <c r="E807" s="22"/>
      <c r="F807" s="22"/>
      <c r="G807" s="22"/>
      <c r="H807" s="22"/>
    </row>
    <row r="808" customFormat="false" ht="15.75" hidden="false" customHeight="false" outlineLevel="0" collapsed="false">
      <c r="A808" s="7"/>
      <c r="B808" s="16"/>
      <c r="C808" s="22"/>
      <c r="D808" s="22"/>
      <c r="E808" s="22"/>
      <c r="F808" s="22"/>
      <c r="G808" s="22"/>
      <c r="H808" s="22"/>
    </row>
    <row r="809" customFormat="false" ht="15.75" hidden="false" customHeight="false" outlineLevel="0" collapsed="false">
      <c r="A809" s="7"/>
      <c r="B809" s="16"/>
      <c r="C809" s="22"/>
      <c r="D809" s="22"/>
      <c r="E809" s="22"/>
      <c r="F809" s="22"/>
      <c r="G809" s="22"/>
      <c r="H809" s="22"/>
    </row>
    <row r="810" customFormat="false" ht="15.75" hidden="false" customHeight="false" outlineLevel="0" collapsed="false">
      <c r="A810" s="7"/>
      <c r="B810" s="16"/>
      <c r="C810" s="22"/>
      <c r="D810" s="22"/>
      <c r="E810" s="22"/>
      <c r="F810" s="22"/>
      <c r="G810" s="22"/>
      <c r="H810" s="22"/>
    </row>
    <row r="811" customFormat="false" ht="15.75" hidden="false" customHeight="false" outlineLevel="0" collapsed="false">
      <c r="A811" s="7"/>
      <c r="B811" s="16"/>
      <c r="C811" s="22"/>
      <c r="D811" s="22"/>
      <c r="E811" s="22"/>
      <c r="F811" s="22"/>
      <c r="G811" s="22"/>
      <c r="H811" s="22"/>
    </row>
    <row r="812" customFormat="false" ht="15.75" hidden="false" customHeight="false" outlineLevel="0" collapsed="false">
      <c r="A812" s="7"/>
      <c r="B812" s="16"/>
      <c r="C812" s="22"/>
      <c r="D812" s="22"/>
      <c r="E812" s="22"/>
      <c r="F812" s="22"/>
      <c r="G812" s="22"/>
      <c r="H812" s="22"/>
    </row>
    <row r="813" customFormat="false" ht="15.75" hidden="false" customHeight="false" outlineLevel="0" collapsed="false">
      <c r="A813" s="7"/>
      <c r="B813" s="16"/>
      <c r="C813" s="22"/>
      <c r="D813" s="22"/>
      <c r="E813" s="22"/>
      <c r="F813" s="22"/>
      <c r="G813" s="22"/>
      <c r="H813" s="22"/>
    </row>
    <row r="814" customFormat="false" ht="15.75" hidden="false" customHeight="false" outlineLevel="0" collapsed="false">
      <c r="A814" s="7"/>
      <c r="B814" s="16"/>
      <c r="C814" s="22"/>
      <c r="D814" s="22"/>
      <c r="E814" s="22"/>
      <c r="F814" s="22"/>
      <c r="G814" s="22"/>
      <c r="H814" s="22"/>
    </row>
    <row r="815" customFormat="false" ht="15.75" hidden="false" customHeight="false" outlineLevel="0" collapsed="false">
      <c r="A815" s="7"/>
      <c r="B815" s="16"/>
      <c r="C815" s="22"/>
      <c r="D815" s="22"/>
      <c r="E815" s="22"/>
      <c r="F815" s="22"/>
      <c r="G815" s="22"/>
      <c r="H815" s="22"/>
    </row>
    <row r="816" customFormat="false" ht="15.75" hidden="false" customHeight="false" outlineLevel="0" collapsed="false">
      <c r="A816" s="7"/>
      <c r="B816" s="16"/>
      <c r="C816" s="22"/>
      <c r="D816" s="22"/>
      <c r="E816" s="22"/>
      <c r="F816" s="22"/>
      <c r="G816" s="22"/>
      <c r="H816" s="22"/>
    </row>
    <row r="817" customFormat="false" ht="15.75" hidden="false" customHeight="false" outlineLevel="0" collapsed="false">
      <c r="A817" s="7"/>
      <c r="B817" s="16"/>
      <c r="C817" s="22"/>
      <c r="D817" s="22"/>
      <c r="E817" s="22"/>
      <c r="F817" s="22"/>
      <c r="G817" s="22"/>
      <c r="H817" s="22"/>
    </row>
    <row r="818" customFormat="false" ht="15.75" hidden="false" customHeight="false" outlineLevel="0" collapsed="false">
      <c r="A818" s="7"/>
      <c r="B818" s="16"/>
      <c r="C818" s="22"/>
      <c r="D818" s="22"/>
      <c r="E818" s="22"/>
      <c r="F818" s="22"/>
      <c r="G818" s="22"/>
      <c r="H818" s="22"/>
    </row>
    <row r="819" customFormat="false" ht="15.75" hidden="false" customHeight="false" outlineLevel="0" collapsed="false">
      <c r="A819" s="7"/>
      <c r="B819" s="16"/>
      <c r="C819" s="22"/>
      <c r="D819" s="22"/>
      <c r="E819" s="22"/>
      <c r="F819" s="22"/>
      <c r="G819" s="22"/>
      <c r="H819" s="22"/>
    </row>
    <row r="820" customFormat="false" ht="15.75" hidden="false" customHeight="false" outlineLevel="0" collapsed="false">
      <c r="A820" s="7"/>
      <c r="B820" s="16"/>
      <c r="C820" s="22"/>
      <c r="D820" s="22"/>
      <c r="E820" s="22"/>
      <c r="F820" s="22"/>
      <c r="G820" s="22"/>
      <c r="H820" s="22"/>
    </row>
    <row r="821" customFormat="false" ht="15.75" hidden="false" customHeight="false" outlineLevel="0" collapsed="false">
      <c r="A821" s="7"/>
      <c r="B821" s="16"/>
      <c r="C821" s="22"/>
      <c r="D821" s="22"/>
      <c r="E821" s="22"/>
      <c r="F821" s="22"/>
      <c r="G821" s="22"/>
      <c r="H821" s="22"/>
    </row>
    <row r="822" customFormat="false" ht="15.75" hidden="false" customHeight="false" outlineLevel="0" collapsed="false">
      <c r="A822" s="7"/>
      <c r="B822" s="16"/>
      <c r="C822" s="22"/>
      <c r="D822" s="22"/>
      <c r="E822" s="22"/>
      <c r="F822" s="22"/>
      <c r="G822" s="22"/>
      <c r="H822" s="22"/>
    </row>
    <row r="823" customFormat="false" ht="15.75" hidden="false" customHeight="false" outlineLevel="0" collapsed="false">
      <c r="A823" s="7"/>
      <c r="B823" s="16"/>
      <c r="C823" s="22"/>
      <c r="D823" s="22"/>
      <c r="E823" s="22"/>
      <c r="F823" s="22"/>
      <c r="G823" s="22"/>
      <c r="H823" s="22"/>
    </row>
    <row r="824" customFormat="false" ht="15.75" hidden="false" customHeight="false" outlineLevel="0" collapsed="false">
      <c r="A824" s="7"/>
      <c r="B824" s="16"/>
      <c r="C824" s="22"/>
      <c r="D824" s="22"/>
      <c r="E824" s="22"/>
      <c r="F824" s="22"/>
      <c r="G824" s="22"/>
      <c r="H824" s="22"/>
    </row>
    <row r="825" customFormat="false" ht="15.75" hidden="false" customHeight="false" outlineLevel="0" collapsed="false">
      <c r="A825" s="7"/>
      <c r="B825" s="16"/>
      <c r="C825" s="22"/>
      <c r="D825" s="22"/>
      <c r="E825" s="22"/>
      <c r="F825" s="22"/>
      <c r="G825" s="22"/>
      <c r="H825" s="22"/>
    </row>
    <row r="826" customFormat="false" ht="15.75" hidden="false" customHeight="false" outlineLevel="0" collapsed="false">
      <c r="A826" s="7"/>
      <c r="B826" s="16"/>
      <c r="C826" s="22"/>
      <c r="D826" s="22"/>
      <c r="E826" s="22"/>
      <c r="F826" s="22"/>
      <c r="G826" s="22"/>
      <c r="H826" s="22"/>
    </row>
    <row r="827" customFormat="false" ht="15.75" hidden="false" customHeight="false" outlineLevel="0" collapsed="false">
      <c r="A827" s="7"/>
      <c r="B827" s="16"/>
      <c r="C827" s="22"/>
      <c r="D827" s="22"/>
      <c r="E827" s="22"/>
      <c r="F827" s="22"/>
      <c r="G827" s="22"/>
      <c r="H827" s="22"/>
    </row>
    <row r="828" customFormat="false" ht="15.75" hidden="false" customHeight="false" outlineLevel="0" collapsed="false">
      <c r="A828" s="7"/>
      <c r="B828" s="16"/>
      <c r="C828" s="22"/>
      <c r="D828" s="22"/>
      <c r="E828" s="22"/>
      <c r="F828" s="22"/>
      <c r="G828" s="22"/>
      <c r="H828" s="22"/>
    </row>
    <row r="829" customFormat="false" ht="15.75" hidden="false" customHeight="false" outlineLevel="0" collapsed="false">
      <c r="A829" s="7"/>
      <c r="B829" s="16"/>
      <c r="C829" s="22"/>
      <c r="D829" s="22"/>
      <c r="E829" s="22"/>
      <c r="F829" s="22"/>
      <c r="G829" s="22"/>
      <c r="H829" s="22"/>
    </row>
    <row r="830" customFormat="false" ht="15.75" hidden="false" customHeight="false" outlineLevel="0" collapsed="false">
      <c r="A830" s="7"/>
      <c r="B830" s="16"/>
      <c r="C830" s="22"/>
      <c r="D830" s="22"/>
      <c r="E830" s="22"/>
      <c r="F830" s="22"/>
      <c r="G830" s="22"/>
      <c r="H830" s="22"/>
    </row>
    <row r="831" customFormat="false" ht="15.75" hidden="false" customHeight="false" outlineLevel="0" collapsed="false">
      <c r="A831" s="7"/>
      <c r="B831" s="16"/>
      <c r="C831" s="22"/>
      <c r="D831" s="22"/>
      <c r="E831" s="22"/>
      <c r="F831" s="22"/>
      <c r="G831" s="22"/>
      <c r="H831" s="22"/>
    </row>
    <row r="832" customFormat="false" ht="15.75" hidden="false" customHeight="false" outlineLevel="0" collapsed="false">
      <c r="A832" s="7"/>
      <c r="B832" s="16"/>
      <c r="C832" s="22"/>
      <c r="D832" s="22"/>
      <c r="E832" s="22"/>
      <c r="F832" s="22"/>
      <c r="G832" s="22"/>
      <c r="H832" s="22"/>
    </row>
    <row r="833" customFormat="false" ht="15.75" hidden="false" customHeight="false" outlineLevel="0" collapsed="false">
      <c r="A833" s="7"/>
      <c r="B833" s="16"/>
      <c r="C833" s="22"/>
      <c r="D833" s="22"/>
      <c r="E833" s="22"/>
      <c r="F833" s="22"/>
      <c r="G833" s="22"/>
      <c r="H833" s="22"/>
    </row>
    <row r="834" customFormat="false" ht="15.75" hidden="false" customHeight="false" outlineLevel="0" collapsed="false">
      <c r="A834" s="7"/>
      <c r="B834" s="16"/>
      <c r="C834" s="22"/>
      <c r="D834" s="22"/>
      <c r="E834" s="22"/>
      <c r="F834" s="22"/>
      <c r="G834" s="22"/>
      <c r="H834" s="22"/>
    </row>
    <row r="835" customFormat="false" ht="15.75" hidden="false" customHeight="false" outlineLevel="0" collapsed="false">
      <c r="A835" s="7"/>
      <c r="B835" s="16"/>
      <c r="C835" s="22"/>
      <c r="D835" s="22"/>
      <c r="E835" s="22"/>
      <c r="F835" s="22"/>
      <c r="G835" s="22"/>
      <c r="H835" s="22"/>
    </row>
    <row r="836" customFormat="false" ht="15.75" hidden="false" customHeight="false" outlineLevel="0" collapsed="false">
      <c r="A836" s="7"/>
      <c r="B836" s="16"/>
      <c r="C836" s="22"/>
      <c r="D836" s="22"/>
      <c r="E836" s="22"/>
      <c r="F836" s="22"/>
      <c r="G836" s="22"/>
      <c r="H836" s="22"/>
    </row>
    <row r="837" customFormat="false" ht="15.75" hidden="false" customHeight="false" outlineLevel="0" collapsed="false">
      <c r="A837" s="7"/>
      <c r="B837" s="16"/>
      <c r="C837" s="22"/>
      <c r="D837" s="22"/>
      <c r="E837" s="22"/>
      <c r="F837" s="22"/>
      <c r="G837" s="22"/>
      <c r="H837" s="22"/>
    </row>
    <row r="838" customFormat="false" ht="15.75" hidden="false" customHeight="false" outlineLevel="0" collapsed="false">
      <c r="A838" s="7"/>
      <c r="B838" s="16"/>
      <c r="C838" s="22"/>
      <c r="D838" s="22"/>
      <c r="E838" s="22"/>
      <c r="F838" s="22"/>
      <c r="G838" s="22"/>
      <c r="H838" s="22"/>
    </row>
    <row r="839" customFormat="false" ht="15.75" hidden="false" customHeight="false" outlineLevel="0" collapsed="false">
      <c r="A839" s="7"/>
      <c r="B839" s="16"/>
      <c r="C839" s="22"/>
      <c r="D839" s="22"/>
      <c r="E839" s="22"/>
      <c r="F839" s="22"/>
      <c r="G839" s="22"/>
      <c r="H839" s="22"/>
    </row>
    <row r="840" customFormat="false" ht="15.75" hidden="false" customHeight="false" outlineLevel="0" collapsed="false">
      <c r="A840" s="7"/>
      <c r="B840" s="16"/>
      <c r="C840" s="22"/>
      <c r="D840" s="22"/>
      <c r="E840" s="22"/>
      <c r="F840" s="22"/>
      <c r="G840" s="22"/>
      <c r="H840" s="22"/>
    </row>
    <row r="841" customFormat="false" ht="15.75" hidden="false" customHeight="false" outlineLevel="0" collapsed="false">
      <c r="A841" s="7"/>
      <c r="B841" s="16"/>
      <c r="C841" s="22"/>
      <c r="D841" s="22"/>
      <c r="E841" s="22"/>
      <c r="F841" s="22"/>
      <c r="G841" s="22"/>
      <c r="H841" s="22"/>
    </row>
    <row r="842" customFormat="false" ht="15.75" hidden="false" customHeight="false" outlineLevel="0" collapsed="false">
      <c r="A842" s="7"/>
      <c r="B842" s="16"/>
      <c r="C842" s="22"/>
      <c r="D842" s="22"/>
      <c r="E842" s="22"/>
      <c r="F842" s="22"/>
      <c r="G842" s="22"/>
      <c r="H842" s="22"/>
    </row>
    <row r="843" customFormat="false" ht="15.75" hidden="false" customHeight="false" outlineLevel="0" collapsed="false">
      <c r="A843" s="7"/>
      <c r="B843" s="16"/>
      <c r="C843" s="22"/>
      <c r="D843" s="22"/>
      <c r="E843" s="22"/>
      <c r="F843" s="22"/>
      <c r="G843" s="22"/>
      <c r="H843" s="22"/>
    </row>
    <row r="844" customFormat="false" ht="15.75" hidden="false" customHeight="false" outlineLevel="0" collapsed="false">
      <c r="A844" s="7"/>
      <c r="B844" s="16"/>
      <c r="C844" s="22"/>
      <c r="D844" s="22"/>
      <c r="E844" s="22"/>
      <c r="F844" s="22"/>
      <c r="G844" s="22"/>
      <c r="H844" s="22"/>
    </row>
    <row r="845" customFormat="false" ht="15.75" hidden="false" customHeight="false" outlineLevel="0" collapsed="false">
      <c r="A845" s="7"/>
      <c r="B845" s="16"/>
      <c r="C845" s="22"/>
      <c r="D845" s="22"/>
      <c r="E845" s="22"/>
      <c r="F845" s="22"/>
      <c r="G845" s="22"/>
      <c r="H845" s="22"/>
    </row>
    <row r="846" customFormat="false" ht="15.75" hidden="false" customHeight="false" outlineLevel="0" collapsed="false">
      <c r="A846" s="7"/>
      <c r="B846" s="16"/>
      <c r="C846" s="22"/>
      <c r="D846" s="22"/>
      <c r="E846" s="22"/>
      <c r="F846" s="22"/>
      <c r="G846" s="22"/>
      <c r="H846" s="22"/>
    </row>
    <row r="847" customFormat="false" ht="15.75" hidden="false" customHeight="false" outlineLevel="0" collapsed="false">
      <c r="A847" s="7"/>
      <c r="B847" s="16"/>
      <c r="C847" s="22"/>
      <c r="D847" s="22"/>
      <c r="E847" s="22"/>
      <c r="F847" s="22"/>
      <c r="G847" s="22"/>
      <c r="H847" s="22"/>
    </row>
    <row r="848" customFormat="false" ht="15.75" hidden="false" customHeight="false" outlineLevel="0" collapsed="false">
      <c r="A848" s="7"/>
      <c r="B848" s="16"/>
      <c r="C848" s="22"/>
      <c r="D848" s="22"/>
      <c r="E848" s="22"/>
      <c r="F848" s="22"/>
      <c r="G848" s="22"/>
      <c r="H848" s="22"/>
    </row>
    <row r="849" customFormat="false" ht="15.75" hidden="false" customHeight="false" outlineLevel="0" collapsed="false">
      <c r="A849" s="7"/>
      <c r="B849" s="16"/>
      <c r="C849" s="22"/>
      <c r="D849" s="22"/>
      <c r="E849" s="22"/>
      <c r="F849" s="22"/>
      <c r="G849" s="22"/>
      <c r="H849" s="22"/>
    </row>
    <row r="850" customFormat="false" ht="15.75" hidden="false" customHeight="false" outlineLevel="0" collapsed="false">
      <c r="A850" s="7"/>
      <c r="B850" s="16"/>
      <c r="C850" s="22"/>
      <c r="D850" s="22"/>
      <c r="E850" s="22"/>
      <c r="F850" s="22"/>
      <c r="G850" s="22"/>
      <c r="H850" s="22"/>
    </row>
    <row r="851" customFormat="false" ht="15.75" hidden="false" customHeight="false" outlineLevel="0" collapsed="false">
      <c r="A851" s="7"/>
      <c r="B851" s="16"/>
      <c r="C851" s="22"/>
      <c r="D851" s="22"/>
      <c r="E851" s="22"/>
      <c r="F851" s="22"/>
      <c r="G851" s="22"/>
      <c r="H851" s="22"/>
    </row>
    <row r="852" customFormat="false" ht="15.75" hidden="false" customHeight="false" outlineLevel="0" collapsed="false">
      <c r="A852" s="7"/>
      <c r="B852" s="16"/>
      <c r="C852" s="22"/>
      <c r="D852" s="22"/>
      <c r="E852" s="22"/>
      <c r="F852" s="22"/>
      <c r="G852" s="22"/>
      <c r="H852" s="22"/>
    </row>
    <row r="853" customFormat="false" ht="15.75" hidden="false" customHeight="false" outlineLevel="0" collapsed="false">
      <c r="A853" s="7"/>
      <c r="B853" s="16"/>
      <c r="C853" s="22"/>
      <c r="D853" s="22"/>
      <c r="E853" s="22"/>
      <c r="F853" s="22"/>
      <c r="G853" s="22"/>
      <c r="H853" s="22"/>
    </row>
    <row r="854" customFormat="false" ht="15.75" hidden="false" customHeight="false" outlineLevel="0" collapsed="false">
      <c r="A854" s="7"/>
      <c r="B854" s="16"/>
      <c r="C854" s="22"/>
      <c r="D854" s="22"/>
      <c r="E854" s="22"/>
      <c r="F854" s="22"/>
      <c r="G854" s="22"/>
      <c r="H854" s="22"/>
    </row>
    <row r="855" customFormat="false" ht="15.75" hidden="false" customHeight="false" outlineLevel="0" collapsed="false">
      <c r="A855" s="7"/>
      <c r="B855" s="16"/>
      <c r="C855" s="22"/>
      <c r="D855" s="22"/>
      <c r="E855" s="22"/>
      <c r="F855" s="22"/>
      <c r="G855" s="22"/>
      <c r="H855" s="22"/>
    </row>
    <row r="856" customFormat="false" ht="15.75" hidden="false" customHeight="false" outlineLevel="0" collapsed="false">
      <c r="A856" s="7"/>
      <c r="B856" s="16"/>
      <c r="C856" s="22"/>
      <c r="D856" s="22"/>
      <c r="E856" s="22"/>
      <c r="F856" s="22"/>
      <c r="G856" s="22"/>
      <c r="H856" s="22"/>
    </row>
    <row r="857" customFormat="false" ht="15.75" hidden="false" customHeight="false" outlineLevel="0" collapsed="false">
      <c r="A857" s="7"/>
      <c r="B857" s="16"/>
      <c r="C857" s="22"/>
      <c r="D857" s="22"/>
      <c r="E857" s="22"/>
      <c r="F857" s="22"/>
      <c r="G857" s="22"/>
      <c r="H857" s="22"/>
    </row>
    <row r="858" customFormat="false" ht="15.75" hidden="false" customHeight="false" outlineLevel="0" collapsed="false">
      <c r="A858" s="7"/>
      <c r="B858" s="16"/>
      <c r="C858" s="22"/>
      <c r="D858" s="22"/>
      <c r="E858" s="22"/>
      <c r="F858" s="22"/>
      <c r="G858" s="22"/>
      <c r="H858" s="22"/>
    </row>
    <row r="859" customFormat="false" ht="15.75" hidden="false" customHeight="false" outlineLevel="0" collapsed="false">
      <c r="A859" s="7"/>
      <c r="B859" s="16"/>
      <c r="C859" s="22"/>
      <c r="D859" s="22"/>
      <c r="E859" s="22"/>
      <c r="F859" s="22"/>
      <c r="G859" s="22"/>
      <c r="H859" s="22"/>
    </row>
    <row r="860" customFormat="false" ht="15.75" hidden="false" customHeight="false" outlineLevel="0" collapsed="false">
      <c r="A860" s="7"/>
      <c r="B860" s="16"/>
      <c r="C860" s="22"/>
      <c r="D860" s="22"/>
      <c r="E860" s="22"/>
      <c r="F860" s="22"/>
      <c r="G860" s="22"/>
      <c r="H860" s="22"/>
    </row>
    <row r="861" customFormat="false" ht="15.75" hidden="false" customHeight="false" outlineLevel="0" collapsed="false">
      <c r="A861" s="7"/>
      <c r="B861" s="16"/>
      <c r="C861" s="22"/>
      <c r="D861" s="22"/>
      <c r="E861" s="22"/>
      <c r="F861" s="22"/>
      <c r="G861" s="22"/>
      <c r="H861" s="22"/>
    </row>
    <row r="862" customFormat="false" ht="15.75" hidden="false" customHeight="false" outlineLevel="0" collapsed="false">
      <c r="A862" s="7"/>
      <c r="B862" s="16"/>
      <c r="C862" s="22"/>
      <c r="D862" s="22"/>
      <c r="E862" s="22"/>
      <c r="F862" s="22"/>
      <c r="G862" s="22"/>
      <c r="H862" s="22"/>
    </row>
    <row r="863" customFormat="false" ht="15.75" hidden="false" customHeight="false" outlineLevel="0" collapsed="false">
      <c r="A863" s="7"/>
      <c r="B863" s="16"/>
      <c r="C863" s="22"/>
      <c r="D863" s="22"/>
      <c r="E863" s="22"/>
      <c r="F863" s="22"/>
      <c r="G863" s="22"/>
      <c r="H863" s="22"/>
    </row>
    <row r="864" customFormat="false" ht="15.75" hidden="false" customHeight="false" outlineLevel="0" collapsed="false">
      <c r="A864" s="7"/>
      <c r="B864" s="16"/>
      <c r="C864" s="22"/>
      <c r="D864" s="22"/>
      <c r="E864" s="22"/>
      <c r="F864" s="22"/>
      <c r="G864" s="22"/>
      <c r="H864" s="22"/>
    </row>
    <row r="865" customFormat="false" ht="15.75" hidden="false" customHeight="false" outlineLevel="0" collapsed="false">
      <c r="A865" s="7"/>
      <c r="B865" s="16"/>
      <c r="C865" s="22"/>
      <c r="D865" s="22"/>
      <c r="E865" s="22"/>
      <c r="F865" s="22"/>
      <c r="G865" s="22"/>
      <c r="H865" s="22"/>
    </row>
    <row r="866" customFormat="false" ht="15.75" hidden="false" customHeight="false" outlineLevel="0" collapsed="false">
      <c r="A866" s="7"/>
      <c r="B866" s="16"/>
      <c r="C866" s="22"/>
      <c r="D866" s="22"/>
      <c r="E866" s="22"/>
      <c r="F866" s="22"/>
      <c r="G866" s="22"/>
      <c r="H866" s="22"/>
    </row>
    <row r="867" customFormat="false" ht="15.75" hidden="false" customHeight="false" outlineLevel="0" collapsed="false">
      <c r="A867" s="7"/>
      <c r="B867" s="16"/>
      <c r="C867" s="22"/>
      <c r="D867" s="22"/>
      <c r="E867" s="22"/>
      <c r="F867" s="22"/>
      <c r="G867" s="22"/>
      <c r="H867" s="22"/>
    </row>
    <row r="868" customFormat="false" ht="15.75" hidden="false" customHeight="false" outlineLevel="0" collapsed="false">
      <c r="A868" s="7"/>
      <c r="B868" s="16"/>
      <c r="C868" s="22"/>
      <c r="D868" s="22"/>
      <c r="E868" s="22"/>
      <c r="F868" s="22"/>
      <c r="G868" s="22"/>
      <c r="H868" s="22"/>
    </row>
    <row r="869" customFormat="false" ht="15.75" hidden="false" customHeight="false" outlineLevel="0" collapsed="false">
      <c r="A869" s="7"/>
      <c r="B869" s="16"/>
      <c r="C869" s="22"/>
      <c r="D869" s="22"/>
      <c r="E869" s="22"/>
      <c r="F869" s="22"/>
      <c r="G869" s="22"/>
      <c r="H869" s="22"/>
    </row>
    <row r="870" customFormat="false" ht="15.75" hidden="false" customHeight="false" outlineLevel="0" collapsed="false">
      <c r="A870" s="7"/>
      <c r="B870" s="16"/>
      <c r="C870" s="22"/>
      <c r="D870" s="22"/>
      <c r="E870" s="22"/>
      <c r="F870" s="22"/>
      <c r="G870" s="22"/>
      <c r="H870" s="22"/>
    </row>
    <row r="871" customFormat="false" ht="15.75" hidden="false" customHeight="false" outlineLevel="0" collapsed="false">
      <c r="A871" s="7"/>
      <c r="B871" s="16"/>
      <c r="C871" s="22"/>
      <c r="D871" s="22"/>
      <c r="E871" s="22"/>
      <c r="F871" s="22"/>
      <c r="G871" s="22"/>
      <c r="H871" s="22"/>
    </row>
    <row r="872" customFormat="false" ht="15.75" hidden="false" customHeight="false" outlineLevel="0" collapsed="false">
      <c r="A872" s="7"/>
      <c r="B872" s="16"/>
      <c r="C872" s="22"/>
      <c r="D872" s="22"/>
      <c r="E872" s="22"/>
      <c r="F872" s="22"/>
      <c r="G872" s="22"/>
      <c r="H872" s="22"/>
    </row>
    <row r="873" customFormat="false" ht="15.75" hidden="false" customHeight="false" outlineLevel="0" collapsed="false">
      <c r="A873" s="7"/>
      <c r="B873" s="16"/>
      <c r="C873" s="22"/>
      <c r="D873" s="22"/>
      <c r="E873" s="22"/>
      <c r="F873" s="22"/>
      <c r="G873" s="22"/>
      <c r="H873" s="22"/>
    </row>
    <row r="874" customFormat="false" ht="15.75" hidden="false" customHeight="false" outlineLevel="0" collapsed="false">
      <c r="A874" s="7"/>
      <c r="B874" s="16"/>
      <c r="C874" s="22"/>
      <c r="D874" s="22"/>
      <c r="E874" s="22"/>
      <c r="F874" s="22"/>
      <c r="G874" s="22"/>
      <c r="H874" s="22"/>
    </row>
    <row r="875" customFormat="false" ht="15.75" hidden="false" customHeight="false" outlineLevel="0" collapsed="false">
      <c r="A875" s="7"/>
      <c r="B875" s="16"/>
      <c r="C875" s="22"/>
      <c r="D875" s="22"/>
      <c r="E875" s="22"/>
      <c r="F875" s="22"/>
      <c r="G875" s="22"/>
      <c r="H875" s="22"/>
    </row>
    <row r="876" customFormat="false" ht="15.75" hidden="false" customHeight="false" outlineLevel="0" collapsed="false">
      <c r="A876" s="7"/>
      <c r="B876" s="16"/>
      <c r="C876" s="22"/>
      <c r="D876" s="22"/>
      <c r="E876" s="22"/>
      <c r="F876" s="22"/>
      <c r="G876" s="22"/>
      <c r="H876" s="22"/>
    </row>
    <row r="877" customFormat="false" ht="15.75" hidden="false" customHeight="false" outlineLevel="0" collapsed="false">
      <c r="A877" s="7"/>
      <c r="B877" s="16"/>
      <c r="C877" s="22"/>
      <c r="D877" s="22"/>
      <c r="E877" s="22"/>
      <c r="F877" s="22"/>
      <c r="G877" s="22"/>
      <c r="H877" s="22"/>
    </row>
    <row r="878" customFormat="false" ht="15.75" hidden="false" customHeight="false" outlineLevel="0" collapsed="false">
      <c r="A878" s="7"/>
      <c r="B878" s="16"/>
      <c r="C878" s="22"/>
      <c r="D878" s="22"/>
      <c r="E878" s="22"/>
      <c r="F878" s="22"/>
      <c r="G878" s="22"/>
      <c r="H878" s="22"/>
    </row>
    <row r="879" customFormat="false" ht="15.75" hidden="false" customHeight="false" outlineLevel="0" collapsed="false">
      <c r="A879" s="7"/>
      <c r="B879" s="16"/>
      <c r="C879" s="22"/>
      <c r="D879" s="22"/>
      <c r="E879" s="22"/>
      <c r="F879" s="22"/>
      <c r="G879" s="22"/>
      <c r="H879" s="22"/>
    </row>
    <row r="880" customFormat="false" ht="15.75" hidden="false" customHeight="false" outlineLevel="0" collapsed="false">
      <c r="A880" s="7"/>
      <c r="B880" s="16"/>
      <c r="C880" s="22"/>
      <c r="D880" s="22"/>
      <c r="E880" s="22"/>
      <c r="F880" s="22"/>
      <c r="G880" s="22"/>
      <c r="H880" s="22"/>
    </row>
    <row r="881" customFormat="false" ht="15.75" hidden="false" customHeight="false" outlineLevel="0" collapsed="false">
      <c r="A881" s="7"/>
      <c r="B881" s="16"/>
      <c r="C881" s="22"/>
      <c r="D881" s="22"/>
      <c r="E881" s="22"/>
      <c r="F881" s="22"/>
      <c r="G881" s="22"/>
      <c r="H881" s="22"/>
    </row>
    <row r="882" customFormat="false" ht="15.75" hidden="false" customHeight="false" outlineLevel="0" collapsed="false">
      <c r="A882" s="7"/>
      <c r="B882" s="16"/>
      <c r="C882" s="22"/>
      <c r="D882" s="22"/>
      <c r="E882" s="22"/>
      <c r="F882" s="22"/>
      <c r="G882" s="22"/>
      <c r="H882" s="22"/>
    </row>
    <row r="883" customFormat="false" ht="15.75" hidden="false" customHeight="false" outlineLevel="0" collapsed="false">
      <c r="A883" s="7"/>
      <c r="B883" s="16"/>
      <c r="C883" s="22"/>
      <c r="D883" s="22"/>
      <c r="E883" s="22"/>
      <c r="F883" s="22"/>
      <c r="G883" s="22"/>
      <c r="H883" s="22"/>
    </row>
    <row r="884" customFormat="false" ht="15.75" hidden="false" customHeight="false" outlineLevel="0" collapsed="false">
      <c r="A884" s="7"/>
      <c r="B884" s="16"/>
      <c r="C884" s="22"/>
      <c r="D884" s="22"/>
      <c r="E884" s="22"/>
      <c r="F884" s="22"/>
      <c r="G884" s="22"/>
      <c r="H884" s="22"/>
    </row>
    <row r="885" customFormat="false" ht="15.75" hidden="false" customHeight="false" outlineLevel="0" collapsed="false">
      <c r="A885" s="7"/>
      <c r="B885" s="16"/>
      <c r="C885" s="22"/>
      <c r="D885" s="22"/>
      <c r="E885" s="22"/>
      <c r="F885" s="22"/>
      <c r="G885" s="22"/>
      <c r="H885" s="22"/>
    </row>
    <row r="886" customFormat="false" ht="15.75" hidden="false" customHeight="false" outlineLevel="0" collapsed="false">
      <c r="A886" s="7"/>
      <c r="B886" s="16"/>
      <c r="C886" s="22"/>
      <c r="D886" s="22"/>
      <c r="E886" s="22"/>
      <c r="F886" s="22"/>
      <c r="G886" s="22"/>
      <c r="H886" s="22"/>
    </row>
    <row r="887" customFormat="false" ht="15.75" hidden="false" customHeight="false" outlineLevel="0" collapsed="false">
      <c r="A887" s="7"/>
      <c r="B887" s="16"/>
      <c r="C887" s="22"/>
      <c r="D887" s="22"/>
      <c r="E887" s="22"/>
      <c r="F887" s="22"/>
      <c r="G887" s="22"/>
      <c r="H887" s="22"/>
    </row>
    <row r="888" customFormat="false" ht="15.75" hidden="false" customHeight="false" outlineLevel="0" collapsed="false">
      <c r="A888" s="7"/>
      <c r="B888" s="16"/>
      <c r="C888" s="22"/>
      <c r="D888" s="22"/>
      <c r="E888" s="22"/>
      <c r="F888" s="22"/>
      <c r="G888" s="22"/>
      <c r="H888" s="22"/>
    </row>
    <row r="889" customFormat="false" ht="15.75" hidden="false" customHeight="false" outlineLevel="0" collapsed="false">
      <c r="A889" s="7"/>
      <c r="B889" s="16"/>
      <c r="C889" s="22"/>
      <c r="D889" s="22"/>
      <c r="E889" s="22"/>
      <c r="F889" s="22"/>
      <c r="G889" s="22"/>
      <c r="H889" s="22"/>
    </row>
    <row r="890" customFormat="false" ht="15.75" hidden="false" customHeight="false" outlineLevel="0" collapsed="false">
      <c r="A890" s="7"/>
      <c r="B890" s="16"/>
      <c r="C890" s="22"/>
      <c r="D890" s="22"/>
      <c r="E890" s="22"/>
      <c r="F890" s="22"/>
      <c r="G890" s="22"/>
      <c r="H890" s="22"/>
    </row>
    <row r="891" customFormat="false" ht="15.75" hidden="false" customHeight="false" outlineLevel="0" collapsed="false">
      <c r="A891" s="7"/>
      <c r="B891" s="16"/>
      <c r="C891" s="22"/>
      <c r="D891" s="22"/>
      <c r="E891" s="22"/>
      <c r="F891" s="22"/>
      <c r="G891" s="22"/>
      <c r="H891" s="22"/>
    </row>
    <row r="892" customFormat="false" ht="15.75" hidden="false" customHeight="false" outlineLevel="0" collapsed="false">
      <c r="A892" s="7"/>
      <c r="B892" s="16"/>
      <c r="C892" s="22"/>
      <c r="D892" s="22"/>
      <c r="E892" s="22"/>
      <c r="F892" s="22"/>
      <c r="G892" s="22"/>
      <c r="H892" s="22"/>
    </row>
    <row r="893" customFormat="false" ht="15.75" hidden="false" customHeight="false" outlineLevel="0" collapsed="false">
      <c r="A893" s="7"/>
      <c r="B893" s="16"/>
      <c r="C893" s="22"/>
      <c r="D893" s="22"/>
      <c r="E893" s="22"/>
      <c r="F893" s="22"/>
      <c r="G893" s="22"/>
      <c r="H893" s="22"/>
    </row>
    <row r="894" customFormat="false" ht="15.75" hidden="false" customHeight="false" outlineLevel="0" collapsed="false">
      <c r="A894" s="7"/>
      <c r="B894" s="16"/>
      <c r="C894" s="22"/>
      <c r="D894" s="22"/>
      <c r="E894" s="22"/>
      <c r="F894" s="22"/>
      <c r="G894" s="22"/>
      <c r="H894" s="22"/>
    </row>
    <row r="895" customFormat="false" ht="15.75" hidden="false" customHeight="false" outlineLevel="0" collapsed="false">
      <c r="A895" s="7"/>
      <c r="B895" s="16"/>
      <c r="C895" s="22"/>
      <c r="D895" s="22"/>
      <c r="E895" s="22"/>
      <c r="F895" s="22"/>
      <c r="G895" s="22"/>
      <c r="H895" s="22"/>
    </row>
    <row r="896" customFormat="false" ht="15.75" hidden="false" customHeight="false" outlineLevel="0" collapsed="false">
      <c r="A896" s="7"/>
      <c r="B896" s="16"/>
      <c r="C896" s="22"/>
      <c r="D896" s="22"/>
      <c r="E896" s="22"/>
      <c r="F896" s="22"/>
      <c r="G896" s="22"/>
      <c r="H896" s="22"/>
    </row>
    <row r="897" customFormat="false" ht="15.75" hidden="false" customHeight="false" outlineLevel="0" collapsed="false">
      <c r="A897" s="7"/>
      <c r="B897" s="16"/>
      <c r="C897" s="22"/>
      <c r="D897" s="22"/>
      <c r="E897" s="22"/>
      <c r="F897" s="22"/>
      <c r="G897" s="22"/>
      <c r="H897" s="22"/>
    </row>
    <row r="898" customFormat="false" ht="15.75" hidden="false" customHeight="false" outlineLevel="0" collapsed="false">
      <c r="A898" s="7"/>
      <c r="B898" s="16"/>
      <c r="C898" s="22"/>
      <c r="D898" s="22"/>
      <c r="E898" s="22"/>
      <c r="F898" s="22"/>
      <c r="G898" s="22"/>
      <c r="H898" s="22"/>
    </row>
    <row r="899" customFormat="false" ht="15.75" hidden="false" customHeight="false" outlineLevel="0" collapsed="false">
      <c r="A899" s="7"/>
      <c r="B899" s="16"/>
      <c r="C899" s="22"/>
      <c r="D899" s="22"/>
      <c r="E899" s="22"/>
      <c r="F899" s="22"/>
      <c r="G899" s="22"/>
      <c r="H899" s="22"/>
    </row>
    <row r="900" customFormat="false" ht="15.75" hidden="false" customHeight="false" outlineLevel="0" collapsed="false">
      <c r="A900" s="7"/>
      <c r="B900" s="16"/>
      <c r="C900" s="22"/>
      <c r="D900" s="22"/>
      <c r="E900" s="22"/>
      <c r="F900" s="22"/>
      <c r="G900" s="22"/>
      <c r="H900" s="22"/>
    </row>
    <row r="901" customFormat="false" ht="15.75" hidden="false" customHeight="false" outlineLevel="0" collapsed="false">
      <c r="A901" s="7"/>
      <c r="B901" s="16"/>
      <c r="C901" s="22"/>
      <c r="D901" s="22"/>
      <c r="E901" s="22"/>
      <c r="F901" s="22"/>
      <c r="G901" s="22"/>
      <c r="H901" s="22"/>
    </row>
    <row r="902" customFormat="false" ht="15.75" hidden="false" customHeight="false" outlineLevel="0" collapsed="false">
      <c r="A902" s="7"/>
      <c r="B902" s="16"/>
      <c r="C902" s="22"/>
      <c r="D902" s="22"/>
      <c r="E902" s="22"/>
      <c r="F902" s="22"/>
      <c r="G902" s="22"/>
      <c r="H902" s="22"/>
    </row>
    <row r="903" customFormat="false" ht="15.75" hidden="false" customHeight="false" outlineLevel="0" collapsed="false">
      <c r="A903" s="7"/>
      <c r="B903" s="16"/>
      <c r="C903" s="22"/>
      <c r="D903" s="22"/>
      <c r="E903" s="22"/>
      <c r="F903" s="22"/>
      <c r="G903" s="22"/>
      <c r="H903" s="22"/>
    </row>
    <row r="904" customFormat="false" ht="15.75" hidden="false" customHeight="false" outlineLevel="0" collapsed="false">
      <c r="A904" s="7"/>
      <c r="B904" s="16"/>
      <c r="C904" s="22"/>
      <c r="D904" s="22"/>
      <c r="E904" s="22"/>
      <c r="F904" s="22"/>
      <c r="G904" s="22"/>
      <c r="H904" s="22"/>
    </row>
    <row r="905" customFormat="false" ht="15.75" hidden="false" customHeight="false" outlineLevel="0" collapsed="false">
      <c r="A905" s="7"/>
      <c r="B905" s="16"/>
      <c r="C905" s="22"/>
      <c r="D905" s="22"/>
      <c r="E905" s="22"/>
      <c r="F905" s="22"/>
      <c r="G905" s="22"/>
      <c r="H905" s="22"/>
    </row>
    <row r="906" customFormat="false" ht="15.75" hidden="false" customHeight="false" outlineLevel="0" collapsed="false">
      <c r="A906" s="7"/>
      <c r="B906" s="16"/>
      <c r="C906" s="22"/>
      <c r="D906" s="22"/>
      <c r="E906" s="22"/>
      <c r="F906" s="22"/>
      <c r="G906" s="22"/>
      <c r="H906" s="22"/>
    </row>
    <row r="907" customFormat="false" ht="15.75" hidden="false" customHeight="false" outlineLevel="0" collapsed="false">
      <c r="A907" s="7"/>
      <c r="B907" s="16"/>
      <c r="C907" s="22"/>
      <c r="D907" s="22"/>
      <c r="E907" s="22"/>
      <c r="F907" s="22"/>
      <c r="G907" s="22"/>
      <c r="H907" s="22"/>
    </row>
    <row r="908" customFormat="false" ht="15.75" hidden="false" customHeight="false" outlineLevel="0" collapsed="false">
      <c r="A908" s="7"/>
      <c r="B908" s="16"/>
      <c r="C908" s="22"/>
      <c r="D908" s="22"/>
      <c r="E908" s="22"/>
      <c r="F908" s="22"/>
      <c r="G908" s="22"/>
      <c r="H908" s="22"/>
    </row>
    <row r="909" customFormat="false" ht="15.75" hidden="false" customHeight="false" outlineLevel="0" collapsed="false">
      <c r="A909" s="7"/>
      <c r="B909" s="16"/>
      <c r="C909" s="22"/>
      <c r="D909" s="22"/>
      <c r="E909" s="22"/>
      <c r="F909" s="22"/>
      <c r="G909" s="22"/>
      <c r="H909" s="22"/>
    </row>
    <row r="910" customFormat="false" ht="15.75" hidden="false" customHeight="false" outlineLevel="0" collapsed="false">
      <c r="A910" s="7"/>
      <c r="B910" s="16"/>
      <c r="C910" s="22"/>
      <c r="D910" s="22"/>
      <c r="E910" s="22"/>
      <c r="F910" s="22"/>
      <c r="G910" s="22"/>
      <c r="H910" s="22"/>
    </row>
    <row r="911" customFormat="false" ht="15.75" hidden="false" customHeight="false" outlineLevel="0" collapsed="false">
      <c r="A911" s="7"/>
      <c r="B911" s="16"/>
      <c r="C911" s="22"/>
      <c r="D911" s="22"/>
      <c r="E911" s="22"/>
      <c r="F911" s="22"/>
      <c r="G911" s="22"/>
      <c r="H911" s="22"/>
    </row>
    <row r="912" customFormat="false" ht="15.75" hidden="false" customHeight="false" outlineLevel="0" collapsed="false">
      <c r="A912" s="7"/>
      <c r="B912" s="16"/>
      <c r="C912" s="22"/>
      <c r="D912" s="22"/>
      <c r="E912" s="22"/>
      <c r="F912" s="22"/>
      <c r="G912" s="22"/>
      <c r="H912" s="22"/>
    </row>
    <row r="913" customFormat="false" ht="15.75" hidden="false" customHeight="false" outlineLevel="0" collapsed="false">
      <c r="A913" s="7"/>
      <c r="B913" s="16"/>
      <c r="C913" s="22"/>
      <c r="D913" s="22"/>
      <c r="E913" s="22"/>
      <c r="F913" s="22"/>
      <c r="G913" s="22"/>
      <c r="H913" s="22"/>
    </row>
    <row r="914" customFormat="false" ht="15.75" hidden="false" customHeight="false" outlineLevel="0" collapsed="false">
      <c r="A914" s="7"/>
      <c r="B914" s="16"/>
      <c r="C914" s="22"/>
      <c r="D914" s="22"/>
      <c r="E914" s="22"/>
      <c r="F914" s="22"/>
      <c r="G914" s="22"/>
      <c r="H914" s="22"/>
    </row>
    <row r="915" customFormat="false" ht="15.75" hidden="false" customHeight="false" outlineLevel="0" collapsed="false">
      <c r="A915" s="7"/>
      <c r="B915" s="16"/>
      <c r="C915" s="22"/>
      <c r="D915" s="22"/>
      <c r="E915" s="22"/>
      <c r="F915" s="22"/>
      <c r="G915" s="22"/>
      <c r="H915" s="22"/>
    </row>
    <row r="916" customFormat="false" ht="15.75" hidden="false" customHeight="false" outlineLevel="0" collapsed="false">
      <c r="A916" s="7"/>
      <c r="B916" s="16"/>
      <c r="C916" s="22"/>
      <c r="D916" s="22"/>
      <c r="E916" s="22"/>
      <c r="F916" s="22"/>
      <c r="G916" s="22"/>
      <c r="H916" s="22"/>
    </row>
    <row r="917" customFormat="false" ht="15.75" hidden="false" customHeight="false" outlineLevel="0" collapsed="false">
      <c r="A917" s="7"/>
      <c r="B917" s="16"/>
      <c r="C917" s="22"/>
      <c r="D917" s="22"/>
      <c r="E917" s="22"/>
      <c r="F917" s="22"/>
      <c r="G917" s="22"/>
      <c r="H917" s="22"/>
    </row>
    <row r="918" customFormat="false" ht="15.75" hidden="false" customHeight="false" outlineLevel="0" collapsed="false">
      <c r="A918" s="7"/>
      <c r="B918" s="16"/>
      <c r="C918" s="22"/>
      <c r="D918" s="22"/>
      <c r="E918" s="22"/>
      <c r="F918" s="22"/>
      <c r="G918" s="22"/>
      <c r="H918" s="22"/>
    </row>
    <row r="919" customFormat="false" ht="15.75" hidden="false" customHeight="false" outlineLevel="0" collapsed="false">
      <c r="A919" s="7"/>
      <c r="B919" s="16"/>
      <c r="C919" s="22"/>
      <c r="D919" s="22"/>
      <c r="E919" s="22"/>
      <c r="F919" s="22"/>
      <c r="G919" s="22"/>
      <c r="H919" s="22"/>
    </row>
    <row r="920" customFormat="false" ht="15.75" hidden="false" customHeight="false" outlineLevel="0" collapsed="false">
      <c r="A920" s="7"/>
      <c r="B920" s="16"/>
      <c r="C920" s="22"/>
      <c r="D920" s="22"/>
      <c r="E920" s="22"/>
      <c r="F920" s="22"/>
      <c r="G920" s="22"/>
      <c r="H920" s="22"/>
    </row>
    <row r="921" customFormat="false" ht="15.75" hidden="false" customHeight="false" outlineLevel="0" collapsed="false">
      <c r="A921" s="7"/>
      <c r="B921" s="16"/>
      <c r="C921" s="22"/>
      <c r="D921" s="22"/>
      <c r="E921" s="22"/>
      <c r="F921" s="22"/>
      <c r="G921" s="22"/>
      <c r="H921" s="22"/>
    </row>
    <row r="922" customFormat="false" ht="15.75" hidden="false" customHeight="false" outlineLevel="0" collapsed="false">
      <c r="A922" s="7"/>
      <c r="B922" s="16"/>
      <c r="C922" s="22"/>
      <c r="D922" s="22"/>
      <c r="E922" s="22"/>
      <c r="F922" s="22"/>
      <c r="G922" s="22"/>
      <c r="H922" s="22"/>
    </row>
    <row r="923" customFormat="false" ht="15.75" hidden="false" customHeight="false" outlineLevel="0" collapsed="false">
      <c r="A923" s="7"/>
      <c r="B923" s="16"/>
      <c r="C923" s="22"/>
      <c r="D923" s="22"/>
      <c r="E923" s="22"/>
      <c r="F923" s="22"/>
      <c r="G923" s="22"/>
      <c r="H923" s="22"/>
    </row>
    <row r="924" customFormat="false" ht="15.75" hidden="false" customHeight="false" outlineLevel="0" collapsed="false">
      <c r="A924" s="7"/>
      <c r="B924" s="16"/>
      <c r="C924" s="22"/>
      <c r="D924" s="22"/>
      <c r="E924" s="22"/>
      <c r="F924" s="22"/>
      <c r="G924" s="22"/>
      <c r="H924" s="22"/>
    </row>
    <row r="925" customFormat="false" ht="15.75" hidden="false" customHeight="false" outlineLevel="0" collapsed="false">
      <c r="A925" s="7"/>
      <c r="B925" s="16"/>
      <c r="C925" s="22"/>
      <c r="D925" s="22"/>
      <c r="E925" s="22"/>
      <c r="F925" s="22"/>
      <c r="G925" s="22"/>
      <c r="H925" s="22"/>
    </row>
    <row r="926" customFormat="false" ht="15.75" hidden="false" customHeight="false" outlineLevel="0" collapsed="false">
      <c r="A926" s="7"/>
      <c r="B926" s="16"/>
      <c r="C926" s="22"/>
      <c r="D926" s="22"/>
      <c r="E926" s="22"/>
      <c r="F926" s="22"/>
      <c r="G926" s="22"/>
      <c r="H926" s="22"/>
    </row>
    <row r="927" customFormat="false" ht="15.75" hidden="false" customHeight="false" outlineLevel="0" collapsed="false">
      <c r="A927" s="7"/>
      <c r="B927" s="16"/>
      <c r="C927" s="22"/>
      <c r="D927" s="22"/>
      <c r="E927" s="22"/>
      <c r="F927" s="22"/>
      <c r="G927" s="22"/>
      <c r="H927" s="22"/>
    </row>
    <row r="928" customFormat="false" ht="15.75" hidden="false" customHeight="false" outlineLevel="0" collapsed="false">
      <c r="A928" s="7"/>
      <c r="B928" s="16"/>
      <c r="C928" s="22"/>
      <c r="D928" s="22"/>
      <c r="E928" s="22"/>
      <c r="F928" s="22"/>
      <c r="G928" s="22"/>
      <c r="H928" s="22"/>
    </row>
    <row r="929" customFormat="false" ht="15.75" hidden="false" customHeight="false" outlineLevel="0" collapsed="false">
      <c r="A929" s="7"/>
      <c r="B929" s="16"/>
      <c r="C929" s="22"/>
      <c r="D929" s="22"/>
      <c r="E929" s="22"/>
      <c r="F929" s="22"/>
      <c r="G929" s="22"/>
      <c r="H929" s="22"/>
    </row>
    <row r="930" customFormat="false" ht="15.75" hidden="false" customHeight="false" outlineLevel="0" collapsed="false">
      <c r="A930" s="7"/>
      <c r="B930" s="16"/>
      <c r="C930" s="22"/>
      <c r="D930" s="22"/>
      <c r="E930" s="22"/>
      <c r="F930" s="22"/>
      <c r="G930" s="22"/>
      <c r="H930" s="22"/>
    </row>
    <row r="931" customFormat="false" ht="15.75" hidden="false" customHeight="false" outlineLevel="0" collapsed="false">
      <c r="A931" s="7"/>
      <c r="B931" s="16"/>
      <c r="C931" s="22"/>
      <c r="D931" s="22"/>
      <c r="E931" s="22"/>
      <c r="F931" s="22"/>
      <c r="G931" s="22"/>
      <c r="H931" s="22"/>
    </row>
    <row r="932" customFormat="false" ht="15.75" hidden="false" customHeight="false" outlineLevel="0" collapsed="false">
      <c r="A932" s="7"/>
      <c r="B932" s="16"/>
      <c r="C932" s="22"/>
      <c r="D932" s="22"/>
      <c r="E932" s="22"/>
      <c r="F932" s="22"/>
      <c r="G932" s="22"/>
      <c r="H932" s="22"/>
    </row>
    <row r="933" customFormat="false" ht="15.75" hidden="false" customHeight="false" outlineLevel="0" collapsed="false">
      <c r="A933" s="7"/>
      <c r="B933" s="16"/>
      <c r="C933" s="22"/>
      <c r="D933" s="22"/>
      <c r="E933" s="22"/>
      <c r="F933" s="22"/>
      <c r="G933" s="22"/>
      <c r="H933" s="22"/>
    </row>
    <row r="934" customFormat="false" ht="15.75" hidden="false" customHeight="false" outlineLevel="0" collapsed="false">
      <c r="A934" s="7"/>
      <c r="B934" s="16"/>
      <c r="C934" s="22"/>
      <c r="D934" s="22"/>
      <c r="E934" s="22"/>
      <c r="F934" s="22"/>
      <c r="G934" s="22"/>
      <c r="H934" s="22"/>
    </row>
    <row r="935" customFormat="false" ht="15.75" hidden="false" customHeight="false" outlineLevel="0" collapsed="false">
      <c r="A935" s="7"/>
      <c r="B935" s="16"/>
      <c r="C935" s="22"/>
      <c r="D935" s="22"/>
      <c r="E935" s="22"/>
      <c r="F935" s="22"/>
      <c r="G935" s="22"/>
      <c r="H935" s="22"/>
    </row>
    <row r="936" customFormat="false" ht="15.75" hidden="false" customHeight="false" outlineLevel="0" collapsed="false">
      <c r="A936" s="7"/>
      <c r="B936" s="16"/>
      <c r="C936" s="22"/>
      <c r="D936" s="22"/>
      <c r="E936" s="22"/>
      <c r="F936" s="22"/>
      <c r="G936" s="22"/>
      <c r="H936" s="22"/>
    </row>
    <row r="937" customFormat="false" ht="15.75" hidden="false" customHeight="false" outlineLevel="0" collapsed="false">
      <c r="A937" s="7"/>
      <c r="B937" s="16"/>
      <c r="C937" s="22"/>
      <c r="D937" s="22"/>
      <c r="E937" s="22"/>
      <c r="F937" s="22"/>
      <c r="G937" s="22"/>
      <c r="H937" s="22"/>
    </row>
    <row r="938" customFormat="false" ht="15.75" hidden="false" customHeight="false" outlineLevel="0" collapsed="false">
      <c r="A938" s="7"/>
      <c r="B938" s="16"/>
      <c r="C938" s="22"/>
      <c r="D938" s="22"/>
      <c r="E938" s="22"/>
      <c r="F938" s="22"/>
      <c r="G938" s="22"/>
      <c r="H938" s="22"/>
    </row>
    <row r="939" customFormat="false" ht="15.75" hidden="false" customHeight="false" outlineLevel="0" collapsed="false">
      <c r="A939" s="7"/>
      <c r="B939" s="16"/>
      <c r="C939" s="22"/>
      <c r="D939" s="22"/>
      <c r="E939" s="22"/>
      <c r="F939" s="22"/>
      <c r="G939" s="22"/>
      <c r="H939" s="22"/>
    </row>
    <row r="940" customFormat="false" ht="15.75" hidden="false" customHeight="false" outlineLevel="0" collapsed="false">
      <c r="A940" s="7"/>
      <c r="B940" s="16"/>
      <c r="C940" s="22"/>
      <c r="D940" s="22"/>
      <c r="E940" s="22"/>
      <c r="F940" s="22"/>
      <c r="G940" s="22"/>
      <c r="H940" s="22"/>
    </row>
    <row r="941" customFormat="false" ht="15.75" hidden="false" customHeight="false" outlineLevel="0" collapsed="false">
      <c r="A941" s="7"/>
      <c r="B941" s="16"/>
      <c r="C941" s="22"/>
      <c r="D941" s="22"/>
      <c r="E941" s="22"/>
      <c r="F941" s="22"/>
      <c r="G941" s="22"/>
      <c r="H941" s="22"/>
    </row>
    <row r="942" customFormat="false" ht="15.75" hidden="false" customHeight="false" outlineLevel="0" collapsed="false">
      <c r="A942" s="7"/>
      <c r="B942" s="16"/>
      <c r="C942" s="22"/>
      <c r="D942" s="22"/>
      <c r="E942" s="22"/>
      <c r="F942" s="22"/>
      <c r="G942" s="22"/>
      <c r="H942" s="22"/>
    </row>
    <row r="943" customFormat="false" ht="15.75" hidden="false" customHeight="false" outlineLevel="0" collapsed="false">
      <c r="A943" s="7"/>
      <c r="B943" s="16"/>
      <c r="C943" s="22"/>
      <c r="D943" s="22"/>
      <c r="E943" s="22"/>
      <c r="F943" s="22"/>
      <c r="G943" s="22"/>
      <c r="H943" s="22"/>
    </row>
    <row r="944" customFormat="false" ht="15.75" hidden="false" customHeight="false" outlineLevel="0" collapsed="false">
      <c r="A944" s="7"/>
      <c r="B944" s="16"/>
      <c r="C944" s="22"/>
      <c r="D944" s="22"/>
      <c r="E944" s="22"/>
      <c r="F944" s="22"/>
      <c r="G944" s="22"/>
      <c r="H944" s="22"/>
    </row>
    <row r="945" customFormat="false" ht="15.75" hidden="false" customHeight="false" outlineLevel="0" collapsed="false">
      <c r="A945" s="7"/>
      <c r="B945" s="16"/>
      <c r="C945" s="22"/>
      <c r="D945" s="22"/>
      <c r="E945" s="22"/>
      <c r="F945" s="22"/>
      <c r="G945" s="22"/>
      <c r="H945" s="22"/>
    </row>
    <row r="946" customFormat="false" ht="15.75" hidden="false" customHeight="false" outlineLevel="0" collapsed="false">
      <c r="A946" s="7"/>
      <c r="B946" s="16"/>
      <c r="C946" s="22"/>
      <c r="D946" s="22"/>
      <c r="E946" s="22"/>
      <c r="F946" s="22"/>
      <c r="G946" s="22"/>
      <c r="H946" s="22"/>
    </row>
    <row r="947" customFormat="false" ht="15.75" hidden="false" customHeight="false" outlineLevel="0" collapsed="false">
      <c r="A947" s="7"/>
      <c r="B947" s="16"/>
      <c r="C947" s="22"/>
      <c r="D947" s="22"/>
      <c r="E947" s="22"/>
      <c r="F947" s="22"/>
      <c r="G947" s="22"/>
      <c r="H947" s="22"/>
    </row>
    <row r="948" customFormat="false" ht="15.75" hidden="false" customHeight="false" outlineLevel="0" collapsed="false">
      <c r="A948" s="7"/>
      <c r="B948" s="16"/>
      <c r="C948" s="22"/>
      <c r="D948" s="22"/>
      <c r="E948" s="22"/>
      <c r="F948" s="22"/>
      <c r="G948" s="22"/>
      <c r="H948" s="22"/>
    </row>
    <row r="949" customFormat="false" ht="15.75" hidden="false" customHeight="false" outlineLevel="0" collapsed="false">
      <c r="A949" s="7"/>
      <c r="B949" s="16"/>
      <c r="C949" s="22"/>
      <c r="D949" s="22"/>
      <c r="E949" s="22"/>
      <c r="F949" s="22"/>
      <c r="G949" s="22"/>
      <c r="H949" s="22"/>
    </row>
    <row r="950" customFormat="false" ht="15.75" hidden="false" customHeight="false" outlineLevel="0" collapsed="false">
      <c r="A950" s="7"/>
      <c r="B950" s="16"/>
      <c r="C950" s="22"/>
      <c r="D950" s="22"/>
      <c r="E950" s="22"/>
      <c r="F950" s="22"/>
      <c r="G950" s="22"/>
      <c r="H950" s="22"/>
    </row>
    <row r="951" customFormat="false" ht="15.75" hidden="false" customHeight="false" outlineLevel="0" collapsed="false">
      <c r="A951" s="7"/>
      <c r="B951" s="16"/>
      <c r="C951" s="22"/>
      <c r="D951" s="22"/>
      <c r="E951" s="22"/>
      <c r="F951" s="22"/>
      <c r="G951" s="22"/>
      <c r="H951" s="22"/>
    </row>
    <row r="952" customFormat="false" ht="15.75" hidden="false" customHeight="false" outlineLevel="0" collapsed="false">
      <c r="A952" s="7"/>
      <c r="B952" s="16"/>
      <c r="C952" s="22"/>
      <c r="D952" s="22"/>
      <c r="E952" s="22"/>
      <c r="F952" s="22"/>
      <c r="G952" s="22"/>
      <c r="H952" s="22"/>
    </row>
    <row r="953" customFormat="false" ht="15.75" hidden="false" customHeight="false" outlineLevel="0" collapsed="false">
      <c r="A953" s="7"/>
      <c r="B953" s="16"/>
      <c r="C953" s="22"/>
      <c r="D953" s="22"/>
      <c r="E953" s="22"/>
      <c r="F953" s="22"/>
      <c r="G953" s="22"/>
      <c r="H953" s="22"/>
    </row>
    <row r="954" customFormat="false" ht="15.75" hidden="false" customHeight="false" outlineLevel="0" collapsed="false">
      <c r="A954" s="7"/>
      <c r="B954" s="16"/>
      <c r="C954" s="22"/>
      <c r="D954" s="22"/>
      <c r="E954" s="22"/>
      <c r="F954" s="22"/>
      <c r="G954" s="22"/>
      <c r="H954" s="22"/>
    </row>
    <row r="955" customFormat="false" ht="15.75" hidden="false" customHeight="false" outlineLevel="0" collapsed="false">
      <c r="A955" s="7"/>
      <c r="B955" s="16"/>
      <c r="C955" s="22"/>
      <c r="D955" s="22"/>
      <c r="E955" s="22"/>
      <c r="F955" s="22"/>
      <c r="G955" s="22"/>
      <c r="H955" s="22"/>
    </row>
    <row r="956" customFormat="false" ht="15.75" hidden="false" customHeight="false" outlineLevel="0" collapsed="false">
      <c r="A956" s="7"/>
      <c r="B956" s="16"/>
      <c r="C956" s="22"/>
      <c r="D956" s="22"/>
      <c r="E956" s="22"/>
      <c r="F956" s="22"/>
      <c r="G956" s="22"/>
      <c r="H956" s="22"/>
    </row>
    <row r="957" customFormat="false" ht="15.75" hidden="false" customHeight="false" outlineLevel="0" collapsed="false">
      <c r="A957" s="7"/>
      <c r="B957" s="16"/>
      <c r="C957" s="22"/>
      <c r="D957" s="22"/>
      <c r="E957" s="22"/>
      <c r="F957" s="22"/>
      <c r="G957" s="22"/>
      <c r="H957" s="22"/>
    </row>
    <row r="958" customFormat="false" ht="15.75" hidden="false" customHeight="false" outlineLevel="0" collapsed="false">
      <c r="A958" s="7"/>
      <c r="B958" s="16"/>
      <c r="C958" s="22"/>
      <c r="D958" s="22"/>
      <c r="E958" s="22"/>
      <c r="F958" s="22"/>
      <c r="G958" s="22"/>
      <c r="H958" s="22"/>
    </row>
    <row r="959" customFormat="false" ht="15.75" hidden="false" customHeight="false" outlineLevel="0" collapsed="false">
      <c r="A959" s="7"/>
      <c r="B959" s="16"/>
      <c r="C959" s="22"/>
      <c r="D959" s="22"/>
      <c r="E959" s="22"/>
      <c r="F959" s="22"/>
      <c r="G959" s="22"/>
      <c r="H959" s="22"/>
    </row>
    <row r="960" customFormat="false" ht="15.75" hidden="false" customHeight="false" outlineLevel="0" collapsed="false">
      <c r="A960" s="7"/>
      <c r="B960" s="16"/>
      <c r="C960" s="22"/>
      <c r="D960" s="22"/>
      <c r="E960" s="22"/>
      <c r="F960" s="22"/>
      <c r="G960" s="22"/>
      <c r="H960" s="22"/>
    </row>
    <row r="961" customFormat="false" ht="15.75" hidden="false" customHeight="false" outlineLevel="0" collapsed="false">
      <c r="A961" s="7"/>
      <c r="B961" s="16"/>
      <c r="C961" s="22"/>
      <c r="D961" s="22"/>
      <c r="E961" s="22"/>
      <c r="F961" s="22"/>
      <c r="G961" s="22"/>
      <c r="H961" s="22"/>
    </row>
    <row r="962" customFormat="false" ht="15.75" hidden="false" customHeight="false" outlineLevel="0" collapsed="false">
      <c r="A962" s="7"/>
      <c r="B962" s="16"/>
      <c r="C962" s="22"/>
      <c r="D962" s="22"/>
      <c r="E962" s="22"/>
      <c r="F962" s="22"/>
      <c r="G962" s="22"/>
      <c r="H962" s="22"/>
    </row>
    <row r="963" customFormat="false" ht="15.75" hidden="false" customHeight="false" outlineLevel="0" collapsed="false">
      <c r="A963" s="7"/>
      <c r="B963" s="16"/>
      <c r="C963" s="22"/>
      <c r="D963" s="22"/>
      <c r="E963" s="22"/>
      <c r="F963" s="22"/>
      <c r="G963" s="22"/>
      <c r="H963" s="22"/>
    </row>
    <row r="964" customFormat="false" ht="15.75" hidden="false" customHeight="false" outlineLevel="0" collapsed="false">
      <c r="A964" s="7"/>
      <c r="B964" s="16"/>
      <c r="C964" s="22"/>
      <c r="D964" s="22"/>
      <c r="E964" s="22"/>
      <c r="F964" s="22"/>
      <c r="G964" s="22"/>
      <c r="H964" s="22"/>
    </row>
    <row r="965" customFormat="false" ht="15.75" hidden="false" customHeight="false" outlineLevel="0" collapsed="false">
      <c r="A965" s="7"/>
      <c r="B965" s="16"/>
      <c r="C965" s="22"/>
      <c r="D965" s="22"/>
      <c r="E965" s="22"/>
      <c r="F965" s="22"/>
      <c r="G965" s="22"/>
      <c r="H965" s="22"/>
    </row>
    <row r="966" customFormat="false" ht="15.75" hidden="false" customHeight="false" outlineLevel="0" collapsed="false">
      <c r="A966" s="7"/>
      <c r="B966" s="16"/>
      <c r="C966" s="22"/>
      <c r="D966" s="22"/>
      <c r="E966" s="22"/>
      <c r="F966" s="22"/>
      <c r="G966" s="22"/>
      <c r="H966" s="22"/>
    </row>
    <row r="967" customFormat="false" ht="15.75" hidden="false" customHeight="false" outlineLevel="0" collapsed="false">
      <c r="A967" s="7"/>
      <c r="B967" s="16"/>
      <c r="C967" s="22"/>
      <c r="D967" s="22"/>
      <c r="E967" s="22"/>
      <c r="F967" s="22"/>
      <c r="G967" s="22"/>
      <c r="H967" s="22"/>
    </row>
    <row r="968" customFormat="false" ht="15.75" hidden="false" customHeight="false" outlineLevel="0" collapsed="false">
      <c r="A968" s="7"/>
      <c r="B968" s="16"/>
      <c r="C968" s="22"/>
      <c r="D968" s="22"/>
      <c r="E968" s="22"/>
      <c r="F968" s="22"/>
      <c r="G968" s="22"/>
      <c r="H968" s="22"/>
    </row>
    <row r="969" customFormat="false" ht="15.75" hidden="false" customHeight="false" outlineLevel="0" collapsed="false">
      <c r="A969" s="7"/>
      <c r="B969" s="16"/>
      <c r="C969" s="22"/>
      <c r="D969" s="22"/>
      <c r="E969" s="22"/>
      <c r="F969" s="22"/>
      <c r="G969" s="22"/>
      <c r="H969" s="22"/>
    </row>
    <row r="970" customFormat="false" ht="15.75" hidden="false" customHeight="false" outlineLevel="0" collapsed="false">
      <c r="A970" s="7"/>
      <c r="B970" s="16"/>
      <c r="C970" s="22"/>
      <c r="D970" s="22"/>
      <c r="E970" s="22"/>
      <c r="F970" s="22"/>
      <c r="G970" s="22"/>
      <c r="H970" s="22"/>
    </row>
    <row r="971" customFormat="false" ht="15.75" hidden="false" customHeight="false" outlineLevel="0" collapsed="false">
      <c r="A971" s="7"/>
      <c r="B971" s="16"/>
      <c r="C971" s="22"/>
      <c r="D971" s="22"/>
      <c r="E971" s="22"/>
      <c r="F971" s="22"/>
      <c r="G971" s="22"/>
      <c r="H971" s="22"/>
    </row>
    <row r="972" customFormat="false" ht="15.75" hidden="false" customHeight="false" outlineLevel="0" collapsed="false">
      <c r="A972" s="7"/>
      <c r="B972" s="16"/>
      <c r="C972" s="22"/>
      <c r="D972" s="22"/>
      <c r="E972" s="22"/>
      <c r="F972" s="22"/>
      <c r="G972" s="22"/>
      <c r="H972" s="22"/>
    </row>
    <row r="973" customFormat="false" ht="15.75" hidden="false" customHeight="false" outlineLevel="0" collapsed="false">
      <c r="A973" s="7"/>
      <c r="B973" s="16"/>
      <c r="C973" s="22"/>
      <c r="D973" s="22"/>
      <c r="E973" s="22"/>
      <c r="F973" s="22"/>
      <c r="G973" s="22"/>
      <c r="H973" s="22"/>
    </row>
    <row r="974" customFormat="false" ht="15.75" hidden="false" customHeight="false" outlineLevel="0" collapsed="false">
      <c r="A974" s="7"/>
      <c r="B974" s="16"/>
      <c r="C974" s="22"/>
      <c r="D974" s="22"/>
      <c r="E974" s="22"/>
      <c r="F974" s="22"/>
      <c r="G974" s="22"/>
      <c r="H974" s="22"/>
    </row>
    <row r="975" customFormat="false" ht="15.75" hidden="false" customHeight="false" outlineLevel="0" collapsed="false">
      <c r="A975" s="7"/>
      <c r="B975" s="16"/>
      <c r="C975" s="22"/>
      <c r="D975" s="22"/>
      <c r="E975" s="22"/>
      <c r="F975" s="22"/>
      <c r="G975" s="22"/>
      <c r="H975" s="22"/>
    </row>
    <row r="976" customFormat="false" ht="15.75" hidden="false" customHeight="false" outlineLevel="0" collapsed="false">
      <c r="A976" s="7"/>
      <c r="B976" s="16"/>
      <c r="C976" s="22"/>
      <c r="D976" s="22"/>
      <c r="E976" s="22"/>
      <c r="F976" s="22"/>
      <c r="G976" s="22"/>
      <c r="H976" s="22"/>
    </row>
    <row r="977" customFormat="false" ht="15.75" hidden="false" customHeight="false" outlineLevel="0" collapsed="false">
      <c r="A977" s="7"/>
      <c r="B977" s="16"/>
      <c r="C977" s="22"/>
      <c r="D977" s="22"/>
      <c r="E977" s="22"/>
      <c r="F977" s="22"/>
      <c r="G977" s="22"/>
      <c r="H977" s="22"/>
    </row>
    <row r="978" customFormat="false" ht="15.75" hidden="false" customHeight="false" outlineLevel="0" collapsed="false">
      <c r="A978" s="7"/>
      <c r="B978" s="16"/>
      <c r="C978" s="22"/>
      <c r="D978" s="22"/>
      <c r="E978" s="22"/>
      <c r="F978" s="22"/>
      <c r="G978" s="22"/>
      <c r="H978" s="22"/>
    </row>
    <row r="979" customFormat="false" ht="15.75" hidden="false" customHeight="false" outlineLevel="0" collapsed="false">
      <c r="A979" s="7"/>
      <c r="B979" s="16"/>
      <c r="C979" s="22"/>
      <c r="D979" s="22"/>
      <c r="E979" s="22"/>
      <c r="F979" s="22"/>
      <c r="G979" s="22"/>
      <c r="H979" s="22"/>
    </row>
    <row r="980" customFormat="false" ht="15.75" hidden="false" customHeight="false" outlineLevel="0" collapsed="false">
      <c r="A980" s="7"/>
      <c r="B980" s="16"/>
      <c r="C980" s="22"/>
      <c r="D980" s="22"/>
      <c r="E980" s="22"/>
      <c r="F980" s="22"/>
      <c r="G980" s="22"/>
      <c r="H980" s="22"/>
    </row>
    <row r="981" customFormat="false" ht="15.75" hidden="false" customHeight="false" outlineLevel="0" collapsed="false">
      <c r="A981" s="7"/>
      <c r="B981" s="16"/>
      <c r="C981" s="22"/>
      <c r="D981" s="22"/>
      <c r="E981" s="22"/>
      <c r="F981" s="22"/>
      <c r="G981" s="22"/>
      <c r="H981" s="22"/>
    </row>
    <row r="982" customFormat="false" ht="15.75" hidden="false" customHeight="false" outlineLevel="0" collapsed="false">
      <c r="A982" s="7"/>
      <c r="B982" s="16"/>
      <c r="C982" s="22"/>
      <c r="D982" s="22"/>
      <c r="E982" s="22"/>
      <c r="F982" s="22"/>
      <c r="G982" s="22"/>
      <c r="H982" s="22"/>
    </row>
    <row r="983" customFormat="false" ht="15.75" hidden="false" customHeight="false" outlineLevel="0" collapsed="false">
      <c r="A983" s="7"/>
      <c r="B983" s="16"/>
      <c r="C983" s="22"/>
      <c r="D983" s="22"/>
      <c r="E983" s="22"/>
      <c r="F983" s="22"/>
      <c r="G983" s="22"/>
      <c r="H983" s="22"/>
    </row>
    <row r="984" customFormat="false" ht="15.75" hidden="false" customHeight="false" outlineLevel="0" collapsed="false">
      <c r="A984" s="7"/>
      <c r="B984" s="16"/>
      <c r="C984" s="22"/>
      <c r="D984" s="22"/>
      <c r="E984" s="22"/>
      <c r="F984" s="22"/>
      <c r="G984" s="22"/>
      <c r="H984" s="22"/>
    </row>
    <row r="985" customFormat="false" ht="15.75" hidden="false" customHeight="false" outlineLevel="0" collapsed="false">
      <c r="A985" s="7"/>
      <c r="B985" s="16"/>
      <c r="C985" s="22"/>
      <c r="D985" s="22"/>
      <c r="E985" s="22"/>
      <c r="F985" s="22"/>
      <c r="G985" s="22"/>
      <c r="H985" s="22"/>
    </row>
    <row r="986" customFormat="false" ht="15.75" hidden="false" customHeight="false" outlineLevel="0" collapsed="false">
      <c r="A986" s="7"/>
      <c r="B986" s="16"/>
      <c r="C986" s="22"/>
      <c r="D986" s="22"/>
      <c r="E986" s="22"/>
      <c r="F986" s="22"/>
      <c r="G986" s="22"/>
      <c r="H986" s="22"/>
    </row>
    <row r="987" customFormat="false" ht="15.75" hidden="false" customHeight="false" outlineLevel="0" collapsed="false">
      <c r="A987" s="7"/>
      <c r="B987" s="16"/>
      <c r="C987" s="22"/>
      <c r="D987" s="22"/>
      <c r="E987" s="22"/>
      <c r="F987" s="22"/>
      <c r="G987" s="22"/>
      <c r="H987" s="22"/>
    </row>
    <row r="988" customFormat="false" ht="15.75" hidden="false" customHeight="false" outlineLevel="0" collapsed="false">
      <c r="A988" s="7"/>
      <c r="B988" s="16"/>
      <c r="C988" s="22"/>
      <c r="D988" s="22"/>
      <c r="E988" s="22"/>
      <c r="F988" s="22"/>
      <c r="G988" s="22"/>
      <c r="H988" s="22"/>
    </row>
    <row r="989" customFormat="false" ht="15.75" hidden="false" customHeight="false" outlineLevel="0" collapsed="false">
      <c r="A989" s="7"/>
      <c r="B989" s="16"/>
      <c r="C989" s="22"/>
      <c r="D989" s="22"/>
      <c r="E989" s="22"/>
      <c r="F989" s="22"/>
      <c r="G989" s="22"/>
      <c r="H989" s="22"/>
    </row>
    <row r="990" customFormat="false" ht="15.75" hidden="false" customHeight="false" outlineLevel="0" collapsed="false">
      <c r="A990" s="7"/>
      <c r="B990" s="16"/>
      <c r="C990" s="22"/>
      <c r="D990" s="22"/>
      <c r="E990" s="22"/>
      <c r="F990" s="22"/>
      <c r="G990" s="22"/>
      <c r="H990" s="22"/>
    </row>
    <row r="991" customFormat="false" ht="15.75" hidden="false" customHeight="false" outlineLevel="0" collapsed="false">
      <c r="A991" s="7"/>
      <c r="B991" s="16"/>
      <c r="C991" s="22"/>
      <c r="D991" s="22"/>
      <c r="E991" s="22"/>
      <c r="F991" s="22"/>
      <c r="G991" s="22"/>
      <c r="H991" s="22"/>
    </row>
    <row r="992" customFormat="false" ht="15.75" hidden="false" customHeight="false" outlineLevel="0" collapsed="false">
      <c r="A992" s="7"/>
      <c r="B992" s="16"/>
      <c r="C992" s="22"/>
      <c r="D992" s="22"/>
      <c r="E992" s="22"/>
      <c r="F992" s="22"/>
      <c r="G992" s="22"/>
      <c r="H992" s="22"/>
    </row>
    <row r="993" customFormat="false" ht="15.75" hidden="false" customHeight="false" outlineLevel="0" collapsed="false">
      <c r="A993" s="7"/>
      <c r="B993" s="16"/>
      <c r="C993" s="22"/>
      <c r="D993" s="22"/>
      <c r="E993" s="22"/>
      <c r="F993" s="22"/>
      <c r="G993" s="22"/>
      <c r="H993" s="22"/>
    </row>
    <row r="994" customFormat="false" ht="15.75" hidden="false" customHeight="false" outlineLevel="0" collapsed="false">
      <c r="A994" s="7"/>
      <c r="B994" s="16"/>
      <c r="C994" s="22"/>
      <c r="D994" s="22"/>
      <c r="E994" s="22"/>
      <c r="F994" s="22"/>
      <c r="G994" s="22"/>
      <c r="H994" s="22"/>
    </row>
    <row r="995" customFormat="false" ht="15.75" hidden="false" customHeight="false" outlineLevel="0" collapsed="false">
      <c r="A995" s="7"/>
      <c r="B995" s="16"/>
      <c r="C995" s="22"/>
      <c r="D995" s="22"/>
      <c r="E995" s="22"/>
      <c r="F995" s="22"/>
      <c r="G995" s="22"/>
      <c r="H995" s="22"/>
    </row>
    <row r="996" customFormat="false" ht="15.75" hidden="false" customHeight="false" outlineLevel="0" collapsed="false">
      <c r="A996" s="7"/>
      <c r="B996" s="16"/>
      <c r="C996" s="22"/>
      <c r="D996" s="22"/>
      <c r="E996" s="22"/>
      <c r="F996" s="22"/>
      <c r="G996" s="22"/>
      <c r="H996" s="22"/>
    </row>
    <row r="997" customFormat="false" ht="15.75" hidden="false" customHeight="false" outlineLevel="0" collapsed="false">
      <c r="A997" s="7"/>
      <c r="B997" s="16"/>
      <c r="C997" s="22"/>
      <c r="D997" s="22"/>
      <c r="E997" s="22"/>
      <c r="F997" s="22"/>
      <c r="G997" s="22"/>
      <c r="H997" s="22"/>
    </row>
    <row r="998" customFormat="false" ht="15.75" hidden="false" customHeight="false" outlineLevel="0" collapsed="false">
      <c r="A998" s="7"/>
      <c r="B998" s="16"/>
      <c r="C998" s="22"/>
      <c r="D998" s="22"/>
      <c r="E998" s="22"/>
      <c r="F998" s="22"/>
      <c r="G998" s="22"/>
      <c r="H998" s="22"/>
    </row>
    <row r="999" customFormat="false" ht="15.75" hidden="false" customHeight="false" outlineLevel="0" collapsed="false">
      <c r="A999" s="7"/>
      <c r="B999" s="16"/>
      <c r="C999" s="22"/>
      <c r="D999" s="22"/>
      <c r="E999" s="22"/>
      <c r="F999" s="22"/>
      <c r="G999" s="22"/>
      <c r="H999" s="22"/>
    </row>
    <row r="1000" customFormat="false" ht="15.75" hidden="false" customHeight="false" outlineLevel="0" collapsed="false">
      <c r="A1000" s="7"/>
      <c r="B1000" s="16"/>
      <c r="C1000" s="22"/>
      <c r="D1000" s="22"/>
      <c r="E1000" s="22"/>
      <c r="F1000" s="22"/>
      <c r="G1000" s="22"/>
      <c r="H1000" s="22"/>
    </row>
    <row r="1001" customFormat="false" ht="15.75" hidden="false" customHeight="false" outlineLevel="0" collapsed="false">
      <c r="A1001" s="7"/>
      <c r="B1001" s="16"/>
      <c r="C1001" s="22"/>
      <c r="D1001" s="22"/>
      <c r="E1001" s="22"/>
      <c r="F1001" s="22"/>
      <c r="G1001" s="22"/>
      <c r="H1001" s="22"/>
    </row>
    <row r="1002" customFormat="false" ht="15.75" hidden="false" customHeight="false" outlineLevel="0" collapsed="false">
      <c r="A1002" s="7"/>
      <c r="B1002" s="16"/>
      <c r="C1002" s="22"/>
      <c r="D1002" s="22"/>
      <c r="E1002" s="22"/>
      <c r="F1002" s="22"/>
      <c r="G1002" s="22"/>
      <c r="H1002" s="22"/>
    </row>
    <row r="1003" customFormat="false" ht="15.75" hidden="false" customHeight="false" outlineLevel="0" collapsed="false">
      <c r="A1003" s="7"/>
      <c r="B1003" s="16"/>
      <c r="C1003" s="22"/>
      <c r="D1003" s="22"/>
      <c r="E1003" s="22"/>
      <c r="F1003" s="22"/>
      <c r="G1003" s="22"/>
      <c r="H1003" s="22"/>
    </row>
    <row r="1004" customFormat="false" ht="15.75" hidden="false" customHeight="false" outlineLevel="0" collapsed="false">
      <c r="A1004" s="7"/>
      <c r="B1004" s="16"/>
      <c r="C1004" s="22"/>
      <c r="D1004" s="22"/>
      <c r="E1004" s="22"/>
      <c r="F1004" s="22"/>
      <c r="G1004" s="22"/>
      <c r="H1004" s="22"/>
    </row>
    <row r="1005" customFormat="false" ht="15.75" hidden="false" customHeight="false" outlineLevel="0" collapsed="false">
      <c r="A1005" s="7"/>
      <c r="B1005" s="16"/>
      <c r="C1005" s="22"/>
      <c r="D1005" s="22"/>
      <c r="E1005" s="22"/>
      <c r="F1005" s="22"/>
      <c r="G1005" s="22"/>
      <c r="H1005" s="22"/>
    </row>
    <row r="1006" customFormat="false" ht="15.75" hidden="false" customHeight="false" outlineLevel="0" collapsed="false">
      <c r="A1006" s="7"/>
      <c r="B1006" s="16"/>
      <c r="C1006" s="22"/>
      <c r="D1006" s="22"/>
      <c r="E1006" s="22"/>
      <c r="F1006" s="22"/>
      <c r="G1006" s="22"/>
      <c r="H1006" s="22"/>
    </row>
    <row r="1007" customFormat="false" ht="15.75" hidden="false" customHeight="false" outlineLevel="0" collapsed="false">
      <c r="A1007" s="7"/>
      <c r="B1007" s="16"/>
      <c r="C1007" s="22"/>
      <c r="D1007" s="22"/>
      <c r="E1007" s="22"/>
      <c r="F1007" s="22"/>
      <c r="G1007" s="22"/>
      <c r="H1007" s="22"/>
    </row>
    <row r="1008" customFormat="false" ht="15.75" hidden="false" customHeight="false" outlineLevel="0" collapsed="false">
      <c r="A1008" s="7"/>
      <c r="B1008" s="16"/>
      <c r="C1008" s="22"/>
      <c r="D1008" s="22"/>
      <c r="E1008" s="22"/>
      <c r="F1008" s="22"/>
      <c r="G1008" s="22"/>
      <c r="H1008" s="22"/>
    </row>
    <row r="1009" customFormat="false" ht="15.75" hidden="false" customHeight="false" outlineLevel="0" collapsed="false">
      <c r="A1009" s="7"/>
      <c r="B1009" s="16"/>
      <c r="C1009" s="22"/>
      <c r="D1009" s="22"/>
      <c r="E1009" s="22"/>
      <c r="F1009" s="22"/>
      <c r="G1009" s="22"/>
      <c r="H1009" s="22"/>
    </row>
    <row r="1010" customFormat="false" ht="15.75" hidden="false" customHeight="false" outlineLevel="0" collapsed="false">
      <c r="A1010" s="7"/>
      <c r="B1010" s="16"/>
      <c r="C1010" s="22"/>
      <c r="D1010" s="22"/>
      <c r="E1010" s="22"/>
      <c r="F1010" s="22"/>
      <c r="G1010" s="22"/>
      <c r="H1010" s="22"/>
    </row>
    <row r="1011" customFormat="false" ht="15.75" hidden="false" customHeight="false" outlineLevel="0" collapsed="false">
      <c r="A1011" s="7"/>
      <c r="B1011" s="16"/>
      <c r="C1011" s="22"/>
      <c r="D1011" s="22"/>
      <c r="E1011" s="22"/>
      <c r="F1011" s="22"/>
      <c r="G1011" s="22"/>
      <c r="H1011" s="22"/>
    </row>
    <row r="1012" customFormat="false" ht="15.75" hidden="false" customHeight="false" outlineLevel="0" collapsed="false">
      <c r="A1012" s="7"/>
      <c r="B1012" s="16"/>
      <c r="C1012" s="22"/>
      <c r="D1012" s="22"/>
      <c r="E1012" s="22"/>
      <c r="F1012" s="22"/>
      <c r="G1012" s="22"/>
      <c r="H1012" s="22"/>
    </row>
    <row r="1013" customFormat="false" ht="15.75" hidden="false" customHeight="false" outlineLevel="0" collapsed="false">
      <c r="A1013" s="7"/>
      <c r="B1013" s="16"/>
      <c r="C1013" s="22"/>
      <c r="D1013" s="22"/>
      <c r="E1013" s="22"/>
      <c r="F1013" s="22"/>
      <c r="G1013" s="22"/>
      <c r="H1013" s="22"/>
    </row>
    <row r="1014" customFormat="false" ht="15.75" hidden="false" customHeight="false" outlineLevel="0" collapsed="false">
      <c r="A1014" s="7"/>
      <c r="B1014" s="16"/>
      <c r="C1014" s="22"/>
      <c r="D1014" s="22"/>
      <c r="E1014" s="22"/>
      <c r="F1014" s="22"/>
      <c r="G1014" s="22"/>
      <c r="H1014" s="22"/>
    </row>
    <row r="1015" customFormat="false" ht="15.75" hidden="false" customHeight="false" outlineLevel="0" collapsed="false">
      <c r="A1015" s="7"/>
      <c r="B1015" s="16"/>
      <c r="C1015" s="22"/>
      <c r="D1015" s="22"/>
      <c r="E1015" s="22"/>
      <c r="F1015" s="22"/>
      <c r="G1015" s="22"/>
      <c r="H1015" s="22"/>
    </row>
    <row r="1016" customFormat="false" ht="15.75" hidden="false" customHeight="false" outlineLevel="0" collapsed="false">
      <c r="A1016" s="7"/>
      <c r="B1016" s="16"/>
      <c r="C1016" s="22"/>
      <c r="D1016" s="22"/>
      <c r="E1016" s="22"/>
      <c r="F1016" s="22"/>
      <c r="G1016" s="22"/>
      <c r="H1016" s="22"/>
    </row>
    <row r="1017" customFormat="false" ht="15.75" hidden="false" customHeight="false" outlineLevel="0" collapsed="false">
      <c r="A1017" s="7"/>
      <c r="B1017" s="16"/>
      <c r="C1017" s="22"/>
      <c r="D1017" s="22"/>
      <c r="E1017" s="22"/>
      <c r="F1017" s="22"/>
      <c r="G1017" s="22"/>
      <c r="H1017" s="22"/>
    </row>
    <row r="1018" customFormat="false" ht="15.75" hidden="false" customHeight="false" outlineLevel="0" collapsed="false">
      <c r="A1018" s="7"/>
      <c r="B1018" s="16"/>
      <c r="C1018" s="22"/>
      <c r="D1018" s="22"/>
      <c r="E1018" s="22"/>
      <c r="F1018" s="22"/>
      <c r="G1018" s="22"/>
      <c r="H1018" s="22"/>
    </row>
    <row r="1019" customFormat="false" ht="15.75" hidden="false" customHeight="false" outlineLevel="0" collapsed="false">
      <c r="A1019" s="7"/>
      <c r="B1019" s="16"/>
      <c r="C1019" s="22"/>
      <c r="D1019" s="22"/>
      <c r="E1019" s="22"/>
      <c r="F1019" s="22"/>
      <c r="G1019" s="22"/>
      <c r="H1019" s="22"/>
    </row>
    <row r="1020" customFormat="false" ht="15.75" hidden="false" customHeight="false" outlineLevel="0" collapsed="false">
      <c r="A1020" s="7"/>
      <c r="B1020" s="16"/>
      <c r="C1020" s="22"/>
      <c r="D1020" s="22"/>
      <c r="E1020" s="22"/>
      <c r="F1020" s="22"/>
      <c r="G1020" s="22"/>
      <c r="H1020" s="22"/>
    </row>
    <row r="1021" customFormat="false" ht="15.75" hidden="false" customHeight="false" outlineLevel="0" collapsed="false">
      <c r="A1021" s="7"/>
      <c r="B1021" s="16"/>
      <c r="C1021" s="22"/>
      <c r="D1021" s="22"/>
      <c r="E1021" s="22"/>
      <c r="F1021" s="22"/>
      <c r="G1021" s="22"/>
      <c r="H1021" s="22"/>
    </row>
    <row r="1022" customFormat="false" ht="15.75" hidden="false" customHeight="false" outlineLevel="0" collapsed="false">
      <c r="A1022" s="7"/>
      <c r="B1022" s="16"/>
      <c r="C1022" s="22"/>
      <c r="D1022" s="22"/>
      <c r="E1022" s="22"/>
      <c r="F1022" s="22"/>
      <c r="G1022" s="22"/>
      <c r="H1022" s="22"/>
    </row>
    <row r="1023" customFormat="false" ht="15.75" hidden="false" customHeight="false" outlineLevel="0" collapsed="false">
      <c r="A1023" s="7"/>
      <c r="B1023" s="16"/>
      <c r="C1023" s="22"/>
      <c r="D1023" s="22"/>
      <c r="E1023" s="22"/>
      <c r="F1023" s="22"/>
      <c r="G1023" s="22"/>
      <c r="H1023" s="22"/>
    </row>
    <row r="1024" customFormat="false" ht="15.75" hidden="false" customHeight="false" outlineLevel="0" collapsed="false">
      <c r="A1024" s="7"/>
      <c r="B1024" s="16"/>
      <c r="C1024" s="22"/>
      <c r="D1024" s="22"/>
      <c r="E1024" s="22"/>
      <c r="F1024" s="22"/>
      <c r="G1024" s="22"/>
      <c r="H1024" s="22"/>
    </row>
    <row r="1025" customFormat="false" ht="15.75" hidden="false" customHeight="false" outlineLevel="0" collapsed="false">
      <c r="A1025" s="7"/>
      <c r="B1025" s="16"/>
      <c r="C1025" s="22"/>
      <c r="D1025" s="22"/>
      <c r="E1025" s="22"/>
      <c r="F1025" s="22"/>
      <c r="G1025" s="22"/>
      <c r="H1025" s="22"/>
    </row>
    <row r="1026" customFormat="false" ht="15.75" hidden="false" customHeight="false" outlineLevel="0" collapsed="false">
      <c r="A1026" s="7"/>
      <c r="B1026" s="16"/>
      <c r="C1026" s="22"/>
      <c r="D1026" s="22"/>
      <c r="E1026" s="22"/>
      <c r="F1026" s="22"/>
      <c r="G1026" s="22"/>
      <c r="H1026" s="22"/>
    </row>
    <row r="1027" customFormat="false" ht="15.75" hidden="false" customHeight="false" outlineLevel="0" collapsed="false">
      <c r="A1027" s="7"/>
      <c r="B1027" s="16"/>
      <c r="C1027" s="22"/>
      <c r="D1027" s="22"/>
      <c r="E1027" s="22"/>
      <c r="F1027" s="22"/>
      <c r="G1027" s="22"/>
      <c r="H1027" s="22"/>
    </row>
    <row r="1028" customFormat="false" ht="15.75" hidden="false" customHeight="false" outlineLevel="0" collapsed="false">
      <c r="A1028" s="7"/>
      <c r="B1028" s="16"/>
      <c r="C1028" s="22"/>
      <c r="D1028" s="22"/>
      <c r="E1028" s="22"/>
      <c r="F1028" s="22"/>
      <c r="G1028" s="22"/>
      <c r="H1028" s="22"/>
    </row>
    <row r="1029" customFormat="false" ht="15.75" hidden="false" customHeight="false" outlineLevel="0" collapsed="false">
      <c r="A1029" s="7"/>
      <c r="B1029" s="16"/>
      <c r="C1029" s="22"/>
      <c r="D1029" s="22"/>
      <c r="E1029" s="22"/>
      <c r="F1029" s="22"/>
      <c r="G1029" s="22"/>
      <c r="H1029" s="22"/>
    </row>
    <row r="1030" customFormat="false" ht="15.75" hidden="false" customHeight="false" outlineLevel="0" collapsed="false">
      <c r="A1030" s="7"/>
      <c r="B1030" s="16"/>
      <c r="C1030" s="22"/>
      <c r="D1030" s="22"/>
      <c r="E1030" s="22"/>
      <c r="F1030" s="22"/>
      <c r="G1030" s="22"/>
      <c r="H1030" s="22"/>
    </row>
    <row r="1031" customFormat="false" ht="15.75" hidden="false" customHeight="false" outlineLevel="0" collapsed="false">
      <c r="A1031" s="7"/>
      <c r="B1031" s="16"/>
      <c r="C1031" s="22"/>
      <c r="D1031" s="22"/>
      <c r="E1031" s="22"/>
      <c r="F1031" s="22"/>
      <c r="G1031" s="22"/>
      <c r="H1031" s="22"/>
    </row>
    <row r="1032" customFormat="false" ht="15.75" hidden="false" customHeight="false" outlineLevel="0" collapsed="false">
      <c r="A1032" s="7"/>
      <c r="B1032" s="16"/>
      <c r="C1032" s="22"/>
      <c r="D1032" s="22"/>
      <c r="E1032" s="22"/>
      <c r="F1032" s="22"/>
      <c r="G1032" s="22"/>
      <c r="H1032" s="22"/>
    </row>
    <row r="1033" customFormat="false" ht="15.75" hidden="false" customHeight="false" outlineLevel="0" collapsed="false">
      <c r="A1033" s="7"/>
      <c r="B1033" s="16"/>
      <c r="C1033" s="22"/>
      <c r="D1033" s="22"/>
      <c r="E1033" s="22"/>
      <c r="F1033" s="22"/>
      <c r="G1033" s="22"/>
      <c r="H1033" s="22"/>
    </row>
    <row r="1034" customFormat="false" ht="15.75" hidden="false" customHeight="false" outlineLevel="0" collapsed="false">
      <c r="A1034" s="7"/>
      <c r="B1034" s="16"/>
      <c r="C1034" s="22"/>
      <c r="D1034" s="22"/>
      <c r="E1034" s="22"/>
      <c r="F1034" s="22"/>
      <c r="G1034" s="22"/>
      <c r="H1034" s="22"/>
    </row>
    <row r="1035" customFormat="false" ht="15.75" hidden="false" customHeight="false" outlineLevel="0" collapsed="false">
      <c r="A1035" s="7"/>
      <c r="B1035" s="16"/>
      <c r="C1035" s="22"/>
      <c r="D1035" s="22"/>
      <c r="E1035" s="22"/>
      <c r="F1035" s="22"/>
      <c r="G1035" s="22"/>
      <c r="H1035" s="22"/>
    </row>
    <row r="1036" customFormat="false" ht="15.75" hidden="false" customHeight="false" outlineLevel="0" collapsed="false">
      <c r="A1036" s="7"/>
      <c r="B1036" s="16"/>
      <c r="C1036" s="22"/>
      <c r="D1036" s="22"/>
      <c r="E1036" s="22"/>
      <c r="F1036" s="22"/>
      <c r="G1036" s="22"/>
      <c r="H1036" s="22"/>
    </row>
    <row r="1037" customFormat="false" ht="15.75" hidden="false" customHeight="false" outlineLevel="0" collapsed="false">
      <c r="A1037" s="7"/>
      <c r="B1037" s="16"/>
      <c r="C1037" s="22"/>
      <c r="D1037" s="22"/>
      <c r="E1037" s="22"/>
      <c r="F1037" s="22"/>
      <c r="G1037" s="22"/>
      <c r="H1037" s="22"/>
    </row>
    <row r="1038" customFormat="false" ht="15.75" hidden="false" customHeight="false" outlineLevel="0" collapsed="false">
      <c r="A1038" s="7"/>
      <c r="B1038" s="16"/>
      <c r="C1038" s="22"/>
      <c r="D1038" s="22"/>
      <c r="E1038" s="22"/>
      <c r="F1038" s="22"/>
      <c r="G1038" s="22"/>
      <c r="H1038" s="22"/>
    </row>
    <row r="1039" customFormat="false" ht="15.75" hidden="false" customHeight="false" outlineLevel="0" collapsed="false">
      <c r="A1039" s="7"/>
      <c r="B1039" s="16"/>
      <c r="C1039" s="22"/>
      <c r="D1039" s="22"/>
      <c r="E1039" s="22"/>
      <c r="F1039" s="22"/>
      <c r="G1039" s="22"/>
      <c r="H1039" s="22"/>
    </row>
    <row r="1040" customFormat="false" ht="15.75" hidden="false" customHeight="false" outlineLevel="0" collapsed="false">
      <c r="A1040" s="7"/>
      <c r="B1040" s="16"/>
      <c r="C1040" s="22"/>
      <c r="D1040" s="22"/>
      <c r="E1040" s="22"/>
      <c r="F1040" s="22"/>
      <c r="G1040" s="22"/>
      <c r="H1040" s="22"/>
    </row>
    <row r="1041" customFormat="false" ht="15.75" hidden="false" customHeight="false" outlineLevel="0" collapsed="false">
      <c r="A1041" s="7"/>
      <c r="B1041" s="16"/>
      <c r="C1041" s="22"/>
      <c r="D1041" s="22"/>
      <c r="E1041" s="22"/>
      <c r="F1041" s="22"/>
      <c r="G1041" s="22"/>
      <c r="H1041" s="22"/>
    </row>
    <row r="1042" customFormat="false" ht="15.75" hidden="false" customHeight="false" outlineLevel="0" collapsed="false">
      <c r="A1042" s="7"/>
      <c r="B1042" s="16"/>
      <c r="C1042" s="22"/>
      <c r="D1042" s="22"/>
      <c r="E1042" s="22"/>
      <c r="F1042" s="22"/>
      <c r="G1042" s="22"/>
      <c r="H1042" s="22"/>
    </row>
    <row r="1043" customFormat="false" ht="15.75" hidden="false" customHeight="false" outlineLevel="0" collapsed="false">
      <c r="A1043" s="7"/>
      <c r="B1043" s="16"/>
      <c r="C1043" s="22"/>
      <c r="D1043" s="22"/>
      <c r="E1043" s="22"/>
      <c r="F1043" s="22"/>
      <c r="G1043" s="22"/>
      <c r="H1043" s="22"/>
    </row>
    <row r="1044" customFormat="false" ht="15.75" hidden="false" customHeight="false" outlineLevel="0" collapsed="false">
      <c r="A1044" s="7"/>
      <c r="B1044" s="16"/>
      <c r="C1044" s="22"/>
      <c r="D1044" s="22"/>
      <c r="E1044" s="22"/>
      <c r="F1044" s="22"/>
      <c r="G1044" s="22"/>
      <c r="H1044" s="22"/>
    </row>
    <row r="1045" customFormat="false" ht="15.75" hidden="false" customHeight="false" outlineLevel="0" collapsed="false">
      <c r="A1045" s="7"/>
      <c r="B1045" s="16"/>
      <c r="C1045" s="22"/>
      <c r="D1045" s="22"/>
      <c r="E1045" s="22"/>
      <c r="F1045" s="22"/>
      <c r="G1045" s="22"/>
      <c r="H1045" s="22"/>
    </row>
    <row r="1046" customFormat="false" ht="15.75" hidden="false" customHeight="false" outlineLevel="0" collapsed="false">
      <c r="A1046" s="7"/>
      <c r="B1046" s="16"/>
      <c r="C1046" s="22"/>
      <c r="D1046" s="22"/>
      <c r="E1046" s="22"/>
      <c r="F1046" s="22"/>
      <c r="G1046" s="22"/>
      <c r="H1046" s="22"/>
    </row>
    <row r="1047" customFormat="false" ht="15.75" hidden="false" customHeight="false" outlineLevel="0" collapsed="false">
      <c r="A1047" s="7"/>
      <c r="B1047" s="16"/>
      <c r="C1047" s="22"/>
      <c r="D1047" s="22"/>
      <c r="E1047" s="22"/>
      <c r="F1047" s="22"/>
      <c r="G1047" s="22"/>
      <c r="H1047" s="22"/>
    </row>
    <row r="1048" customFormat="false" ht="15.75" hidden="false" customHeight="false" outlineLevel="0" collapsed="false">
      <c r="A1048" s="7"/>
      <c r="B1048" s="16"/>
      <c r="C1048" s="22"/>
      <c r="D1048" s="22"/>
      <c r="E1048" s="22"/>
      <c r="F1048" s="22"/>
      <c r="G1048" s="22"/>
      <c r="H1048" s="22"/>
    </row>
    <row r="1049" customFormat="false" ht="15.75" hidden="false" customHeight="false" outlineLevel="0" collapsed="false">
      <c r="A1049" s="7"/>
      <c r="B1049" s="16"/>
      <c r="C1049" s="22"/>
      <c r="D1049" s="22"/>
      <c r="E1049" s="22"/>
      <c r="F1049" s="22"/>
      <c r="G1049" s="22"/>
      <c r="H1049" s="22"/>
    </row>
    <row r="1050" customFormat="false" ht="15.75" hidden="false" customHeight="false" outlineLevel="0" collapsed="false">
      <c r="A1050" s="7"/>
      <c r="B1050" s="16"/>
      <c r="C1050" s="22"/>
      <c r="D1050" s="22"/>
      <c r="E1050" s="22"/>
      <c r="F1050" s="22"/>
      <c r="G1050" s="22"/>
      <c r="H1050" s="22"/>
    </row>
    <row r="1051" customFormat="false" ht="15.75" hidden="false" customHeight="false" outlineLevel="0" collapsed="false">
      <c r="A1051" s="7"/>
      <c r="B1051" s="16"/>
      <c r="C1051" s="22"/>
      <c r="D1051" s="22"/>
      <c r="E1051" s="22"/>
      <c r="F1051" s="22"/>
      <c r="G1051" s="22"/>
      <c r="H1051" s="22"/>
    </row>
    <row r="1052" customFormat="false" ht="15.75" hidden="false" customHeight="false" outlineLevel="0" collapsed="false">
      <c r="A1052" s="7"/>
      <c r="B1052" s="16"/>
      <c r="C1052" s="22"/>
      <c r="D1052" s="22"/>
      <c r="E1052" s="22"/>
      <c r="F1052" s="22"/>
      <c r="G1052" s="22"/>
      <c r="H1052" s="22"/>
    </row>
    <row r="1053" customFormat="false" ht="15.75" hidden="false" customHeight="false" outlineLevel="0" collapsed="false">
      <c r="A1053" s="7"/>
      <c r="B1053" s="16"/>
      <c r="C1053" s="22"/>
      <c r="D1053" s="22"/>
      <c r="E1053" s="22"/>
      <c r="F1053" s="22"/>
      <c r="G1053" s="22"/>
      <c r="H1053" s="22"/>
    </row>
    <row r="1054" customFormat="false" ht="15.75" hidden="false" customHeight="false" outlineLevel="0" collapsed="false">
      <c r="A1054" s="7"/>
      <c r="B1054" s="16"/>
      <c r="C1054" s="22"/>
      <c r="D1054" s="22"/>
      <c r="E1054" s="22"/>
      <c r="F1054" s="22"/>
      <c r="G1054" s="22"/>
      <c r="H1054" s="22"/>
    </row>
    <row r="1055" customFormat="false" ht="15.75" hidden="false" customHeight="false" outlineLevel="0" collapsed="false">
      <c r="A1055" s="7"/>
      <c r="B1055" s="16"/>
      <c r="C1055" s="22"/>
      <c r="D1055" s="22"/>
      <c r="E1055" s="22"/>
      <c r="F1055" s="22"/>
      <c r="G1055" s="22"/>
      <c r="H1055" s="22"/>
    </row>
    <row r="1056" customFormat="false" ht="15.75" hidden="false" customHeight="false" outlineLevel="0" collapsed="false">
      <c r="A1056" s="7"/>
      <c r="B1056" s="16"/>
      <c r="C1056" s="22"/>
      <c r="D1056" s="22"/>
      <c r="E1056" s="22"/>
      <c r="F1056" s="22"/>
      <c r="G1056" s="22"/>
      <c r="H1056" s="22"/>
    </row>
    <row r="1057" customFormat="false" ht="15.75" hidden="false" customHeight="false" outlineLevel="0" collapsed="false">
      <c r="A1057" s="7"/>
      <c r="B1057" s="16"/>
      <c r="C1057" s="22"/>
      <c r="D1057" s="22"/>
      <c r="E1057" s="22"/>
      <c r="F1057" s="22"/>
      <c r="G1057" s="22"/>
      <c r="H1057" s="22"/>
    </row>
    <row r="1058" customFormat="false" ht="15.75" hidden="false" customHeight="false" outlineLevel="0" collapsed="false">
      <c r="A1058" s="7"/>
      <c r="B1058" s="16"/>
      <c r="C1058" s="22"/>
      <c r="D1058" s="22"/>
      <c r="E1058" s="22"/>
      <c r="F1058" s="22"/>
      <c r="G1058" s="22"/>
      <c r="H1058" s="22"/>
    </row>
    <row r="1059" customFormat="false" ht="15.75" hidden="false" customHeight="false" outlineLevel="0" collapsed="false">
      <c r="A1059" s="7"/>
      <c r="B1059" s="16"/>
      <c r="C1059" s="22"/>
      <c r="D1059" s="22"/>
      <c r="E1059" s="22"/>
      <c r="F1059" s="22"/>
      <c r="G1059" s="22"/>
      <c r="H1059" s="22"/>
    </row>
    <row r="1060" customFormat="false" ht="15.75" hidden="false" customHeight="false" outlineLevel="0" collapsed="false">
      <c r="A1060" s="7"/>
      <c r="B1060" s="16"/>
      <c r="C1060" s="22"/>
      <c r="D1060" s="22"/>
      <c r="E1060" s="22"/>
      <c r="F1060" s="22"/>
      <c r="G1060" s="22"/>
      <c r="H1060" s="22"/>
    </row>
    <row r="1061" customFormat="false" ht="15.75" hidden="false" customHeight="false" outlineLevel="0" collapsed="false">
      <c r="A1061" s="7"/>
      <c r="B1061" s="16"/>
      <c r="C1061" s="22"/>
      <c r="D1061" s="22"/>
      <c r="E1061" s="22"/>
      <c r="F1061" s="22"/>
      <c r="G1061" s="22"/>
      <c r="H1061" s="22"/>
    </row>
    <row r="1062" customFormat="false" ht="15.75" hidden="false" customHeight="false" outlineLevel="0" collapsed="false">
      <c r="A1062" s="7"/>
      <c r="B1062" s="16"/>
      <c r="C1062" s="22"/>
      <c r="D1062" s="22"/>
      <c r="E1062" s="22"/>
      <c r="F1062" s="22"/>
      <c r="G1062" s="22"/>
      <c r="H1062" s="22"/>
    </row>
    <row r="1063" customFormat="false" ht="15.75" hidden="false" customHeight="false" outlineLevel="0" collapsed="false">
      <c r="A1063" s="7"/>
      <c r="B1063" s="16"/>
      <c r="C1063" s="22"/>
      <c r="D1063" s="22"/>
      <c r="E1063" s="22"/>
      <c r="F1063" s="22"/>
      <c r="G1063" s="22"/>
      <c r="H1063" s="22"/>
    </row>
    <row r="1064" customFormat="false" ht="15.75" hidden="false" customHeight="false" outlineLevel="0" collapsed="false">
      <c r="A1064" s="7"/>
      <c r="B1064" s="16"/>
      <c r="C1064" s="22"/>
      <c r="D1064" s="22"/>
      <c r="E1064" s="22"/>
      <c r="F1064" s="22"/>
      <c r="G1064" s="22"/>
      <c r="H1064" s="22"/>
    </row>
    <row r="1065" customFormat="false" ht="15.75" hidden="false" customHeight="false" outlineLevel="0" collapsed="false">
      <c r="A1065" s="7"/>
      <c r="B1065" s="16"/>
      <c r="C1065" s="22"/>
      <c r="D1065" s="22"/>
      <c r="E1065" s="22"/>
      <c r="F1065" s="22"/>
      <c r="G1065" s="22"/>
      <c r="H1065" s="22"/>
    </row>
    <row r="1066" customFormat="false" ht="15.75" hidden="false" customHeight="false" outlineLevel="0" collapsed="false">
      <c r="A1066" s="7"/>
      <c r="B1066" s="16"/>
      <c r="C1066" s="22"/>
      <c r="D1066" s="22"/>
      <c r="E1066" s="22"/>
      <c r="F1066" s="22"/>
      <c r="G1066" s="22"/>
      <c r="H1066" s="22"/>
    </row>
    <row r="1067" customFormat="false" ht="15.75" hidden="false" customHeight="false" outlineLevel="0" collapsed="false">
      <c r="A1067" s="7"/>
      <c r="B1067" s="16"/>
      <c r="C1067" s="22"/>
      <c r="D1067" s="22"/>
      <c r="E1067" s="22"/>
      <c r="F1067" s="22"/>
      <c r="G1067" s="22"/>
      <c r="H1067" s="22"/>
    </row>
    <row r="1068" customFormat="false" ht="15.75" hidden="false" customHeight="false" outlineLevel="0" collapsed="false">
      <c r="A1068" s="7"/>
      <c r="B1068" s="16"/>
      <c r="C1068" s="22"/>
      <c r="D1068" s="22"/>
      <c r="E1068" s="22"/>
      <c r="F1068" s="22"/>
      <c r="G1068" s="22"/>
      <c r="H1068" s="22"/>
    </row>
    <row r="1069" customFormat="false" ht="15.75" hidden="false" customHeight="false" outlineLevel="0" collapsed="false">
      <c r="A1069" s="7"/>
      <c r="B1069" s="16"/>
      <c r="C1069" s="22"/>
      <c r="D1069" s="22"/>
      <c r="E1069" s="22"/>
      <c r="F1069" s="22"/>
      <c r="G1069" s="22"/>
      <c r="H1069" s="22"/>
    </row>
    <row r="1070" customFormat="false" ht="15.75" hidden="false" customHeight="false" outlineLevel="0" collapsed="false">
      <c r="A1070" s="7"/>
      <c r="B1070" s="16"/>
      <c r="C1070" s="22"/>
      <c r="D1070" s="22"/>
      <c r="E1070" s="22"/>
      <c r="F1070" s="22"/>
      <c r="G1070" s="22"/>
      <c r="H1070" s="22"/>
    </row>
    <row r="1071" customFormat="false" ht="15.75" hidden="false" customHeight="false" outlineLevel="0" collapsed="false">
      <c r="A1071" s="7"/>
      <c r="B1071" s="16"/>
      <c r="C1071" s="22"/>
      <c r="D1071" s="22"/>
      <c r="E1071" s="22"/>
      <c r="F1071" s="22"/>
      <c r="G1071" s="22"/>
      <c r="H1071" s="22"/>
    </row>
    <row r="1072" customFormat="false" ht="15.75" hidden="false" customHeight="false" outlineLevel="0" collapsed="false">
      <c r="A1072" s="7"/>
      <c r="B1072" s="16"/>
      <c r="C1072" s="22"/>
      <c r="D1072" s="22"/>
      <c r="E1072" s="22"/>
      <c r="F1072" s="22"/>
      <c r="G1072" s="22"/>
      <c r="H1072" s="22"/>
    </row>
    <row r="1073" customFormat="false" ht="15.75" hidden="false" customHeight="false" outlineLevel="0" collapsed="false">
      <c r="A1073" s="7"/>
      <c r="B1073" s="16"/>
      <c r="C1073" s="22"/>
      <c r="D1073" s="22"/>
      <c r="E1073" s="22"/>
      <c r="F1073" s="22"/>
      <c r="G1073" s="22"/>
      <c r="H1073" s="22"/>
    </row>
    <row r="1074" customFormat="false" ht="15.75" hidden="false" customHeight="false" outlineLevel="0" collapsed="false">
      <c r="A1074" s="7"/>
      <c r="B1074" s="16"/>
      <c r="C1074" s="22"/>
      <c r="D1074" s="22"/>
      <c r="E1074" s="22"/>
      <c r="F1074" s="22"/>
      <c r="G1074" s="22"/>
      <c r="H1074" s="22"/>
    </row>
    <row r="1075" customFormat="false" ht="15.75" hidden="false" customHeight="false" outlineLevel="0" collapsed="false">
      <c r="A1075" s="7"/>
      <c r="B1075" s="16"/>
      <c r="C1075" s="22"/>
      <c r="D1075" s="22"/>
      <c r="E1075" s="22"/>
      <c r="F1075" s="22"/>
      <c r="G1075" s="22"/>
      <c r="H1075" s="22"/>
    </row>
    <row r="1076" customFormat="false" ht="15.75" hidden="false" customHeight="false" outlineLevel="0" collapsed="false">
      <c r="A1076" s="7"/>
      <c r="B1076" s="16"/>
      <c r="C1076" s="22"/>
      <c r="D1076" s="22"/>
      <c r="E1076" s="22"/>
      <c r="F1076" s="22"/>
      <c r="G1076" s="22"/>
      <c r="H1076" s="22"/>
    </row>
    <row r="1077" customFormat="false" ht="15.75" hidden="false" customHeight="false" outlineLevel="0" collapsed="false">
      <c r="A1077" s="7"/>
      <c r="B1077" s="16"/>
      <c r="C1077" s="22"/>
      <c r="D1077" s="22"/>
      <c r="E1077" s="22"/>
      <c r="F1077" s="22"/>
      <c r="G1077" s="22"/>
      <c r="H1077" s="22"/>
    </row>
    <row r="1078" customFormat="false" ht="15.75" hidden="false" customHeight="false" outlineLevel="0" collapsed="false">
      <c r="A1078" s="7"/>
      <c r="B1078" s="16"/>
      <c r="C1078" s="22"/>
      <c r="D1078" s="22"/>
      <c r="E1078" s="22"/>
      <c r="F1078" s="22"/>
      <c r="G1078" s="22"/>
      <c r="H1078" s="22"/>
    </row>
    <row r="1079" customFormat="false" ht="15.75" hidden="false" customHeight="false" outlineLevel="0" collapsed="false">
      <c r="A1079" s="7"/>
      <c r="B1079" s="16"/>
      <c r="C1079" s="22"/>
      <c r="D1079" s="22"/>
      <c r="E1079" s="22"/>
      <c r="F1079" s="22"/>
      <c r="G1079" s="22"/>
      <c r="H1079" s="22"/>
    </row>
    <row r="1080" customFormat="false" ht="15.75" hidden="false" customHeight="false" outlineLevel="0" collapsed="false">
      <c r="A1080" s="7"/>
      <c r="B1080" s="16"/>
      <c r="C1080" s="22"/>
      <c r="D1080" s="22"/>
      <c r="E1080" s="22"/>
      <c r="F1080" s="22"/>
      <c r="G1080" s="22"/>
      <c r="H1080" s="22"/>
    </row>
    <row r="1081" customFormat="false" ht="15.75" hidden="false" customHeight="false" outlineLevel="0" collapsed="false">
      <c r="A1081" s="7"/>
      <c r="B1081" s="16"/>
      <c r="C1081" s="22"/>
      <c r="D1081" s="22"/>
      <c r="E1081" s="22"/>
      <c r="F1081" s="22"/>
      <c r="G1081" s="22"/>
      <c r="H1081" s="22"/>
    </row>
    <row r="1082" customFormat="false" ht="15.75" hidden="false" customHeight="false" outlineLevel="0" collapsed="false">
      <c r="A1082" s="7"/>
      <c r="B1082" s="16"/>
      <c r="C1082" s="22"/>
      <c r="D1082" s="22"/>
      <c r="E1082" s="22"/>
      <c r="F1082" s="22"/>
      <c r="G1082" s="22"/>
      <c r="H1082" s="22"/>
    </row>
    <row r="1083" customFormat="false" ht="15.75" hidden="false" customHeight="false" outlineLevel="0" collapsed="false">
      <c r="A1083" s="7"/>
      <c r="B1083" s="16"/>
      <c r="C1083" s="22"/>
      <c r="D1083" s="22"/>
      <c r="E1083" s="22"/>
      <c r="F1083" s="22"/>
      <c r="G1083" s="22"/>
      <c r="H1083" s="22"/>
    </row>
    <row r="1084" customFormat="false" ht="15.75" hidden="false" customHeight="false" outlineLevel="0" collapsed="false">
      <c r="A1084" s="7"/>
      <c r="B1084" s="16"/>
      <c r="C1084" s="22"/>
      <c r="D1084" s="22"/>
      <c r="E1084" s="22"/>
      <c r="F1084" s="22"/>
      <c r="G1084" s="22"/>
      <c r="H1084" s="22"/>
    </row>
    <row r="1085" customFormat="false" ht="15.75" hidden="false" customHeight="false" outlineLevel="0" collapsed="false">
      <c r="A1085" s="7"/>
      <c r="B1085" s="16"/>
      <c r="C1085" s="22"/>
      <c r="D1085" s="22"/>
      <c r="E1085" s="22"/>
      <c r="F1085" s="22"/>
      <c r="G1085" s="22"/>
      <c r="H1085" s="22"/>
    </row>
    <row r="1086" customFormat="false" ht="15.75" hidden="false" customHeight="false" outlineLevel="0" collapsed="false">
      <c r="A1086" s="7"/>
      <c r="B1086" s="16"/>
      <c r="C1086" s="22"/>
      <c r="D1086" s="22"/>
      <c r="E1086" s="22"/>
      <c r="F1086" s="22"/>
      <c r="G1086" s="22"/>
      <c r="H1086" s="22"/>
    </row>
    <row r="1087" customFormat="false" ht="15.75" hidden="false" customHeight="false" outlineLevel="0" collapsed="false">
      <c r="A1087" s="7"/>
      <c r="B1087" s="16"/>
      <c r="C1087" s="22"/>
      <c r="D1087" s="22"/>
      <c r="E1087" s="22"/>
      <c r="F1087" s="22"/>
      <c r="G1087" s="22"/>
      <c r="H1087" s="22"/>
    </row>
    <row r="1088" customFormat="false" ht="15.75" hidden="false" customHeight="false" outlineLevel="0" collapsed="false">
      <c r="A1088" s="7"/>
      <c r="B1088" s="16"/>
      <c r="C1088" s="22"/>
      <c r="D1088" s="22"/>
      <c r="E1088" s="22"/>
      <c r="F1088" s="22"/>
      <c r="G1088" s="22"/>
      <c r="H1088" s="22"/>
    </row>
    <row r="1089" customFormat="false" ht="15.75" hidden="false" customHeight="false" outlineLevel="0" collapsed="false">
      <c r="A1089" s="7"/>
      <c r="B1089" s="16"/>
      <c r="C1089" s="22"/>
      <c r="D1089" s="22"/>
      <c r="E1089" s="22"/>
      <c r="F1089" s="22"/>
      <c r="G1089" s="22"/>
      <c r="H1089" s="22"/>
    </row>
    <row r="1090" customFormat="false" ht="15.75" hidden="false" customHeight="false" outlineLevel="0" collapsed="false">
      <c r="A1090" s="7"/>
      <c r="B1090" s="16"/>
      <c r="C1090" s="22"/>
      <c r="D1090" s="22"/>
      <c r="E1090" s="22"/>
      <c r="F1090" s="22"/>
      <c r="G1090" s="22"/>
      <c r="H1090" s="22"/>
    </row>
    <row r="1091" customFormat="false" ht="15.75" hidden="false" customHeight="false" outlineLevel="0" collapsed="false">
      <c r="A1091" s="7"/>
      <c r="B1091" s="16"/>
      <c r="C1091" s="22"/>
      <c r="D1091" s="22"/>
      <c r="E1091" s="22"/>
      <c r="F1091" s="22"/>
      <c r="G1091" s="22"/>
      <c r="H1091" s="22"/>
    </row>
    <row r="1092" customFormat="false" ht="15.75" hidden="false" customHeight="false" outlineLevel="0" collapsed="false">
      <c r="A1092" s="7"/>
      <c r="B1092" s="16"/>
      <c r="C1092" s="22"/>
      <c r="D1092" s="22"/>
      <c r="E1092" s="22"/>
      <c r="F1092" s="22"/>
      <c r="G1092" s="22"/>
      <c r="H1092" s="22"/>
    </row>
    <row r="1093" customFormat="false" ht="15.75" hidden="false" customHeight="false" outlineLevel="0" collapsed="false">
      <c r="A1093" s="7"/>
      <c r="B1093" s="16"/>
      <c r="C1093" s="22"/>
      <c r="D1093" s="22"/>
      <c r="E1093" s="22"/>
      <c r="F1093" s="22"/>
      <c r="G1093" s="22"/>
      <c r="H1093" s="22"/>
    </row>
    <row r="1094" customFormat="false" ht="15.75" hidden="false" customHeight="false" outlineLevel="0" collapsed="false">
      <c r="A1094" s="7"/>
      <c r="B1094" s="16"/>
      <c r="C1094" s="22"/>
      <c r="D1094" s="22"/>
      <c r="E1094" s="22"/>
      <c r="F1094" s="22"/>
      <c r="G1094" s="22"/>
      <c r="H1094" s="22"/>
    </row>
    <row r="1095" customFormat="false" ht="15.75" hidden="false" customHeight="false" outlineLevel="0" collapsed="false">
      <c r="A1095" s="7"/>
      <c r="B1095" s="16"/>
      <c r="C1095" s="22"/>
      <c r="D1095" s="22"/>
      <c r="E1095" s="22"/>
      <c r="F1095" s="22"/>
      <c r="G1095" s="22"/>
      <c r="H1095" s="22"/>
    </row>
    <row r="1096" customFormat="false" ht="15.75" hidden="false" customHeight="false" outlineLevel="0" collapsed="false">
      <c r="A1096" s="7"/>
      <c r="B1096" s="16"/>
      <c r="C1096" s="22"/>
      <c r="D1096" s="22"/>
      <c r="E1096" s="22"/>
      <c r="F1096" s="22"/>
      <c r="G1096" s="22"/>
      <c r="H1096" s="22"/>
    </row>
    <row r="1097" customFormat="false" ht="15.75" hidden="false" customHeight="false" outlineLevel="0" collapsed="false">
      <c r="A1097" s="7"/>
      <c r="B1097" s="16"/>
      <c r="C1097" s="22"/>
      <c r="D1097" s="22"/>
      <c r="E1097" s="22"/>
      <c r="F1097" s="22"/>
      <c r="G1097" s="22"/>
      <c r="H1097" s="22"/>
    </row>
    <row r="1098" customFormat="false" ht="15.75" hidden="false" customHeight="false" outlineLevel="0" collapsed="false">
      <c r="A1098" s="7"/>
      <c r="B1098" s="16"/>
      <c r="C1098" s="22"/>
      <c r="D1098" s="22"/>
      <c r="E1098" s="22"/>
      <c r="F1098" s="22"/>
      <c r="G1098" s="22"/>
      <c r="H1098" s="22"/>
    </row>
    <row r="1099" customFormat="false" ht="15.75" hidden="false" customHeight="false" outlineLevel="0" collapsed="false">
      <c r="A1099" s="7"/>
      <c r="B1099" s="16"/>
      <c r="C1099" s="22"/>
      <c r="D1099" s="22"/>
      <c r="E1099" s="22"/>
      <c r="F1099" s="22"/>
      <c r="G1099" s="22"/>
      <c r="H1099" s="22"/>
    </row>
    <row r="1100" customFormat="false" ht="15.75" hidden="false" customHeight="false" outlineLevel="0" collapsed="false">
      <c r="A1100" s="7"/>
      <c r="B1100" s="16"/>
      <c r="C1100" s="22"/>
      <c r="D1100" s="22"/>
      <c r="E1100" s="22"/>
      <c r="F1100" s="22"/>
      <c r="G1100" s="22"/>
      <c r="H1100" s="22"/>
    </row>
    <row r="1101" customFormat="false" ht="15.75" hidden="false" customHeight="false" outlineLevel="0" collapsed="false">
      <c r="A1101" s="7"/>
      <c r="B1101" s="16"/>
      <c r="C1101" s="22"/>
      <c r="D1101" s="22"/>
      <c r="E1101" s="22"/>
      <c r="F1101" s="22"/>
      <c r="G1101" s="22"/>
      <c r="H1101" s="22"/>
    </row>
    <row r="1102" customFormat="false" ht="15.75" hidden="false" customHeight="false" outlineLevel="0" collapsed="false">
      <c r="A1102" s="7"/>
      <c r="B1102" s="16"/>
      <c r="C1102" s="22"/>
      <c r="D1102" s="22"/>
      <c r="E1102" s="22"/>
      <c r="F1102" s="22"/>
      <c r="G1102" s="22"/>
      <c r="H1102" s="22"/>
    </row>
    <row r="1103" customFormat="false" ht="15.75" hidden="false" customHeight="false" outlineLevel="0" collapsed="false">
      <c r="A1103" s="7"/>
      <c r="B1103" s="16"/>
      <c r="C1103" s="22"/>
      <c r="D1103" s="22"/>
      <c r="E1103" s="22"/>
      <c r="F1103" s="22"/>
      <c r="G1103" s="22"/>
      <c r="H1103" s="22"/>
    </row>
    <row r="1104" customFormat="false" ht="15.75" hidden="false" customHeight="false" outlineLevel="0" collapsed="false">
      <c r="A1104" s="7"/>
      <c r="B1104" s="16"/>
      <c r="C1104" s="22"/>
      <c r="D1104" s="22"/>
      <c r="E1104" s="22"/>
      <c r="F1104" s="22"/>
      <c r="G1104" s="22"/>
      <c r="H1104" s="22"/>
    </row>
    <row r="1105" customFormat="false" ht="15.75" hidden="false" customHeight="false" outlineLevel="0" collapsed="false">
      <c r="A1105" s="7"/>
      <c r="B1105" s="16"/>
      <c r="C1105" s="22"/>
      <c r="D1105" s="22"/>
      <c r="E1105" s="22"/>
      <c r="F1105" s="22"/>
      <c r="G1105" s="22"/>
      <c r="H1105" s="22"/>
    </row>
    <row r="1106" customFormat="false" ht="15.75" hidden="false" customHeight="false" outlineLevel="0" collapsed="false">
      <c r="A1106" s="7"/>
      <c r="B1106" s="16"/>
      <c r="C1106" s="22"/>
      <c r="D1106" s="22"/>
      <c r="E1106" s="22"/>
      <c r="F1106" s="22"/>
      <c r="G1106" s="22"/>
      <c r="H1106" s="22"/>
    </row>
    <row r="1107" customFormat="false" ht="15.75" hidden="false" customHeight="false" outlineLevel="0" collapsed="false">
      <c r="A1107" s="7"/>
      <c r="B1107" s="16"/>
      <c r="C1107" s="22"/>
      <c r="D1107" s="22"/>
      <c r="E1107" s="22"/>
      <c r="F1107" s="22"/>
      <c r="G1107" s="22"/>
      <c r="H1107" s="22"/>
    </row>
    <row r="1108" customFormat="false" ht="15.75" hidden="false" customHeight="false" outlineLevel="0" collapsed="false">
      <c r="A1108" s="7"/>
      <c r="B1108" s="16"/>
      <c r="C1108" s="22"/>
      <c r="D1108" s="22"/>
      <c r="E1108" s="22"/>
      <c r="F1108" s="22"/>
      <c r="G1108" s="22"/>
      <c r="H1108" s="22"/>
    </row>
    <row r="1109" customFormat="false" ht="15.75" hidden="false" customHeight="false" outlineLevel="0" collapsed="false">
      <c r="A1109" s="7"/>
      <c r="B1109" s="16"/>
      <c r="C1109" s="22"/>
      <c r="D1109" s="22"/>
      <c r="E1109" s="22"/>
      <c r="F1109" s="22"/>
      <c r="G1109" s="22"/>
      <c r="H1109" s="22"/>
    </row>
    <row r="1110" customFormat="false" ht="15.75" hidden="false" customHeight="false" outlineLevel="0" collapsed="false">
      <c r="A1110" s="7"/>
      <c r="B1110" s="16"/>
      <c r="C1110" s="22"/>
      <c r="D1110" s="22"/>
      <c r="E1110" s="22"/>
      <c r="F1110" s="22"/>
      <c r="G1110" s="22"/>
      <c r="H1110" s="22"/>
    </row>
    <row r="1111" customFormat="false" ht="15.75" hidden="false" customHeight="false" outlineLevel="0" collapsed="false">
      <c r="A1111" s="7"/>
      <c r="B1111" s="16"/>
      <c r="C1111" s="22"/>
      <c r="D1111" s="22"/>
      <c r="E1111" s="22"/>
      <c r="F1111" s="22"/>
      <c r="G1111" s="22"/>
      <c r="H1111" s="22"/>
    </row>
    <row r="1112" customFormat="false" ht="15.75" hidden="false" customHeight="false" outlineLevel="0" collapsed="false">
      <c r="A1112" s="7"/>
      <c r="B1112" s="16"/>
      <c r="C1112" s="22"/>
      <c r="D1112" s="22"/>
      <c r="E1112" s="22"/>
      <c r="F1112" s="22"/>
      <c r="G1112" s="22"/>
      <c r="H1112" s="22"/>
    </row>
    <row r="1113" customFormat="false" ht="15.75" hidden="false" customHeight="false" outlineLevel="0" collapsed="false">
      <c r="A1113" s="7"/>
      <c r="B1113" s="16"/>
      <c r="C1113" s="22"/>
      <c r="D1113" s="22"/>
      <c r="E1113" s="22"/>
      <c r="F1113" s="22"/>
      <c r="G1113" s="22"/>
      <c r="H1113" s="22"/>
    </row>
    <row r="1114" customFormat="false" ht="15.75" hidden="false" customHeight="false" outlineLevel="0" collapsed="false">
      <c r="A1114" s="7"/>
      <c r="B1114" s="16"/>
      <c r="C1114" s="22"/>
      <c r="D1114" s="22"/>
      <c r="E1114" s="22"/>
      <c r="F1114" s="22"/>
      <c r="G1114" s="22"/>
      <c r="H1114" s="22"/>
    </row>
    <row r="1115" customFormat="false" ht="15.75" hidden="false" customHeight="false" outlineLevel="0" collapsed="false">
      <c r="A1115" s="7"/>
      <c r="B1115" s="16"/>
      <c r="C1115" s="22"/>
      <c r="D1115" s="22"/>
      <c r="E1115" s="22"/>
      <c r="F1115" s="22"/>
      <c r="G1115" s="22"/>
      <c r="H1115" s="22"/>
    </row>
    <row r="1116" customFormat="false" ht="15.75" hidden="false" customHeight="false" outlineLevel="0" collapsed="false">
      <c r="A1116" s="7"/>
      <c r="B1116" s="16"/>
      <c r="C1116" s="22"/>
      <c r="D1116" s="22"/>
      <c r="E1116" s="22"/>
      <c r="F1116" s="22"/>
      <c r="G1116" s="22"/>
      <c r="H1116" s="22"/>
    </row>
    <row r="1117" customFormat="false" ht="15.75" hidden="false" customHeight="false" outlineLevel="0" collapsed="false">
      <c r="A1117" s="7"/>
      <c r="B1117" s="16"/>
      <c r="C1117" s="22"/>
      <c r="D1117" s="22"/>
      <c r="E1117" s="22"/>
      <c r="F1117" s="22"/>
      <c r="G1117" s="22"/>
      <c r="H1117" s="22"/>
    </row>
    <row r="1118" customFormat="false" ht="15.75" hidden="false" customHeight="false" outlineLevel="0" collapsed="false">
      <c r="A1118" s="7"/>
      <c r="B1118" s="16"/>
      <c r="C1118" s="22"/>
      <c r="D1118" s="22"/>
      <c r="E1118" s="22"/>
      <c r="F1118" s="22"/>
      <c r="G1118" s="22"/>
      <c r="H1118" s="22"/>
    </row>
    <row r="1119" customFormat="false" ht="15.75" hidden="false" customHeight="false" outlineLevel="0" collapsed="false">
      <c r="A1119" s="7"/>
      <c r="B1119" s="16"/>
      <c r="C1119" s="22"/>
      <c r="D1119" s="22"/>
      <c r="E1119" s="22"/>
      <c r="F1119" s="22"/>
      <c r="G1119" s="22"/>
      <c r="H1119" s="22"/>
    </row>
    <row r="1120" customFormat="false" ht="15.75" hidden="false" customHeight="false" outlineLevel="0" collapsed="false">
      <c r="A1120" s="7"/>
      <c r="B1120" s="16"/>
      <c r="C1120" s="22"/>
      <c r="D1120" s="22"/>
      <c r="E1120" s="22"/>
      <c r="F1120" s="22"/>
      <c r="G1120" s="22"/>
      <c r="H1120" s="22"/>
    </row>
    <row r="1121" customFormat="false" ht="15.75" hidden="false" customHeight="false" outlineLevel="0" collapsed="false">
      <c r="A1121" s="7"/>
      <c r="B1121" s="16"/>
      <c r="C1121" s="22"/>
      <c r="D1121" s="22"/>
      <c r="E1121" s="22"/>
      <c r="F1121" s="22"/>
      <c r="G1121" s="22"/>
      <c r="H1121" s="22"/>
    </row>
    <row r="1122" customFormat="false" ht="15.75" hidden="false" customHeight="false" outlineLevel="0" collapsed="false">
      <c r="A1122" s="7"/>
      <c r="B1122" s="16"/>
      <c r="C1122" s="22"/>
      <c r="D1122" s="22"/>
      <c r="E1122" s="22"/>
      <c r="F1122" s="22"/>
      <c r="G1122" s="22"/>
      <c r="H1122" s="22"/>
    </row>
    <row r="1123" customFormat="false" ht="15.75" hidden="false" customHeight="false" outlineLevel="0" collapsed="false">
      <c r="A1123" s="7"/>
      <c r="B1123" s="16"/>
      <c r="C1123" s="22"/>
      <c r="D1123" s="22"/>
      <c r="E1123" s="22"/>
      <c r="F1123" s="22"/>
      <c r="G1123" s="22"/>
      <c r="H1123" s="22"/>
    </row>
    <row r="1124" customFormat="false" ht="15.75" hidden="false" customHeight="false" outlineLevel="0" collapsed="false">
      <c r="A1124" s="7"/>
      <c r="B1124" s="16"/>
      <c r="C1124" s="22"/>
      <c r="D1124" s="22"/>
      <c r="E1124" s="22"/>
      <c r="F1124" s="22"/>
      <c r="G1124" s="22"/>
      <c r="H1124" s="22"/>
    </row>
    <row r="1125" customFormat="false" ht="15.75" hidden="false" customHeight="false" outlineLevel="0" collapsed="false">
      <c r="A1125" s="7"/>
      <c r="B1125" s="16"/>
      <c r="C1125" s="22"/>
      <c r="D1125" s="22"/>
      <c r="E1125" s="22"/>
      <c r="F1125" s="22"/>
      <c r="G1125" s="22"/>
      <c r="H1125" s="22"/>
    </row>
    <row r="1126" customFormat="false" ht="15.75" hidden="false" customHeight="false" outlineLevel="0" collapsed="false">
      <c r="A1126" s="7"/>
      <c r="B1126" s="16"/>
      <c r="C1126" s="22"/>
      <c r="D1126" s="22"/>
      <c r="E1126" s="22"/>
      <c r="F1126" s="22"/>
      <c r="G1126" s="22"/>
      <c r="H1126" s="22"/>
    </row>
    <row r="1127" customFormat="false" ht="15.75" hidden="false" customHeight="false" outlineLevel="0" collapsed="false">
      <c r="A1127" s="7"/>
      <c r="B1127" s="16"/>
      <c r="C1127" s="22"/>
      <c r="D1127" s="22"/>
      <c r="E1127" s="22"/>
      <c r="F1127" s="22"/>
      <c r="G1127" s="22"/>
      <c r="H1127" s="22"/>
    </row>
    <row r="1128" customFormat="false" ht="15.75" hidden="false" customHeight="false" outlineLevel="0" collapsed="false">
      <c r="A1128" s="7"/>
      <c r="B1128" s="16"/>
      <c r="C1128" s="22"/>
      <c r="D1128" s="22"/>
      <c r="E1128" s="22"/>
      <c r="F1128" s="22"/>
      <c r="G1128" s="22"/>
      <c r="H1128" s="22"/>
    </row>
    <row r="1129" customFormat="false" ht="15.75" hidden="false" customHeight="false" outlineLevel="0" collapsed="false">
      <c r="A1129" s="7"/>
      <c r="B1129" s="16"/>
      <c r="C1129" s="22"/>
      <c r="D1129" s="22"/>
      <c r="E1129" s="22"/>
      <c r="F1129" s="22"/>
      <c r="G1129" s="22"/>
      <c r="H1129" s="22"/>
    </row>
    <row r="1130" customFormat="false" ht="15.75" hidden="false" customHeight="false" outlineLevel="0" collapsed="false">
      <c r="A1130" s="7"/>
      <c r="B1130" s="16"/>
      <c r="C1130" s="22"/>
      <c r="D1130" s="22"/>
      <c r="E1130" s="22"/>
      <c r="F1130" s="22"/>
      <c r="G1130" s="22"/>
      <c r="H1130" s="22"/>
    </row>
    <row r="1131" customFormat="false" ht="15.75" hidden="false" customHeight="false" outlineLevel="0" collapsed="false">
      <c r="A1131" s="7"/>
      <c r="B1131" s="16"/>
      <c r="C1131" s="22"/>
      <c r="D1131" s="22"/>
      <c r="E1131" s="22"/>
      <c r="F1131" s="22"/>
      <c r="G1131" s="22"/>
      <c r="H1131" s="22"/>
    </row>
    <row r="1132" customFormat="false" ht="15.75" hidden="false" customHeight="false" outlineLevel="0" collapsed="false">
      <c r="A1132" s="7"/>
      <c r="B1132" s="16"/>
      <c r="C1132" s="22"/>
      <c r="D1132" s="22"/>
      <c r="E1132" s="22"/>
      <c r="F1132" s="22"/>
      <c r="G1132" s="22"/>
      <c r="H1132" s="22"/>
    </row>
    <row r="1133" customFormat="false" ht="15.75" hidden="false" customHeight="false" outlineLevel="0" collapsed="false">
      <c r="A1133" s="7"/>
      <c r="B1133" s="16"/>
      <c r="C1133" s="22"/>
      <c r="D1133" s="22"/>
      <c r="E1133" s="22"/>
      <c r="F1133" s="22"/>
      <c r="G1133" s="22"/>
      <c r="H1133" s="22"/>
    </row>
    <row r="1134" customFormat="false" ht="15.75" hidden="false" customHeight="false" outlineLevel="0" collapsed="false">
      <c r="A1134" s="7"/>
      <c r="B1134" s="16"/>
      <c r="C1134" s="22"/>
      <c r="D1134" s="22"/>
      <c r="E1134" s="22"/>
      <c r="F1134" s="22"/>
      <c r="G1134" s="22"/>
      <c r="H1134" s="22"/>
    </row>
    <row r="1135" customFormat="false" ht="15.75" hidden="false" customHeight="false" outlineLevel="0" collapsed="false">
      <c r="A1135" s="7"/>
      <c r="B1135" s="16"/>
      <c r="C1135" s="22"/>
      <c r="D1135" s="22"/>
      <c r="E1135" s="22"/>
      <c r="F1135" s="22"/>
      <c r="G1135" s="22"/>
      <c r="H1135" s="22"/>
    </row>
    <row r="1136" customFormat="false" ht="15.75" hidden="false" customHeight="false" outlineLevel="0" collapsed="false">
      <c r="A1136" s="7"/>
      <c r="B1136" s="16"/>
      <c r="C1136" s="22"/>
      <c r="D1136" s="22"/>
      <c r="E1136" s="22"/>
      <c r="F1136" s="22"/>
      <c r="G1136" s="22"/>
      <c r="H1136" s="22"/>
    </row>
    <row r="1137" customFormat="false" ht="15.75" hidden="false" customHeight="false" outlineLevel="0" collapsed="false">
      <c r="A1137" s="7"/>
      <c r="B1137" s="16"/>
      <c r="C1137" s="22"/>
      <c r="D1137" s="22"/>
      <c r="E1137" s="22"/>
      <c r="F1137" s="22"/>
      <c r="G1137" s="22"/>
      <c r="H1137" s="22"/>
    </row>
    <row r="1138" customFormat="false" ht="15.75" hidden="false" customHeight="false" outlineLevel="0" collapsed="false">
      <c r="A1138" s="7"/>
      <c r="B1138" s="16"/>
      <c r="C1138" s="22"/>
      <c r="D1138" s="22"/>
      <c r="E1138" s="22"/>
      <c r="F1138" s="22"/>
      <c r="G1138" s="22"/>
      <c r="H1138" s="22"/>
    </row>
    <row r="1139" customFormat="false" ht="15.75" hidden="false" customHeight="false" outlineLevel="0" collapsed="false">
      <c r="A1139" s="7"/>
      <c r="B1139" s="16"/>
      <c r="C1139" s="22"/>
      <c r="D1139" s="22"/>
      <c r="E1139" s="22"/>
      <c r="F1139" s="22"/>
      <c r="G1139" s="22"/>
      <c r="H1139" s="22"/>
    </row>
    <row r="1140" customFormat="false" ht="15.75" hidden="false" customHeight="false" outlineLevel="0" collapsed="false">
      <c r="A1140" s="7"/>
      <c r="B1140" s="16"/>
      <c r="C1140" s="22"/>
      <c r="D1140" s="22"/>
      <c r="E1140" s="22"/>
      <c r="F1140" s="22"/>
      <c r="G1140" s="22"/>
      <c r="H1140" s="22"/>
    </row>
    <row r="1141" customFormat="false" ht="15.75" hidden="false" customHeight="false" outlineLevel="0" collapsed="false">
      <c r="A1141" s="7"/>
      <c r="B1141" s="16"/>
      <c r="C1141" s="22"/>
      <c r="D1141" s="22"/>
      <c r="E1141" s="22"/>
      <c r="F1141" s="22"/>
      <c r="G1141" s="22"/>
      <c r="H1141" s="22"/>
    </row>
    <row r="1142" customFormat="false" ht="15.75" hidden="false" customHeight="false" outlineLevel="0" collapsed="false">
      <c r="A1142" s="7"/>
      <c r="B1142" s="16"/>
      <c r="C1142" s="22"/>
      <c r="D1142" s="22"/>
      <c r="E1142" s="22"/>
      <c r="F1142" s="22"/>
      <c r="G1142" s="22"/>
      <c r="H1142" s="22"/>
    </row>
    <row r="1143" customFormat="false" ht="15.75" hidden="false" customHeight="false" outlineLevel="0" collapsed="false">
      <c r="A1143" s="7"/>
      <c r="B1143" s="16"/>
      <c r="C1143" s="22"/>
      <c r="D1143" s="22"/>
      <c r="E1143" s="22"/>
      <c r="F1143" s="22"/>
      <c r="G1143" s="22"/>
      <c r="H1143" s="22"/>
    </row>
    <row r="1144" customFormat="false" ht="15.75" hidden="false" customHeight="false" outlineLevel="0" collapsed="false">
      <c r="A1144" s="7"/>
      <c r="B1144" s="16"/>
      <c r="C1144" s="22"/>
      <c r="D1144" s="22"/>
      <c r="E1144" s="22"/>
      <c r="F1144" s="22"/>
      <c r="G1144" s="22"/>
      <c r="H1144" s="22"/>
    </row>
    <row r="1145" customFormat="false" ht="15.75" hidden="false" customHeight="false" outlineLevel="0" collapsed="false">
      <c r="A1145" s="7"/>
      <c r="B1145" s="16"/>
      <c r="C1145" s="22"/>
      <c r="D1145" s="22"/>
      <c r="E1145" s="22"/>
      <c r="F1145" s="22"/>
      <c r="G1145" s="22"/>
      <c r="H1145" s="22"/>
    </row>
    <row r="1146" customFormat="false" ht="15.75" hidden="false" customHeight="false" outlineLevel="0" collapsed="false">
      <c r="A1146" s="7"/>
      <c r="B1146" s="16"/>
      <c r="C1146" s="22"/>
      <c r="D1146" s="22"/>
      <c r="E1146" s="22"/>
      <c r="F1146" s="22"/>
      <c r="G1146" s="22"/>
      <c r="H1146" s="22"/>
    </row>
    <row r="1147" customFormat="false" ht="15.75" hidden="false" customHeight="false" outlineLevel="0" collapsed="false">
      <c r="A1147" s="7"/>
      <c r="B1147" s="16"/>
      <c r="C1147" s="22"/>
      <c r="D1147" s="22"/>
      <c r="E1147" s="22"/>
      <c r="F1147" s="22"/>
      <c r="G1147" s="22"/>
      <c r="H1147" s="22"/>
    </row>
    <row r="1148" customFormat="false" ht="15.75" hidden="false" customHeight="false" outlineLevel="0" collapsed="false">
      <c r="A1148" s="7"/>
      <c r="B1148" s="16"/>
      <c r="C1148" s="22"/>
      <c r="D1148" s="22"/>
      <c r="E1148" s="22"/>
      <c r="F1148" s="22"/>
      <c r="G1148" s="22"/>
      <c r="H1148" s="22"/>
    </row>
    <row r="1149" customFormat="false" ht="15.75" hidden="false" customHeight="false" outlineLevel="0" collapsed="false">
      <c r="A1149" s="7"/>
      <c r="B1149" s="16"/>
      <c r="C1149" s="22"/>
      <c r="D1149" s="22"/>
      <c r="E1149" s="22"/>
      <c r="F1149" s="22"/>
      <c r="G1149" s="22"/>
      <c r="H1149" s="22"/>
    </row>
    <row r="1150" customFormat="false" ht="15.75" hidden="false" customHeight="false" outlineLevel="0" collapsed="false">
      <c r="A1150" s="7"/>
      <c r="B1150" s="16"/>
      <c r="C1150" s="22"/>
      <c r="D1150" s="22"/>
      <c r="E1150" s="22"/>
      <c r="F1150" s="22"/>
      <c r="G1150" s="22"/>
      <c r="H1150" s="22"/>
    </row>
    <row r="1151" customFormat="false" ht="15.75" hidden="false" customHeight="false" outlineLevel="0" collapsed="false">
      <c r="A1151" s="7"/>
      <c r="B1151" s="16"/>
      <c r="C1151" s="22"/>
      <c r="D1151" s="22"/>
      <c r="E1151" s="22"/>
      <c r="F1151" s="22"/>
      <c r="G1151" s="22"/>
      <c r="H1151" s="22"/>
    </row>
    <row r="1152" customFormat="false" ht="15.75" hidden="false" customHeight="false" outlineLevel="0" collapsed="false">
      <c r="A1152" s="7"/>
      <c r="B1152" s="16"/>
      <c r="C1152" s="22"/>
      <c r="D1152" s="22"/>
      <c r="E1152" s="22"/>
      <c r="F1152" s="22"/>
      <c r="G1152" s="22"/>
      <c r="H1152" s="22"/>
    </row>
    <row r="1153" customFormat="false" ht="15.75" hidden="false" customHeight="false" outlineLevel="0" collapsed="false">
      <c r="A1153" s="7"/>
      <c r="B1153" s="16"/>
      <c r="C1153" s="22"/>
      <c r="D1153" s="22"/>
      <c r="E1153" s="22"/>
      <c r="F1153" s="22"/>
      <c r="G1153" s="22"/>
      <c r="H1153" s="22"/>
    </row>
    <row r="1154" customFormat="false" ht="15.75" hidden="false" customHeight="false" outlineLevel="0" collapsed="false">
      <c r="A1154" s="7"/>
      <c r="B1154" s="16"/>
      <c r="C1154" s="22"/>
      <c r="D1154" s="22"/>
      <c r="E1154" s="22"/>
      <c r="F1154" s="22"/>
      <c r="G1154" s="22"/>
      <c r="H1154" s="22"/>
    </row>
    <row r="1155" customFormat="false" ht="15.75" hidden="false" customHeight="false" outlineLevel="0" collapsed="false">
      <c r="A1155" s="7"/>
      <c r="B1155" s="16"/>
      <c r="C1155" s="22"/>
      <c r="D1155" s="22"/>
      <c r="E1155" s="22"/>
      <c r="F1155" s="22"/>
      <c r="G1155" s="22"/>
      <c r="H1155" s="22"/>
    </row>
    <row r="1156" customFormat="false" ht="15.75" hidden="false" customHeight="false" outlineLevel="0" collapsed="false">
      <c r="A1156" s="7"/>
      <c r="B1156" s="16"/>
      <c r="C1156" s="22"/>
      <c r="D1156" s="22"/>
      <c r="E1156" s="22"/>
      <c r="F1156" s="22"/>
      <c r="G1156" s="22"/>
      <c r="H1156" s="22"/>
    </row>
    <row r="1157" customFormat="false" ht="15.75" hidden="false" customHeight="false" outlineLevel="0" collapsed="false">
      <c r="A1157" s="7"/>
      <c r="B1157" s="16"/>
      <c r="C1157" s="22"/>
      <c r="D1157" s="22"/>
      <c r="E1157" s="22"/>
      <c r="F1157" s="22"/>
      <c r="G1157" s="22"/>
      <c r="H1157" s="22"/>
    </row>
    <row r="1158" customFormat="false" ht="15.75" hidden="false" customHeight="false" outlineLevel="0" collapsed="false">
      <c r="A1158" s="7"/>
      <c r="B1158" s="16"/>
      <c r="C1158" s="22"/>
      <c r="D1158" s="22"/>
      <c r="E1158" s="22"/>
      <c r="F1158" s="22"/>
      <c r="G1158" s="22"/>
      <c r="H1158" s="22"/>
    </row>
    <row r="1159" customFormat="false" ht="15.75" hidden="false" customHeight="false" outlineLevel="0" collapsed="false">
      <c r="A1159" s="7"/>
      <c r="B1159" s="16"/>
      <c r="C1159" s="22"/>
      <c r="D1159" s="22"/>
      <c r="E1159" s="22"/>
      <c r="F1159" s="22"/>
      <c r="G1159" s="22"/>
      <c r="H1159" s="22"/>
    </row>
    <row r="1160" customFormat="false" ht="15.75" hidden="false" customHeight="false" outlineLevel="0" collapsed="false">
      <c r="A1160" s="7"/>
      <c r="B1160" s="16"/>
      <c r="C1160" s="22"/>
      <c r="D1160" s="22"/>
      <c r="E1160" s="22"/>
      <c r="F1160" s="22"/>
      <c r="G1160" s="22"/>
      <c r="H1160" s="22"/>
    </row>
    <row r="1161" customFormat="false" ht="15.75" hidden="false" customHeight="false" outlineLevel="0" collapsed="false">
      <c r="A1161" s="7"/>
      <c r="B1161" s="16"/>
      <c r="C1161" s="22"/>
      <c r="D1161" s="22"/>
      <c r="E1161" s="22"/>
      <c r="F1161" s="22"/>
      <c r="G1161" s="22"/>
      <c r="H1161" s="22"/>
    </row>
    <row r="1162" customFormat="false" ht="15.75" hidden="false" customHeight="false" outlineLevel="0" collapsed="false">
      <c r="A1162" s="7"/>
      <c r="B1162" s="16"/>
      <c r="C1162" s="22"/>
      <c r="D1162" s="22"/>
      <c r="E1162" s="22"/>
      <c r="F1162" s="22"/>
      <c r="G1162" s="22"/>
      <c r="H1162" s="22"/>
    </row>
    <row r="1163" customFormat="false" ht="15.75" hidden="false" customHeight="false" outlineLevel="0" collapsed="false">
      <c r="A1163" s="7"/>
      <c r="B1163" s="16"/>
      <c r="C1163" s="22"/>
      <c r="D1163" s="22"/>
      <c r="E1163" s="22"/>
      <c r="F1163" s="22"/>
      <c r="G1163" s="22"/>
      <c r="H1163" s="22"/>
    </row>
    <row r="1164" customFormat="false" ht="15.75" hidden="false" customHeight="false" outlineLevel="0" collapsed="false">
      <c r="A1164" s="7"/>
      <c r="B1164" s="16"/>
      <c r="C1164" s="22"/>
      <c r="D1164" s="22"/>
      <c r="E1164" s="22"/>
      <c r="F1164" s="22"/>
      <c r="G1164" s="22"/>
      <c r="H1164" s="22"/>
    </row>
    <row r="1165" customFormat="false" ht="15.75" hidden="false" customHeight="false" outlineLevel="0" collapsed="false">
      <c r="A1165" s="7"/>
      <c r="B1165" s="16"/>
      <c r="C1165" s="22"/>
      <c r="D1165" s="22"/>
      <c r="E1165" s="22"/>
      <c r="F1165" s="22"/>
      <c r="G1165" s="22"/>
      <c r="H1165" s="22"/>
    </row>
    <row r="1166" customFormat="false" ht="15.75" hidden="false" customHeight="false" outlineLevel="0" collapsed="false">
      <c r="A1166" s="7"/>
      <c r="B1166" s="16"/>
      <c r="C1166" s="22"/>
      <c r="D1166" s="22"/>
      <c r="E1166" s="22"/>
      <c r="F1166" s="22"/>
      <c r="G1166" s="22"/>
      <c r="H1166" s="22"/>
    </row>
    <row r="1167" customFormat="false" ht="15.75" hidden="false" customHeight="false" outlineLevel="0" collapsed="false">
      <c r="A1167" s="7"/>
      <c r="B1167" s="16"/>
      <c r="C1167" s="22"/>
      <c r="D1167" s="22"/>
      <c r="E1167" s="22"/>
      <c r="F1167" s="22"/>
      <c r="G1167" s="22"/>
      <c r="H1167" s="22"/>
    </row>
    <row r="1168" customFormat="false" ht="15.75" hidden="false" customHeight="false" outlineLevel="0" collapsed="false">
      <c r="A1168" s="7"/>
      <c r="B1168" s="16"/>
      <c r="C1168" s="22"/>
      <c r="D1168" s="22"/>
      <c r="E1168" s="22"/>
      <c r="F1168" s="22"/>
      <c r="G1168" s="22"/>
      <c r="H1168" s="22"/>
    </row>
    <row r="1169" customFormat="false" ht="15.75" hidden="false" customHeight="false" outlineLevel="0" collapsed="false">
      <c r="A1169" s="7"/>
      <c r="B1169" s="16"/>
      <c r="C1169" s="22"/>
      <c r="D1169" s="22"/>
      <c r="E1169" s="22"/>
      <c r="F1169" s="22"/>
      <c r="G1169" s="22"/>
      <c r="H1169" s="22"/>
    </row>
    <row r="1170" customFormat="false" ht="15.75" hidden="false" customHeight="false" outlineLevel="0" collapsed="false">
      <c r="A1170" s="7"/>
      <c r="B1170" s="16"/>
      <c r="C1170" s="22"/>
      <c r="D1170" s="22"/>
      <c r="E1170" s="22"/>
      <c r="F1170" s="22"/>
      <c r="G1170" s="22"/>
      <c r="H1170" s="22"/>
    </row>
    <row r="1171" customFormat="false" ht="15.75" hidden="false" customHeight="false" outlineLevel="0" collapsed="false">
      <c r="A1171" s="7"/>
      <c r="B1171" s="16"/>
      <c r="C1171" s="22"/>
      <c r="D1171" s="22"/>
      <c r="E1171" s="22"/>
      <c r="F1171" s="22"/>
      <c r="G1171" s="22"/>
      <c r="H1171" s="22"/>
    </row>
    <row r="1172" customFormat="false" ht="15.75" hidden="false" customHeight="false" outlineLevel="0" collapsed="false">
      <c r="A1172" s="7"/>
      <c r="B1172" s="16"/>
      <c r="C1172" s="22"/>
      <c r="D1172" s="22"/>
      <c r="E1172" s="22"/>
      <c r="F1172" s="22"/>
      <c r="G1172" s="22"/>
      <c r="H1172" s="22"/>
    </row>
    <row r="1173" customFormat="false" ht="15.75" hidden="false" customHeight="false" outlineLevel="0" collapsed="false">
      <c r="A1173" s="7"/>
      <c r="B1173" s="16"/>
      <c r="C1173" s="22"/>
      <c r="D1173" s="22"/>
      <c r="E1173" s="22"/>
      <c r="F1173" s="22"/>
      <c r="G1173" s="22"/>
      <c r="H1173" s="22"/>
    </row>
    <row r="1174" customFormat="false" ht="15.75" hidden="false" customHeight="false" outlineLevel="0" collapsed="false">
      <c r="A1174" s="7"/>
      <c r="B1174" s="16"/>
      <c r="C1174" s="22"/>
      <c r="D1174" s="22"/>
      <c r="E1174" s="22"/>
      <c r="F1174" s="22"/>
      <c r="G1174" s="22"/>
      <c r="H1174" s="22"/>
    </row>
    <row r="1175" customFormat="false" ht="15.75" hidden="false" customHeight="false" outlineLevel="0" collapsed="false">
      <c r="A1175" s="7"/>
      <c r="B1175" s="16"/>
      <c r="C1175" s="22"/>
      <c r="D1175" s="22"/>
      <c r="E1175" s="22"/>
      <c r="F1175" s="22"/>
      <c r="G1175" s="22"/>
      <c r="H1175" s="22"/>
    </row>
    <row r="1176" customFormat="false" ht="15.75" hidden="false" customHeight="false" outlineLevel="0" collapsed="false">
      <c r="A1176" s="7"/>
      <c r="B1176" s="16"/>
      <c r="C1176" s="22"/>
      <c r="D1176" s="22"/>
      <c r="E1176" s="22"/>
      <c r="F1176" s="22"/>
      <c r="G1176" s="22"/>
      <c r="H1176" s="22"/>
    </row>
    <row r="1177" customFormat="false" ht="15.75" hidden="false" customHeight="false" outlineLevel="0" collapsed="false">
      <c r="A1177" s="7"/>
      <c r="B1177" s="16"/>
      <c r="C1177" s="22"/>
      <c r="D1177" s="22"/>
      <c r="E1177" s="22"/>
      <c r="F1177" s="22"/>
      <c r="G1177" s="22"/>
      <c r="H1177" s="22"/>
    </row>
    <row r="1178" customFormat="false" ht="15.75" hidden="false" customHeight="false" outlineLevel="0" collapsed="false">
      <c r="A1178" s="7"/>
      <c r="B1178" s="16"/>
      <c r="C1178" s="22"/>
      <c r="D1178" s="22"/>
      <c r="E1178" s="22"/>
      <c r="F1178" s="22"/>
      <c r="G1178" s="22"/>
      <c r="H1178" s="22"/>
    </row>
    <row r="1179" customFormat="false" ht="15.75" hidden="false" customHeight="false" outlineLevel="0" collapsed="false">
      <c r="A1179" s="7"/>
      <c r="B1179" s="16"/>
      <c r="C1179" s="22"/>
      <c r="D1179" s="22"/>
      <c r="E1179" s="22"/>
      <c r="F1179" s="22"/>
      <c r="G1179" s="22"/>
      <c r="H1179" s="22"/>
    </row>
    <row r="1180" customFormat="false" ht="15.75" hidden="false" customHeight="false" outlineLevel="0" collapsed="false">
      <c r="A1180" s="7"/>
      <c r="B1180" s="16"/>
      <c r="C1180" s="22"/>
      <c r="D1180" s="22"/>
      <c r="E1180" s="22"/>
      <c r="F1180" s="22"/>
      <c r="G1180" s="22"/>
      <c r="H1180" s="22"/>
    </row>
    <row r="1181" customFormat="false" ht="15.75" hidden="false" customHeight="false" outlineLevel="0" collapsed="false">
      <c r="A1181" s="7"/>
      <c r="B1181" s="16"/>
      <c r="C1181" s="22"/>
      <c r="D1181" s="22"/>
      <c r="E1181" s="22"/>
      <c r="F1181" s="22"/>
      <c r="G1181" s="22"/>
      <c r="H1181" s="22"/>
    </row>
    <row r="1182" customFormat="false" ht="15.75" hidden="false" customHeight="false" outlineLevel="0" collapsed="false">
      <c r="A1182" s="7"/>
      <c r="B1182" s="16"/>
      <c r="C1182" s="22"/>
      <c r="D1182" s="22"/>
      <c r="E1182" s="22"/>
      <c r="F1182" s="22"/>
      <c r="G1182" s="22"/>
      <c r="H1182" s="22"/>
    </row>
    <row r="1183" customFormat="false" ht="15.75" hidden="false" customHeight="false" outlineLevel="0" collapsed="false">
      <c r="A1183" s="7"/>
      <c r="B1183" s="16"/>
      <c r="C1183" s="22"/>
      <c r="D1183" s="22"/>
      <c r="E1183" s="22"/>
      <c r="F1183" s="22"/>
      <c r="G1183" s="22"/>
      <c r="H1183" s="22"/>
    </row>
    <row r="1184" customFormat="false" ht="15.75" hidden="false" customHeight="false" outlineLevel="0" collapsed="false">
      <c r="A1184" s="7"/>
      <c r="B1184" s="16"/>
      <c r="C1184" s="22"/>
      <c r="D1184" s="22"/>
      <c r="E1184" s="22"/>
      <c r="F1184" s="22"/>
      <c r="G1184" s="22"/>
      <c r="H1184" s="22"/>
    </row>
    <row r="1185" customFormat="false" ht="15.75" hidden="false" customHeight="false" outlineLevel="0" collapsed="false">
      <c r="A1185" s="7"/>
      <c r="B1185" s="16"/>
      <c r="C1185" s="22"/>
      <c r="D1185" s="22"/>
      <c r="E1185" s="22"/>
      <c r="F1185" s="22"/>
      <c r="G1185" s="22"/>
      <c r="H1185" s="22"/>
    </row>
    <row r="1186" customFormat="false" ht="15.75" hidden="false" customHeight="false" outlineLevel="0" collapsed="false">
      <c r="A1186" s="7"/>
      <c r="B1186" s="16"/>
      <c r="C1186" s="22"/>
      <c r="D1186" s="22"/>
      <c r="E1186" s="22"/>
      <c r="F1186" s="22"/>
      <c r="G1186" s="22"/>
      <c r="H1186" s="22"/>
    </row>
    <row r="1187" customFormat="false" ht="15.75" hidden="false" customHeight="false" outlineLevel="0" collapsed="false">
      <c r="A1187" s="7"/>
      <c r="B1187" s="16"/>
      <c r="C1187" s="22"/>
      <c r="D1187" s="22"/>
      <c r="E1187" s="22"/>
      <c r="F1187" s="22"/>
      <c r="G1187" s="22"/>
      <c r="H1187" s="22"/>
    </row>
    <row r="1188" customFormat="false" ht="15.75" hidden="false" customHeight="false" outlineLevel="0" collapsed="false">
      <c r="A1188" s="7"/>
      <c r="B1188" s="16"/>
      <c r="C1188" s="22"/>
      <c r="D1188" s="22"/>
      <c r="E1188" s="22"/>
      <c r="F1188" s="22"/>
      <c r="G1188" s="22"/>
      <c r="H1188" s="22"/>
    </row>
    <row r="1189" customFormat="false" ht="15.75" hidden="false" customHeight="false" outlineLevel="0" collapsed="false">
      <c r="A1189" s="7"/>
      <c r="B1189" s="16"/>
      <c r="C1189" s="22"/>
      <c r="D1189" s="22"/>
      <c r="E1189" s="22"/>
      <c r="F1189" s="22"/>
      <c r="G1189" s="22"/>
      <c r="H1189" s="22"/>
    </row>
    <row r="1190" customFormat="false" ht="15.75" hidden="false" customHeight="false" outlineLevel="0" collapsed="false">
      <c r="A1190" s="7"/>
      <c r="B1190" s="16"/>
      <c r="C1190" s="22"/>
      <c r="D1190" s="22"/>
      <c r="E1190" s="22"/>
      <c r="F1190" s="22"/>
      <c r="G1190" s="22"/>
      <c r="H1190" s="22"/>
    </row>
    <row r="1191" customFormat="false" ht="15.75" hidden="false" customHeight="false" outlineLevel="0" collapsed="false">
      <c r="A1191" s="7"/>
      <c r="B1191" s="16"/>
      <c r="C1191" s="22"/>
      <c r="D1191" s="22"/>
      <c r="E1191" s="22"/>
      <c r="F1191" s="22"/>
      <c r="G1191" s="22"/>
      <c r="H1191" s="22"/>
    </row>
    <row r="1192" customFormat="false" ht="15.75" hidden="false" customHeight="false" outlineLevel="0" collapsed="false">
      <c r="A1192" s="7"/>
      <c r="B1192" s="16"/>
      <c r="C1192" s="22"/>
      <c r="D1192" s="22"/>
      <c r="E1192" s="22"/>
      <c r="F1192" s="22"/>
      <c r="G1192" s="22"/>
      <c r="H1192" s="22"/>
    </row>
    <row r="1193" customFormat="false" ht="15.75" hidden="false" customHeight="false" outlineLevel="0" collapsed="false">
      <c r="A1193" s="7"/>
      <c r="B1193" s="16"/>
      <c r="C1193" s="22"/>
      <c r="D1193" s="22"/>
      <c r="E1193" s="22"/>
      <c r="F1193" s="22"/>
      <c r="G1193" s="22"/>
      <c r="H1193" s="22"/>
    </row>
    <row r="1194" customFormat="false" ht="15.75" hidden="false" customHeight="false" outlineLevel="0" collapsed="false">
      <c r="A1194" s="7"/>
      <c r="B1194" s="16"/>
      <c r="C1194" s="22"/>
      <c r="D1194" s="22"/>
      <c r="E1194" s="22"/>
      <c r="F1194" s="22"/>
      <c r="G1194" s="22"/>
      <c r="H1194" s="22"/>
    </row>
    <row r="1195" customFormat="false" ht="15.75" hidden="false" customHeight="false" outlineLevel="0" collapsed="false">
      <c r="A1195" s="7"/>
      <c r="B1195" s="16"/>
      <c r="C1195" s="22"/>
      <c r="D1195" s="22"/>
      <c r="E1195" s="22"/>
      <c r="F1195" s="22"/>
      <c r="G1195" s="22"/>
      <c r="H1195" s="22"/>
    </row>
    <row r="1196" customFormat="false" ht="15.75" hidden="false" customHeight="false" outlineLevel="0" collapsed="false">
      <c r="A1196" s="7"/>
      <c r="B1196" s="16"/>
      <c r="C1196" s="22"/>
      <c r="D1196" s="22"/>
      <c r="E1196" s="22"/>
      <c r="F1196" s="22"/>
      <c r="G1196" s="22"/>
      <c r="H1196" s="22"/>
    </row>
    <row r="1197" customFormat="false" ht="15.75" hidden="false" customHeight="false" outlineLevel="0" collapsed="false">
      <c r="A1197" s="7"/>
      <c r="B1197" s="16"/>
      <c r="C1197" s="22"/>
      <c r="D1197" s="22"/>
      <c r="E1197" s="22"/>
      <c r="F1197" s="22"/>
      <c r="G1197" s="22"/>
      <c r="H1197" s="22"/>
    </row>
    <row r="1198" customFormat="false" ht="15.75" hidden="false" customHeight="false" outlineLevel="0" collapsed="false">
      <c r="A1198" s="7"/>
      <c r="B1198" s="16"/>
      <c r="C1198" s="22"/>
      <c r="D1198" s="22"/>
      <c r="E1198" s="22"/>
      <c r="F1198" s="22"/>
      <c r="G1198" s="22"/>
      <c r="H1198" s="22"/>
    </row>
    <row r="1199" customFormat="false" ht="15.75" hidden="false" customHeight="false" outlineLevel="0" collapsed="false">
      <c r="A1199" s="7"/>
      <c r="B1199" s="16"/>
      <c r="C1199" s="22"/>
      <c r="D1199" s="22"/>
      <c r="E1199" s="22"/>
      <c r="F1199" s="22"/>
      <c r="G1199" s="22"/>
      <c r="H1199" s="22"/>
    </row>
    <row r="1200" customFormat="false" ht="15.75" hidden="false" customHeight="false" outlineLevel="0" collapsed="false">
      <c r="A1200" s="7"/>
      <c r="B1200" s="16"/>
      <c r="C1200" s="22"/>
      <c r="D1200" s="22"/>
      <c r="E1200" s="22"/>
      <c r="F1200" s="22"/>
      <c r="G1200" s="22"/>
      <c r="H1200" s="22"/>
    </row>
    <row r="1201" customFormat="false" ht="15.75" hidden="false" customHeight="false" outlineLevel="0" collapsed="false">
      <c r="A1201" s="7"/>
      <c r="B1201" s="16"/>
      <c r="C1201" s="22"/>
      <c r="D1201" s="22"/>
      <c r="E1201" s="22"/>
      <c r="F1201" s="22"/>
      <c r="G1201" s="22"/>
      <c r="H1201" s="22"/>
    </row>
    <row r="1202" customFormat="false" ht="15.75" hidden="false" customHeight="false" outlineLevel="0" collapsed="false">
      <c r="A1202" s="7"/>
      <c r="B1202" s="16"/>
      <c r="C1202" s="22"/>
      <c r="D1202" s="22"/>
      <c r="E1202" s="22"/>
      <c r="F1202" s="22"/>
      <c r="G1202" s="22"/>
      <c r="H1202" s="22"/>
    </row>
    <row r="1203" customFormat="false" ht="15.75" hidden="false" customHeight="false" outlineLevel="0" collapsed="false">
      <c r="A1203" s="7"/>
      <c r="B1203" s="16"/>
      <c r="C1203" s="22"/>
      <c r="D1203" s="22"/>
      <c r="E1203" s="22"/>
      <c r="F1203" s="22"/>
      <c r="G1203" s="22"/>
      <c r="H1203" s="22"/>
    </row>
    <row r="1204" customFormat="false" ht="15.75" hidden="false" customHeight="false" outlineLevel="0" collapsed="false">
      <c r="A1204" s="7"/>
      <c r="B1204" s="16"/>
      <c r="C1204" s="22"/>
      <c r="D1204" s="22"/>
      <c r="E1204" s="22"/>
      <c r="F1204" s="22"/>
      <c r="G1204" s="22"/>
      <c r="H1204" s="22"/>
    </row>
    <row r="1205" customFormat="false" ht="15.75" hidden="false" customHeight="false" outlineLevel="0" collapsed="false">
      <c r="A1205" s="7"/>
      <c r="B1205" s="16"/>
      <c r="C1205" s="22"/>
      <c r="D1205" s="22"/>
      <c r="E1205" s="22"/>
      <c r="F1205" s="22"/>
      <c r="G1205" s="22"/>
      <c r="H1205" s="22"/>
    </row>
    <row r="1206" customFormat="false" ht="15.75" hidden="false" customHeight="false" outlineLevel="0" collapsed="false">
      <c r="A1206" s="7"/>
      <c r="B1206" s="16"/>
      <c r="C1206" s="22"/>
      <c r="D1206" s="22"/>
      <c r="E1206" s="22"/>
      <c r="F1206" s="22"/>
      <c r="G1206" s="22"/>
      <c r="H1206" s="22"/>
    </row>
    <row r="1207" customFormat="false" ht="15.75" hidden="false" customHeight="false" outlineLevel="0" collapsed="false">
      <c r="A1207" s="7"/>
      <c r="B1207" s="16"/>
      <c r="C1207" s="22"/>
      <c r="D1207" s="22"/>
      <c r="E1207" s="22"/>
      <c r="F1207" s="22"/>
      <c r="G1207" s="22"/>
      <c r="H1207" s="22"/>
    </row>
    <row r="1208" customFormat="false" ht="15.75" hidden="false" customHeight="false" outlineLevel="0" collapsed="false">
      <c r="A1208" s="7"/>
      <c r="B1208" s="16"/>
      <c r="C1208" s="22"/>
      <c r="D1208" s="22"/>
      <c r="E1208" s="22"/>
      <c r="F1208" s="22"/>
      <c r="G1208" s="22"/>
      <c r="H1208" s="22"/>
    </row>
    <row r="1209" customFormat="false" ht="15.75" hidden="false" customHeight="false" outlineLevel="0" collapsed="false">
      <c r="A1209" s="7"/>
      <c r="B1209" s="16"/>
      <c r="C1209" s="22"/>
      <c r="D1209" s="22"/>
      <c r="E1209" s="22"/>
      <c r="F1209" s="22"/>
      <c r="G1209" s="22"/>
      <c r="H1209" s="22"/>
    </row>
    <row r="1210" customFormat="false" ht="15.75" hidden="false" customHeight="false" outlineLevel="0" collapsed="false">
      <c r="A1210" s="7"/>
      <c r="B1210" s="16"/>
      <c r="C1210" s="22"/>
      <c r="D1210" s="22"/>
      <c r="E1210" s="22"/>
      <c r="F1210" s="22"/>
      <c r="G1210" s="22"/>
      <c r="H1210" s="22"/>
    </row>
    <row r="1211" customFormat="false" ht="15.75" hidden="false" customHeight="false" outlineLevel="0" collapsed="false">
      <c r="A1211" s="7"/>
      <c r="B1211" s="16"/>
      <c r="C1211" s="22"/>
      <c r="D1211" s="22"/>
      <c r="E1211" s="22"/>
      <c r="F1211" s="22"/>
      <c r="G1211" s="22"/>
      <c r="H1211" s="22"/>
    </row>
    <row r="1212" customFormat="false" ht="15.75" hidden="false" customHeight="false" outlineLevel="0" collapsed="false">
      <c r="A1212" s="7"/>
      <c r="B1212" s="16"/>
      <c r="C1212" s="22"/>
      <c r="D1212" s="22"/>
      <c r="E1212" s="22"/>
      <c r="F1212" s="22"/>
      <c r="G1212" s="22"/>
      <c r="H1212" s="22"/>
    </row>
    <row r="1213" customFormat="false" ht="15.75" hidden="false" customHeight="false" outlineLevel="0" collapsed="false">
      <c r="A1213" s="7"/>
      <c r="B1213" s="16"/>
      <c r="C1213" s="22"/>
      <c r="D1213" s="22"/>
      <c r="E1213" s="22"/>
      <c r="F1213" s="22"/>
      <c r="G1213" s="22"/>
      <c r="H1213" s="22"/>
    </row>
    <row r="1214" customFormat="false" ht="15.75" hidden="false" customHeight="false" outlineLevel="0" collapsed="false">
      <c r="A1214" s="7"/>
      <c r="B1214" s="16"/>
      <c r="C1214" s="22"/>
      <c r="D1214" s="22"/>
      <c r="E1214" s="22"/>
      <c r="F1214" s="22"/>
      <c r="G1214" s="22"/>
      <c r="H1214" s="22"/>
    </row>
    <row r="1215" customFormat="false" ht="15.75" hidden="false" customHeight="false" outlineLevel="0" collapsed="false">
      <c r="A1215" s="7"/>
      <c r="B1215" s="16"/>
      <c r="C1215" s="22"/>
      <c r="D1215" s="22"/>
      <c r="E1215" s="22"/>
      <c r="F1215" s="22"/>
      <c r="G1215" s="22"/>
      <c r="H1215" s="22"/>
    </row>
    <row r="1216" customFormat="false" ht="15.75" hidden="false" customHeight="false" outlineLevel="0" collapsed="false">
      <c r="A1216" s="7"/>
      <c r="B1216" s="16"/>
      <c r="C1216" s="22"/>
      <c r="D1216" s="22"/>
      <c r="E1216" s="22"/>
      <c r="F1216" s="22"/>
      <c r="G1216" s="22"/>
      <c r="H1216" s="22"/>
    </row>
    <row r="1217" customFormat="false" ht="15.75" hidden="false" customHeight="false" outlineLevel="0" collapsed="false">
      <c r="A1217" s="7"/>
      <c r="B1217" s="16"/>
      <c r="C1217" s="22"/>
      <c r="D1217" s="22"/>
      <c r="E1217" s="22"/>
      <c r="F1217" s="22"/>
      <c r="G1217" s="22"/>
      <c r="H1217" s="22"/>
    </row>
    <row r="1218" customFormat="false" ht="15.75" hidden="false" customHeight="false" outlineLevel="0" collapsed="false">
      <c r="A1218" s="7"/>
      <c r="B1218" s="16"/>
      <c r="C1218" s="22"/>
      <c r="D1218" s="22"/>
      <c r="E1218" s="22"/>
      <c r="F1218" s="22"/>
      <c r="G1218" s="22"/>
      <c r="H1218" s="22"/>
    </row>
    <row r="1219" customFormat="false" ht="15.75" hidden="false" customHeight="false" outlineLevel="0" collapsed="false">
      <c r="A1219" s="7"/>
      <c r="B1219" s="16"/>
      <c r="C1219" s="22"/>
      <c r="D1219" s="22"/>
      <c r="E1219" s="22"/>
      <c r="F1219" s="22"/>
      <c r="G1219" s="22"/>
      <c r="H1219" s="22"/>
    </row>
    <row r="1220" customFormat="false" ht="15.75" hidden="false" customHeight="false" outlineLevel="0" collapsed="false">
      <c r="A1220" s="7"/>
      <c r="B1220" s="16"/>
      <c r="C1220" s="22"/>
      <c r="D1220" s="22"/>
      <c r="E1220" s="22"/>
      <c r="F1220" s="22"/>
      <c r="G1220" s="22"/>
      <c r="H1220" s="22"/>
    </row>
    <row r="1221" customFormat="false" ht="15.75" hidden="false" customHeight="false" outlineLevel="0" collapsed="false">
      <c r="A1221" s="7"/>
      <c r="B1221" s="16"/>
      <c r="C1221" s="22"/>
      <c r="D1221" s="22"/>
      <c r="E1221" s="22"/>
      <c r="F1221" s="22"/>
      <c r="G1221" s="22"/>
      <c r="H1221" s="22"/>
    </row>
    <row r="1222" customFormat="false" ht="15.75" hidden="false" customHeight="false" outlineLevel="0" collapsed="false">
      <c r="A1222" s="7"/>
      <c r="B1222" s="16"/>
      <c r="C1222" s="22"/>
      <c r="D1222" s="22"/>
      <c r="E1222" s="22"/>
      <c r="F1222" s="22"/>
      <c r="G1222" s="22"/>
      <c r="H1222" s="22"/>
    </row>
    <row r="1223" customFormat="false" ht="15.75" hidden="false" customHeight="false" outlineLevel="0" collapsed="false">
      <c r="A1223" s="7"/>
      <c r="B1223" s="16"/>
      <c r="C1223" s="22"/>
      <c r="D1223" s="22"/>
      <c r="E1223" s="22"/>
      <c r="F1223" s="22"/>
      <c r="G1223" s="22"/>
      <c r="H1223" s="22"/>
    </row>
    <row r="1224" customFormat="false" ht="15.75" hidden="false" customHeight="false" outlineLevel="0" collapsed="false">
      <c r="A1224" s="7"/>
      <c r="B1224" s="16"/>
      <c r="C1224" s="22"/>
      <c r="D1224" s="22"/>
      <c r="E1224" s="22"/>
      <c r="F1224" s="22"/>
      <c r="G1224" s="22"/>
      <c r="H1224" s="22"/>
    </row>
    <row r="1225" customFormat="false" ht="15.75" hidden="false" customHeight="false" outlineLevel="0" collapsed="false">
      <c r="A1225" s="7"/>
      <c r="B1225" s="16"/>
      <c r="C1225" s="22"/>
      <c r="D1225" s="22"/>
      <c r="E1225" s="22"/>
      <c r="F1225" s="22"/>
      <c r="G1225" s="22"/>
      <c r="H1225" s="22"/>
    </row>
    <row r="1226" customFormat="false" ht="15.75" hidden="false" customHeight="false" outlineLevel="0" collapsed="false">
      <c r="A1226" s="7"/>
      <c r="B1226" s="16"/>
      <c r="C1226" s="22"/>
      <c r="D1226" s="22"/>
      <c r="E1226" s="22"/>
      <c r="F1226" s="22"/>
      <c r="G1226" s="22"/>
      <c r="H1226" s="22"/>
    </row>
    <row r="1227" customFormat="false" ht="15.75" hidden="false" customHeight="false" outlineLevel="0" collapsed="false">
      <c r="A1227" s="7"/>
      <c r="B1227" s="16"/>
      <c r="C1227" s="22"/>
      <c r="D1227" s="22"/>
      <c r="E1227" s="22"/>
      <c r="F1227" s="22"/>
      <c r="G1227" s="22"/>
      <c r="H1227" s="22"/>
    </row>
    <row r="1228" customFormat="false" ht="15.75" hidden="false" customHeight="false" outlineLevel="0" collapsed="false">
      <c r="A1228" s="7"/>
      <c r="B1228" s="16"/>
      <c r="C1228" s="22"/>
      <c r="D1228" s="22"/>
      <c r="E1228" s="22"/>
      <c r="F1228" s="22"/>
      <c r="G1228" s="22"/>
      <c r="H1228" s="22"/>
    </row>
    <row r="1229" customFormat="false" ht="15.75" hidden="false" customHeight="false" outlineLevel="0" collapsed="false">
      <c r="A1229" s="7"/>
      <c r="B1229" s="16"/>
      <c r="C1229" s="22"/>
      <c r="D1229" s="22"/>
      <c r="E1229" s="22"/>
      <c r="F1229" s="22"/>
      <c r="G1229" s="22"/>
      <c r="H1229" s="22"/>
    </row>
    <row r="1230" customFormat="false" ht="15.75" hidden="false" customHeight="false" outlineLevel="0" collapsed="false">
      <c r="A1230" s="7"/>
      <c r="B1230" s="16"/>
      <c r="C1230" s="22"/>
      <c r="D1230" s="22"/>
      <c r="E1230" s="22"/>
      <c r="F1230" s="22"/>
      <c r="G1230" s="22"/>
      <c r="H1230" s="22"/>
    </row>
    <row r="1231" customFormat="false" ht="15.75" hidden="false" customHeight="false" outlineLevel="0" collapsed="false">
      <c r="A1231" s="7"/>
      <c r="B1231" s="16"/>
      <c r="C1231" s="22"/>
      <c r="D1231" s="22"/>
      <c r="E1231" s="22"/>
      <c r="F1231" s="22"/>
      <c r="G1231" s="22"/>
      <c r="H1231" s="22"/>
    </row>
    <row r="1232" customFormat="false" ht="15.75" hidden="false" customHeight="false" outlineLevel="0" collapsed="false">
      <c r="A1232" s="7"/>
      <c r="B1232" s="16"/>
      <c r="C1232" s="22"/>
      <c r="D1232" s="22"/>
      <c r="E1232" s="22"/>
      <c r="F1232" s="22"/>
      <c r="G1232" s="22"/>
      <c r="H1232" s="22"/>
    </row>
    <row r="1233" customFormat="false" ht="15.75" hidden="false" customHeight="false" outlineLevel="0" collapsed="false">
      <c r="A1233" s="7"/>
      <c r="B1233" s="16"/>
      <c r="C1233" s="22"/>
      <c r="D1233" s="22"/>
      <c r="E1233" s="22"/>
      <c r="F1233" s="22"/>
      <c r="G1233" s="22"/>
      <c r="H1233" s="22"/>
    </row>
    <row r="1234" customFormat="false" ht="15.75" hidden="false" customHeight="false" outlineLevel="0" collapsed="false">
      <c r="A1234" s="7"/>
      <c r="B1234" s="16"/>
      <c r="C1234" s="22"/>
      <c r="D1234" s="22"/>
      <c r="E1234" s="22"/>
      <c r="F1234" s="22"/>
      <c r="G1234" s="22"/>
      <c r="H1234" s="22"/>
    </row>
    <row r="1235" customFormat="false" ht="15.75" hidden="false" customHeight="false" outlineLevel="0" collapsed="false">
      <c r="A1235" s="7"/>
      <c r="B1235" s="16"/>
      <c r="C1235" s="22"/>
      <c r="D1235" s="22"/>
      <c r="E1235" s="22"/>
      <c r="F1235" s="22"/>
      <c r="G1235" s="22"/>
      <c r="H1235" s="22"/>
    </row>
    <row r="1236" customFormat="false" ht="15.75" hidden="false" customHeight="false" outlineLevel="0" collapsed="false">
      <c r="A1236" s="7"/>
      <c r="B1236" s="16"/>
      <c r="C1236" s="22"/>
      <c r="D1236" s="22"/>
      <c r="E1236" s="22"/>
      <c r="F1236" s="22"/>
      <c r="G1236" s="22"/>
      <c r="H1236" s="22"/>
    </row>
    <row r="1237" customFormat="false" ht="15.75" hidden="false" customHeight="false" outlineLevel="0" collapsed="false">
      <c r="A1237" s="7"/>
      <c r="B1237" s="16"/>
      <c r="C1237" s="22"/>
      <c r="D1237" s="22"/>
      <c r="E1237" s="22"/>
      <c r="F1237" s="22"/>
      <c r="G1237" s="22"/>
      <c r="H1237" s="22"/>
    </row>
    <row r="1238" customFormat="false" ht="15.75" hidden="false" customHeight="false" outlineLevel="0" collapsed="false">
      <c r="A1238" s="7"/>
      <c r="B1238" s="16"/>
      <c r="C1238" s="22"/>
      <c r="D1238" s="22"/>
      <c r="E1238" s="22"/>
      <c r="F1238" s="22"/>
      <c r="G1238" s="22"/>
      <c r="H1238" s="22"/>
    </row>
    <row r="1239" customFormat="false" ht="15.75" hidden="false" customHeight="false" outlineLevel="0" collapsed="false">
      <c r="A1239" s="7"/>
      <c r="B1239" s="16"/>
      <c r="C1239" s="22"/>
      <c r="D1239" s="22"/>
      <c r="E1239" s="22"/>
      <c r="F1239" s="22"/>
      <c r="G1239" s="22"/>
      <c r="H1239" s="22"/>
    </row>
    <row r="1240" customFormat="false" ht="15.75" hidden="false" customHeight="false" outlineLevel="0" collapsed="false">
      <c r="A1240" s="7"/>
      <c r="B1240" s="16"/>
      <c r="C1240" s="22"/>
      <c r="D1240" s="22"/>
      <c r="E1240" s="22"/>
      <c r="F1240" s="22"/>
      <c r="G1240" s="22"/>
      <c r="H1240" s="22"/>
    </row>
    <row r="1241" customFormat="false" ht="15.75" hidden="false" customHeight="false" outlineLevel="0" collapsed="false">
      <c r="A1241" s="7"/>
      <c r="B1241" s="16"/>
      <c r="C1241" s="22"/>
      <c r="D1241" s="22"/>
      <c r="E1241" s="22"/>
      <c r="F1241" s="22"/>
      <c r="G1241" s="22"/>
      <c r="H1241" s="22"/>
    </row>
    <row r="1242" customFormat="false" ht="15.75" hidden="false" customHeight="false" outlineLevel="0" collapsed="false">
      <c r="A1242" s="7"/>
      <c r="B1242" s="16"/>
      <c r="C1242" s="22"/>
      <c r="D1242" s="22"/>
      <c r="E1242" s="22"/>
      <c r="F1242" s="22"/>
      <c r="G1242" s="22"/>
      <c r="H1242" s="22"/>
    </row>
    <row r="1243" customFormat="false" ht="15.75" hidden="false" customHeight="false" outlineLevel="0" collapsed="false">
      <c r="A1243" s="7"/>
      <c r="B1243" s="16"/>
      <c r="C1243" s="22"/>
      <c r="D1243" s="22"/>
      <c r="E1243" s="22"/>
      <c r="F1243" s="22"/>
      <c r="G1243" s="22"/>
      <c r="H1243" s="22"/>
    </row>
    <row r="1244" customFormat="false" ht="15.75" hidden="false" customHeight="false" outlineLevel="0" collapsed="false">
      <c r="A1244" s="7"/>
      <c r="B1244" s="16"/>
      <c r="C1244" s="22"/>
      <c r="D1244" s="22"/>
      <c r="E1244" s="22"/>
      <c r="F1244" s="22"/>
      <c r="G1244" s="22"/>
      <c r="H1244" s="22"/>
    </row>
    <row r="1245" customFormat="false" ht="15.75" hidden="false" customHeight="false" outlineLevel="0" collapsed="false">
      <c r="A1245" s="7"/>
      <c r="B1245" s="16"/>
      <c r="C1245" s="22"/>
      <c r="D1245" s="22"/>
      <c r="E1245" s="22"/>
      <c r="F1245" s="22"/>
      <c r="G1245" s="22"/>
      <c r="H1245" s="22"/>
    </row>
    <row r="1246" customFormat="false" ht="15.75" hidden="false" customHeight="false" outlineLevel="0" collapsed="false">
      <c r="A1246" s="7"/>
      <c r="B1246" s="16"/>
      <c r="C1246" s="22"/>
      <c r="D1246" s="22"/>
      <c r="E1246" s="22"/>
      <c r="F1246" s="22"/>
      <c r="G1246" s="22"/>
      <c r="H1246" s="22"/>
    </row>
    <row r="1247" customFormat="false" ht="15.75" hidden="false" customHeight="false" outlineLevel="0" collapsed="false">
      <c r="A1247" s="7"/>
      <c r="B1247" s="16"/>
      <c r="C1247" s="22"/>
      <c r="D1247" s="22"/>
      <c r="E1247" s="22"/>
      <c r="F1247" s="22"/>
      <c r="G1247" s="22"/>
      <c r="H1247" s="22"/>
    </row>
    <row r="1248" customFormat="false" ht="15.75" hidden="false" customHeight="false" outlineLevel="0" collapsed="false">
      <c r="A1248" s="7"/>
      <c r="B1248" s="16"/>
      <c r="C1248" s="22"/>
      <c r="D1248" s="22"/>
      <c r="E1248" s="22"/>
      <c r="F1248" s="22"/>
      <c r="G1248" s="22"/>
      <c r="H1248" s="22"/>
    </row>
    <row r="1249" customFormat="false" ht="15.75" hidden="false" customHeight="false" outlineLevel="0" collapsed="false">
      <c r="A1249" s="7"/>
      <c r="B1249" s="16"/>
      <c r="C1249" s="22"/>
      <c r="D1249" s="22"/>
      <c r="E1249" s="22"/>
      <c r="F1249" s="22"/>
      <c r="G1249" s="22"/>
      <c r="H1249" s="22"/>
    </row>
    <row r="1250" customFormat="false" ht="15.75" hidden="false" customHeight="false" outlineLevel="0" collapsed="false">
      <c r="A1250" s="7"/>
      <c r="B1250" s="16"/>
      <c r="C1250" s="22"/>
      <c r="D1250" s="22"/>
      <c r="E1250" s="22"/>
      <c r="F1250" s="22"/>
      <c r="G1250" s="22"/>
      <c r="H1250" s="22"/>
    </row>
    <row r="1251" customFormat="false" ht="15.75" hidden="false" customHeight="false" outlineLevel="0" collapsed="false">
      <c r="A1251" s="7"/>
      <c r="B1251" s="16"/>
      <c r="C1251" s="22"/>
      <c r="D1251" s="22"/>
      <c r="E1251" s="22"/>
      <c r="F1251" s="22"/>
      <c r="G1251" s="22"/>
      <c r="H1251" s="22"/>
    </row>
    <row r="1252" customFormat="false" ht="15.75" hidden="false" customHeight="false" outlineLevel="0" collapsed="false">
      <c r="A1252" s="7"/>
      <c r="B1252" s="16"/>
      <c r="C1252" s="22"/>
      <c r="D1252" s="22"/>
      <c r="E1252" s="22"/>
      <c r="F1252" s="22"/>
      <c r="G1252" s="22"/>
      <c r="H1252" s="22"/>
    </row>
    <row r="1253" customFormat="false" ht="15.75" hidden="false" customHeight="false" outlineLevel="0" collapsed="false">
      <c r="A1253" s="7"/>
      <c r="B1253" s="16"/>
      <c r="C1253" s="22"/>
      <c r="D1253" s="22"/>
      <c r="E1253" s="22"/>
      <c r="F1253" s="22"/>
      <c r="G1253" s="22"/>
      <c r="H1253" s="22"/>
    </row>
    <row r="1254" customFormat="false" ht="15.75" hidden="false" customHeight="false" outlineLevel="0" collapsed="false">
      <c r="A1254" s="7"/>
      <c r="B1254" s="16"/>
      <c r="C1254" s="22"/>
      <c r="D1254" s="22"/>
      <c r="E1254" s="22"/>
      <c r="F1254" s="22"/>
      <c r="G1254" s="22"/>
      <c r="H1254" s="22"/>
    </row>
    <row r="1255" customFormat="false" ht="15.75" hidden="false" customHeight="false" outlineLevel="0" collapsed="false">
      <c r="A1255" s="7"/>
      <c r="B1255" s="16"/>
      <c r="C1255" s="22"/>
      <c r="D1255" s="22"/>
      <c r="E1255" s="22"/>
      <c r="F1255" s="22"/>
      <c r="G1255" s="22"/>
      <c r="H1255" s="22"/>
    </row>
    <row r="1256" customFormat="false" ht="15.75" hidden="false" customHeight="false" outlineLevel="0" collapsed="false">
      <c r="A1256" s="7"/>
      <c r="B1256" s="16"/>
      <c r="C1256" s="22"/>
      <c r="D1256" s="22"/>
      <c r="E1256" s="22"/>
      <c r="F1256" s="22"/>
      <c r="G1256" s="22"/>
      <c r="H1256" s="22"/>
    </row>
    <row r="1257" customFormat="false" ht="15.75" hidden="false" customHeight="false" outlineLevel="0" collapsed="false">
      <c r="A1257" s="7"/>
      <c r="B1257" s="16"/>
      <c r="C1257" s="22"/>
      <c r="D1257" s="22"/>
      <c r="E1257" s="22"/>
      <c r="F1257" s="22"/>
      <c r="G1257" s="22"/>
      <c r="H1257" s="22"/>
    </row>
    <row r="1258" customFormat="false" ht="15.75" hidden="false" customHeight="false" outlineLevel="0" collapsed="false">
      <c r="A1258" s="7"/>
      <c r="B1258" s="16"/>
      <c r="C1258" s="22"/>
      <c r="D1258" s="22"/>
      <c r="E1258" s="22"/>
      <c r="F1258" s="22"/>
      <c r="G1258" s="22"/>
      <c r="H1258" s="22"/>
    </row>
    <row r="1259" customFormat="false" ht="15.75" hidden="false" customHeight="false" outlineLevel="0" collapsed="false">
      <c r="A1259" s="7"/>
      <c r="B1259" s="16"/>
      <c r="C1259" s="22"/>
      <c r="D1259" s="22"/>
      <c r="E1259" s="22"/>
      <c r="F1259" s="22"/>
      <c r="G1259" s="22"/>
      <c r="H1259" s="22"/>
    </row>
    <row r="1260" customFormat="false" ht="15.75" hidden="false" customHeight="false" outlineLevel="0" collapsed="false">
      <c r="A1260" s="7"/>
      <c r="B1260" s="16"/>
      <c r="C1260" s="22"/>
      <c r="D1260" s="22"/>
      <c r="E1260" s="22"/>
      <c r="F1260" s="22"/>
      <c r="G1260" s="22"/>
      <c r="H1260" s="22"/>
    </row>
    <row r="1261" customFormat="false" ht="15.75" hidden="false" customHeight="false" outlineLevel="0" collapsed="false">
      <c r="A1261" s="7"/>
      <c r="B1261" s="16"/>
      <c r="C1261" s="22"/>
      <c r="D1261" s="22"/>
      <c r="E1261" s="22"/>
      <c r="F1261" s="22"/>
      <c r="G1261" s="22"/>
      <c r="H1261" s="22"/>
    </row>
    <row r="1262" customFormat="false" ht="15.75" hidden="false" customHeight="false" outlineLevel="0" collapsed="false">
      <c r="A1262" s="7"/>
      <c r="B1262" s="16"/>
      <c r="C1262" s="22"/>
      <c r="D1262" s="22"/>
      <c r="E1262" s="22"/>
      <c r="F1262" s="22"/>
      <c r="G1262" s="22"/>
      <c r="H1262" s="22"/>
    </row>
    <row r="1263" customFormat="false" ht="15.75" hidden="false" customHeight="false" outlineLevel="0" collapsed="false">
      <c r="A1263" s="7"/>
      <c r="B1263" s="16"/>
      <c r="C1263" s="22"/>
      <c r="D1263" s="22"/>
      <c r="E1263" s="22"/>
      <c r="F1263" s="22"/>
      <c r="G1263" s="22"/>
      <c r="H1263" s="22"/>
    </row>
    <row r="1264" customFormat="false" ht="15.75" hidden="false" customHeight="false" outlineLevel="0" collapsed="false">
      <c r="A1264" s="7"/>
      <c r="B1264" s="16"/>
      <c r="C1264" s="22"/>
      <c r="D1264" s="22"/>
      <c r="E1264" s="22"/>
      <c r="F1264" s="22"/>
      <c r="G1264" s="22"/>
      <c r="H1264" s="22"/>
    </row>
    <row r="1265" customFormat="false" ht="15.75" hidden="false" customHeight="false" outlineLevel="0" collapsed="false">
      <c r="A1265" s="7"/>
      <c r="B1265" s="16"/>
      <c r="C1265" s="22"/>
      <c r="D1265" s="22"/>
      <c r="E1265" s="22"/>
      <c r="F1265" s="22"/>
      <c r="G1265" s="22"/>
      <c r="H1265" s="22"/>
    </row>
    <row r="1266" customFormat="false" ht="15.75" hidden="false" customHeight="false" outlineLevel="0" collapsed="false">
      <c r="A1266" s="7"/>
      <c r="B1266" s="16"/>
      <c r="C1266" s="22"/>
      <c r="D1266" s="22"/>
      <c r="E1266" s="22"/>
      <c r="F1266" s="22"/>
      <c r="G1266" s="22"/>
      <c r="H1266" s="22"/>
    </row>
    <row r="1267" customFormat="false" ht="15.75" hidden="false" customHeight="false" outlineLevel="0" collapsed="false">
      <c r="A1267" s="7"/>
      <c r="B1267" s="16"/>
      <c r="C1267" s="22"/>
      <c r="D1267" s="22"/>
      <c r="E1267" s="22"/>
      <c r="F1267" s="22"/>
      <c r="G1267" s="22"/>
      <c r="H1267" s="22"/>
    </row>
    <row r="1268" customFormat="false" ht="15.75" hidden="false" customHeight="false" outlineLevel="0" collapsed="false">
      <c r="A1268" s="7"/>
      <c r="B1268" s="16"/>
      <c r="C1268" s="22"/>
      <c r="D1268" s="22"/>
      <c r="E1268" s="22"/>
      <c r="F1268" s="22"/>
      <c r="G1268" s="22"/>
      <c r="H1268" s="22"/>
    </row>
    <row r="1269" customFormat="false" ht="15.75" hidden="false" customHeight="false" outlineLevel="0" collapsed="false">
      <c r="A1269" s="7"/>
      <c r="B1269" s="16"/>
      <c r="C1269" s="22"/>
      <c r="D1269" s="22"/>
      <c r="E1269" s="22"/>
      <c r="F1269" s="22"/>
      <c r="G1269" s="22"/>
      <c r="H1269" s="22"/>
    </row>
    <row r="1270" customFormat="false" ht="15.75" hidden="false" customHeight="false" outlineLevel="0" collapsed="false">
      <c r="A1270" s="7"/>
      <c r="B1270" s="16"/>
      <c r="C1270" s="22"/>
      <c r="D1270" s="22"/>
      <c r="E1270" s="22"/>
      <c r="F1270" s="22"/>
      <c r="G1270" s="22"/>
      <c r="H1270" s="22"/>
    </row>
    <row r="1271" customFormat="false" ht="15.75" hidden="false" customHeight="false" outlineLevel="0" collapsed="false">
      <c r="A1271" s="7"/>
      <c r="B1271" s="16"/>
      <c r="C1271" s="22"/>
      <c r="D1271" s="22"/>
      <c r="E1271" s="22"/>
      <c r="F1271" s="22"/>
      <c r="G1271" s="22"/>
      <c r="H1271" s="22"/>
    </row>
    <row r="1272" customFormat="false" ht="15.75" hidden="false" customHeight="false" outlineLevel="0" collapsed="false">
      <c r="A1272" s="7"/>
      <c r="B1272" s="16"/>
      <c r="C1272" s="22"/>
      <c r="D1272" s="22"/>
      <c r="E1272" s="22"/>
      <c r="F1272" s="22"/>
      <c r="G1272" s="22"/>
      <c r="H1272" s="22"/>
    </row>
    <row r="1273" customFormat="false" ht="15.75" hidden="false" customHeight="false" outlineLevel="0" collapsed="false">
      <c r="A1273" s="7"/>
      <c r="B1273" s="16"/>
      <c r="C1273" s="22"/>
      <c r="D1273" s="22"/>
      <c r="E1273" s="22"/>
      <c r="F1273" s="22"/>
      <c r="G1273" s="22"/>
      <c r="H1273" s="22"/>
    </row>
    <row r="1274" customFormat="false" ht="15.75" hidden="false" customHeight="false" outlineLevel="0" collapsed="false">
      <c r="A1274" s="7"/>
      <c r="B1274" s="16"/>
      <c r="C1274" s="22"/>
      <c r="D1274" s="22"/>
      <c r="E1274" s="22"/>
      <c r="F1274" s="22"/>
      <c r="G1274" s="22"/>
      <c r="H1274" s="22"/>
    </row>
    <row r="1275" customFormat="false" ht="15.75" hidden="false" customHeight="false" outlineLevel="0" collapsed="false">
      <c r="A1275" s="7"/>
      <c r="B1275" s="16"/>
      <c r="C1275" s="22"/>
      <c r="D1275" s="22"/>
      <c r="E1275" s="22"/>
      <c r="F1275" s="22"/>
      <c r="G1275" s="22"/>
      <c r="H1275" s="22"/>
    </row>
    <row r="1276" customFormat="false" ht="15.75" hidden="false" customHeight="false" outlineLevel="0" collapsed="false">
      <c r="A1276" s="7"/>
      <c r="B1276" s="16"/>
      <c r="C1276" s="22"/>
      <c r="D1276" s="22"/>
      <c r="E1276" s="22"/>
      <c r="F1276" s="22"/>
      <c r="G1276" s="22"/>
      <c r="H1276" s="22"/>
    </row>
    <row r="1277" customFormat="false" ht="15.75" hidden="false" customHeight="false" outlineLevel="0" collapsed="false">
      <c r="A1277" s="7"/>
      <c r="B1277" s="16"/>
      <c r="C1277" s="22"/>
      <c r="D1277" s="22"/>
      <c r="E1277" s="22"/>
      <c r="F1277" s="22"/>
      <c r="G1277" s="22"/>
      <c r="H1277" s="22"/>
    </row>
    <row r="1278" customFormat="false" ht="15.75" hidden="false" customHeight="false" outlineLevel="0" collapsed="false">
      <c r="A1278" s="7"/>
      <c r="B1278" s="16"/>
      <c r="C1278" s="22"/>
      <c r="D1278" s="22"/>
      <c r="E1278" s="22"/>
      <c r="F1278" s="22"/>
      <c r="G1278" s="22"/>
      <c r="H1278" s="22"/>
    </row>
    <row r="1279" customFormat="false" ht="15.75" hidden="false" customHeight="false" outlineLevel="0" collapsed="false">
      <c r="A1279" s="7"/>
      <c r="B1279" s="16"/>
      <c r="C1279" s="22"/>
      <c r="D1279" s="22"/>
      <c r="E1279" s="22"/>
      <c r="F1279" s="22"/>
      <c r="G1279" s="22"/>
      <c r="H1279" s="22"/>
    </row>
    <row r="1280" customFormat="false" ht="15.75" hidden="false" customHeight="false" outlineLevel="0" collapsed="false">
      <c r="A1280" s="7"/>
      <c r="B1280" s="16"/>
      <c r="C1280" s="22"/>
      <c r="D1280" s="22"/>
      <c r="E1280" s="22"/>
      <c r="F1280" s="22"/>
      <c r="G1280" s="22"/>
      <c r="H1280" s="22"/>
    </row>
    <row r="1281" customFormat="false" ht="15.75" hidden="false" customHeight="false" outlineLevel="0" collapsed="false">
      <c r="A1281" s="7"/>
      <c r="B1281" s="16"/>
      <c r="C1281" s="22"/>
      <c r="D1281" s="22"/>
      <c r="E1281" s="22"/>
      <c r="F1281" s="22"/>
      <c r="G1281" s="22"/>
      <c r="H1281" s="22"/>
    </row>
    <row r="1282" customFormat="false" ht="15.75" hidden="false" customHeight="false" outlineLevel="0" collapsed="false">
      <c r="A1282" s="7"/>
      <c r="B1282" s="16"/>
      <c r="C1282" s="22"/>
      <c r="D1282" s="22"/>
      <c r="E1282" s="22"/>
      <c r="F1282" s="22"/>
      <c r="G1282" s="22"/>
      <c r="H1282" s="22"/>
    </row>
    <row r="1283" customFormat="false" ht="15.75" hidden="false" customHeight="false" outlineLevel="0" collapsed="false">
      <c r="A1283" s="7"/>
      <c r="B1283" s="16"/>
      <c r="C1283" s="22"/>
      <c r="D1283" s="22"/>
      <c r="E1283" s="22"/>
      <c r="F1283" s="22"/>
      <c r="G1283" s="22"/>
      <c r="H1283" s="22"/>
    </row>
    <row r="1284" customFormat="false" ht="15.75" hidden="false" customHeight="false" outlineLevel="0" collapsed="false">
      <c r="A1284" s="7"/>
      <c r="B1284" s="16"/>
      <c r="C1284" s="22"/>
      <c r="D1284" s="22"/>
      <c r="E1284" s="22"/>
      <c r="F1284" s="22"/>
      <c r="G1284" s="22"/>
      <c r="H1284" s="22"/>
    </row>
    <row r="1285" customFormat="false" ht="15.75" hidden="false" customHeight="false" outlineLevel="0" collapsed="false">
      <c r="A1285" s="7"/>
      <c r="B1285" s="16"/>
      <c r="C1285" s="22"/>
      <c r="D1285" s="22"/>
      <c r="E1285" s="22"/>
      <c r="F1285" s="22"/>
      <c r="G1285" s="22"/>
      <c r="H1285" s="22"/>
    </row>
    <row r="1286" customFormat="false" ht="15.75" hidden="false" customHeight="false" outlineLevel="0" collapsed="false">
      <c r="A1286" s="7"/>
      <c r="B1286" s="16"/>
      <c r="C1286" s="22"/>
      <c r="D1286" s="22"/>
      <c r="E1286" s="22"/>
      <c r="F1286" s="22"/>
      <c r="G1286" s="22"/>
      <c r="H1286" s="22"/>
    </row>
    <row r="1287" customFormat="false" ht="15.75" hidden="false" customHeight="false" outlineLevel="0" collapsed="false">
      <c r="A1287" s="7"/>
      <c r="B1287" s="16"/>
      <c r="C1287" s="22"/>
      <c r="D1287" s="22"/>
      <c r="E1287" s="22"/>
      <c r="F1287" s="22"/>
      <c r="G1287" s="22"/>
      <c r="H1287" s="22"/>
    </row>
    <row r="1288" customFormat="false" ht="15.75" hidden="false" customHeight="false" outlineLevel="0" collapsed="false">
      <c r="A1288" s="7"/>
      <c r="B1288" s="16"/>
      <c r="C1288" s="22"/>
      <c r="D1288" s="22"/>
      <c r="E1288" s="22"/>
      <c r="F1288" s="22"/>
      <c r="G1288" s="22"/>
      <c r="H1288" s="22"/>
    </row>
    <row r="1289" customFormat="false" ht="15.75" hidden="false" customHeight="false" outlineLevel="0" collapsed="false">
      <c r="A1289" s="7"/>
      <c r="B1289" s="16"/>
      <c r="C1289" s="22"/>
      <c r="D1289" s="22"/>
      <c r="E1289" s="22"/>
      <c r="F1289" s="22"/>
      <c r="G1289" s="22"/>
      <c r="H1289" s="22"/>
    </row>
    <row r="1290" customFormat="false" ht="15.75" hidden="false" customHeight="false" outlineLevel="0" collapsed="false">
      <c r="A1290" s="7"/>
      <c r="B1290" s="16"/>
      <c r="C1290" s="22"/>
      <c r="D1290" s="22"/>
      <c r="E1290" s="22"/>
      <c r="F1290" s="22"/>
      <c r="G1290" s="22"/>
      <c r="H1290" s="22"/>
    </row>
    <row r="1291" customFormat="false" ht="15.75" hidden="false" customHeight="false" outlineLevel="0" collapsed="false">
      <c r="A1291" s="7"/>
      <c r="B1291" s="16"/>
      <c r="C1291" s="22"/>
      <c r="D1291" s="22"/>
      <c r="E1291" s="22"/>
      <c r="F1291" s="22"/>
      <c r="G1291" s="22"/>
      <c r="H1291" s="22"/>
    </row>
    <row r="1292" customFormat="false" ht="15.75" hidden="false" customHeight="false" outlineLevel="0" collapsed="false">
      <c r="A1292" s="7"/>
      <c r="B1292" s="16"/>
      <c r="C1292" s="22"/>
      <c r="D1292" s="22"/>
      <c r="E1292" s="22"/>
      <c r="F1292" s="22"/>
      <c r="G1292" s="22"/>
      <c r="H1292" s="22"/>
    </row>
    <row r="1293" customFormat="false" ht="15.75" hidden="false" customHeight="false" outlineLevel="0" collapsed="false">
      <c r="A1293" s="7"/>
      <c r="B1293" s="16"/>
      <c r="C1293" s="22"/>
      <c r="D1293" s="22"/>
      <c r="E1293" s="22"/>
      <c r="F1293" s="22"/>
      <c r="G1293" s="22"/>
      <c r="H1293" s="22"/>
    </row>
    <row r="1294" customFormat="false" ht="15.75" hidden="false" customHeight="false" outlineLevel="0" collapsed="false">
      <c r="A1294" s="7"/>
      <c r="B1294" s="16"/>
      <c r="C1294" s="22"/>
      <c r="D1294" s="22"/>
      <c r="E1294" s="22"/>
      <c r="F1294" s="22"/>
      <c r="G1294" s="22"/>
      <c r="H1294" s="22"/>
    </row>
    <row r="1295" customFormat="false" ht="15.75" hidden="false" customHeight="false" outlineLevel="0" collapsed="false">
      <c r="A1295" s="7"/>
      <c r="B1295" s="16"/>
      <c r="C1295" s="22"/>
      <c r="D1295" s="22"/>
      <c r="E1295" s="22"/>
      <c r="F1295" s="22"/>
      <c r="G1295" s="22"/>
      <c r="H1295" s="22"/>
    </row>
    <row r="1296" customFormat="false" ht="15.75" hidden="false" customHeight="false" outlineLevel="0" collapsed="false">
      <c r="A1296" s="7"/>
      <c r="B1296" s="16"/>
      <c r="C1296" s="22"/>
      <c r="D1296" s="22"/>
      <c r="E1296" s="22"/>
      <c r="F1296" s="22"/>
      <c r="G1296" s="22"/>
      <c r="H1296" s="22"/>
    </row>
    <row r="1297" customFormat="false" ht="15.75" hidden="false" customHeight="false" outlineLevel="0" collapsed="false">
      <c r="A1297" s="7"/>
      <c r="B1297" s="16"/>
      <c r="C1297" s="22"/>
      <c r="D1297" s="22"/>
      <c r="E1297" s="22"/>
      <c r="F1297" s="22"/>
      <c r="G1297" s="22"/>
      <c r="H1297" s="22"/>
    </row>
    <row r="1298" customFormat="false" ht="15.75" hidden="false" customHeight="false" outlineLevel="0" collapsed="false">
      <c r="A1298" s="7"/>
      <c r="B1298" s="16"/>
      <c r="C1298" s="22"/>
      <c r="D1298" s="22"/>
      <c r="E1298" s="22"/>
      <c r="F1298" s="22"/>
      <c r="G1298" s="22"/>
      <c r="H1298" s="22"/>
    </row>
    <row r="1299" customFormat="false" ht="15.75" hidden="false" customHeight="false" outlineLevel="0" collapsed="false">
      <c r="A1299" s="7"/>
      <c r="B1299" s="16"/>
      <c r="C1299" s="22"/>
      <c r="D1299" s="22"/>
      <c r="E1299" s="22"/>
      <c r="F1299" s="22"/>
      <c r="G1299" s="22"/>
      <c r="H1299" s="22"/>
    </row>
    <row r="1300" customFormat="false" ht="15.75" hidden="false" customHeight="false" outlineLevel="0" collapsed="false">
      <c r="A1300" s="7"/>
      <c r="B1300" s="16"/>
      <c r="C1300" s="22"/>
      <c r="D1300" s="22"/>
      <c r="E1300" s="22"/>
      <c r="F1300" s="22"/>
      <c r="G1300" s="22"/>
      <c r="H1300" s="22"/>
    </row>
    <row r="1301" customFormat="false" ht="15.75" hidden="false" customHeight="false" outlineLevel="0" collapsed="false">
      <c r="A1301" s="7"/>
      <c r="B1301" s="16"/>
      <c r="C1301" s="22"/>
      <c r="D1301" s="22"/>
      <c r="E1301" s="22"/>
      <c r="F1301" s="22"/>
      <c r="G1301" s="22"/>
      <c r="H1301" s="22"/>
    </row>
    <row r="1302" customFormat="false" ht="15.75" hidden="false" customHeight="false" outlineLevel="0" collapsed="false">
      <c r="A1302" s="7"/>
      <c r="B1302" s="16"/>
      <c r="C1302" s="22"/>
      <c r="D1302" s="22"/>
      <c r="E1302" s="22"/>
      <c r="F1302" s="22"/>
      <c r="G1302" s="22"/>
      <c r="H1302" s="22"/>
    </row>
    <row r="1303" customFormat="false" ht="15.75" hidden="false" customHeight="false" outlineLevel="0" collapsed="false">
      <c r="A1303" s="7"/>
      <c r="B1303" s="16"/>
      <c r="C1303" s="22"/>
      <c r="D1303" s="22"/>
      <c r="E1303" s="22"/>
      <c r="F1303" s="22"/>
      <c r="G1303" s="22"/>
      <c r="H1303" s="22"/>
    </row>
    <row r="1304" customFormat="false" ht="15.75" hidden="false" customHeight="false" outlineLevel="0" collapsed="false">
      <c r="A1304" s="7"/>
      <c r="B1304" s="16"/>
      <c r="C1304" s="22"/>
      <c r="D1304" s="22"/>
      <c r="E1304" s="22"/>
      <c r="F1304" s="22"/>
      <c r="G1304" s="22"/>
      <c r="H1304" s="22"/>
    </row>
    <row r="1305" customFormat="false" ht="15.75" hidden="false" customHeight="false" outlineLevel="0" collapsed="false">
      <c r="A1305" s="7"/>
      <c r="B1305" s="16"/>
      <c r="C1305" s="22"/>
      <c r="D1305" s="22"/>
      <c r="E1305" s="22"/>
      <c r="F1305" s="22"/>
      <c r="G1305" s="22"/>
      <c r="H1305" s="22"/>
    </row>
    <row r="1306" customFormat="false" ht="15.75" hidden="false" customHeight="false" outlineLevel="0" collapsed="false">
      <c r="A1306" s="7"/>
      <c r="B1306" s="16"/>
      <c r="C1306" s="22"/>
      <c r="D1306" s="22"/>
      <c r="E1306" s="22"/>
      <c r="F1306" s="22"/>
      <c r="G1306" s="22"/>
      <c r="H1306" s="22"/>
    </row>
    <row r="1307" customFormat="false" ht="15.75" hidden="false" customHeight="false" outlineLevel="0" collapsed="false">
      <c r="A1307" s="7"/>
      <c r="B1307" s="16"/>
      <c r="C1307" s="22"/>
      <c r="D1307" s="22"/>
      <c r="E1307" s="22"/>
      <c r="F1307" s="22"/>
      <c r="G1307" s="22"/>
      <c r="H1307" s="22"/>
    </row>
    <row r="1308" customFormat="false" ht="15.75" hidden="false" customHeight="false" outlineLevel="0" collapsed="false">
      <c r="A1308" s="7"/>
      <c r="B1308" s="16"/>
      <c r="C1308" s="22"/>
      <c r="D1308" s="22"/>
      <c r="E1308" s="22"/>
      <c r="F1308" s="22"/>
      <c r="G1308" s="22"/>
      <c r="H1308" s="22"/>
    </row>
    <row r="1309" customFormat="false" ht="15.75" hidden="false" customHeight="false" outlineLevel="0" collapsed="false">
      <c r="A1309" s="7"/>
      <c r="B1309" s="16"/>
      <c r="C1309" s="22"/>
      <c r="D1309" s="22"/>
      <c r="E1309" s="22"/>
      <c r="F1309" s="22"/>
      <c r="G1309" s="22"/>
      <c r="H1309" s="22"/>
    </row>
    <row r="1310" customFormat="false" ht="15.75" hidden="false" customHeight="false" outlineLevel="0" collapsed="false">
      <c r="A1310" s="7"/>
      <c r="B1310" s="16"/>
      <c r="C1310" s="22"/>
      <c r="D1310" s="22"/>
      <c r="E1310" s="22"/>
      <c r="F1310" s="22"/>
      <c r="G1310" s="22"/>
      <c r="H1310" s="22"/>
    </row>
    <row r="1311" customFormat="false" ht="15.75" hidden="false" customHeight="false" outlineLevel="0" collapsed="false">
      <c r="A1311" s="7"/>
      <c r="B1311" s="16"/>
      <c r="C1311" s="22"/>
      <c r="D1311" s="22"/>
      <c r="E1311" s="22"/>
      <c r="F1311" s="22"/>
      <c r="G1311" s="22"/>
      <c r="H1311" s="22"/>
    </row>
    <row r="1312" customFormat="false" ht="15.75" hidden="false" customHeight="false" outlineLevel="0" collapsed="false">
      <c r="A1312" s="7"/>
      <c r="B1312" s="16"/>
      <c r="C1312" s="22"/>
      <c r="D1312" s="22"/>
      <c r="E1312" s="22"/>
      <c r="F1312" s="22"/>
      <c r="G1312" s="22"/>
      <c r="H1312" s="22"/>
    </row>
    <row r="1313" customFormat="false" ht="15.75" hidden="false" customHeight="false" outlineLevel="0" collapsed="false">
      <c r="A1313" s="7"/>
      <c r="B1313" s="16"/>
      <c r="C1313" s="22"/>
      <c r="D1313" s="22"/>
      <c r="E1313" s="22"/>
      <c r="F1313" s="22"/>
      <c r="G1313" s="22"/>
      <c r="H1313" s="22"/>
    </row>
    <row r="1314" customFormat="false" ht="15.75" hidden="false" customHeight="false" outlineLevel="0" collapsed="false">
      <c r="A1314" s="7"/>
      <c r="B1314" s="16"/>
      <c r="C1314" s="22"/>
      <c r="D1314" s="22"/>
      <c r="E1314" s="22"/>
      <c r="F1314" s="22"/>
      <c r="G1314" s="22"/>
      <c r="H1314" s="22"/>
    </row>
    <row r="1315" customFormat="false" ht="15.75" hidden="false" customHeight="false" outlineLevel="0" collapsed="false">
      <c r="A1315" s="7"/>
      <c r="B1315" s="16"/>
      <c r="C1315" s="22"/>
      <c r="D1315" s="22"/>
      <c r="E1315" s="22"/>
      <c r="F1315" s="22"/>
      <c r="G1315" s="22"/>
      <c r="H1315" s="22"/>
    </row>
    <row r="1316" customFormat="false" ht="15.75" hidden="false" customHeight="false" outlineLevel="0" collapsed="false">
      <c r="A1316" s="7"/>
      <c r="B1316" s="16"/>
      <c r="C1316" s="22"/>
      <c r="D1316" s="22"/>
      <c r="E1316" s="22"/>
      <c r="F1316" s="22"/>
      <c r="G1316" s="22"/>
      <c r="H1316" s="22"/>
    </row>
    <row r="1317" customFormat="false" ht="15.75" hidden="false" customHeight="false" outlineLevel="0" collapsed="false">
      <c r="A1317" s="7"/>
      <c r="B1317" s="16"/>
      <c r="C1317" s="22"/>
      <c r="D1317" s="22"/>
      <c r="E1317" s="22"/>
      <c r="F1317" s="22"/>
      <c r="G1317" s="22"/>
      <c r="H1317" s="22"/>
    </row>
    <row r="1318" customFormat="false" ht="15.75" hidden="false" customHeight="false" outlineLevel="0" collapsed="false">
      <c r="A1318" s="7"/>
      <c r="B1318" s="16"/>
      <c r="C1318" s="22"/>
      <c r="D1318" s="22"/>
      <c r="E1318" s="22"/>
      <c r="F1318" s="22"/>
      <c r="G1318" s="22"/>
      <c r="H1318" s="22"/>
    </row>
    <row r="1319" customFormat="false" ht="15.75" hidden="false" customHeight="false" outlineLevel="0" collapsed="false">
      <c r="A1319" s="7"/>
      <c r="B1319" s="16"/>
      <c r="C1319" s="22"/>
      <c r="D1319" s="22"/>
      <c r="E1319" s="22"/>
      <c r="F1319" s="22"/>
      <c r="G1319" s="22"/>
      <c r="H1319" s="22"/>
    </row>
    <row r="1320" customFormat="false" ht="15.75" hidden="false" customHeight="false" outlineLevel="0" collapsed="false">
      <c r="A1320" s="7"/>
      <c r="B1320" s="16"/>
      <c r="C1320" s="22"/>
      <c r="D1320" s="22"/>
      <c r="E1320" s="22"/>
      <c r="F1320" s="22"/>
      <c r="G1320" s="22"/>
      <c r="H1320" s="22"/>
    </row>
    <row r="1321" customFormat="false" ht="15.75" hidden="false" customHeight="false" outlineLevel="0" collapsed="false">
      <c r="A1321" s="7"/>
      <c r="B1321" s="16"/>
      <c r="C1321" s="22"/>
      <c r="D1321" s="22"/>
      <c r="E1321" s="22"/>
      <c r="F1321" s="22"/>
      <c r="G1321" s="22"/>
      <c r="H1321" s="22"/>
    </row>
    <row r="1322" customFormat="false" ht="15.75" hidden="false" customHeight="false" outlineLevel="0" collapsed="false">
      <c r="A1322" s="7"/>
      <c r="B1322" s="16"/>
      <c r="C1322" s="22"/>
      <c r="D1322" s="22"/>
      <c r="E1322" s="22"/>
      <c r="F1322" s="22"/>
      <c r="G1322" s="22"/>
      <c r="H1322" s="22"/>
    </row>
    <row r="1323" customFormat="false" ht="15.75" hidden="false" customHeight="false" outlineLevel="0" collapsed="false">
      <c r="A1323" s="7"/>
      <c r="B1323" s="16"/>
      <c r="C1323" s="22"/>
      <c r="D1323" s="22"/>
      <c r="E1323" s="22"/>
      <c r="F1323" s="22"/>
      <c r="G1323" s="22"/>
      <c r="H1323" s="22"/>
    </row>
    <row r="1324" customFormat="false" ht="15.75" hidden="false" customHeight="false" outlineLevel="0" collapsed="false">
      <c r="A1324" s="7"/>
      <c r="B1324" s="16"/>
      <c r="C1324" s="22"/>
      <c r="D1324" s="22"/>
      <c r="E1324" s="22"/>
      <c r="F1324" s="22"/>
      <c r="G1324" s="22"/>
      <c r="H1324" s="22"/>
    </row>
    <row r="1325" customFormat="false" ht="15.75" hidden="false" customHeight="false" outlineLevel="0" collapsed="false">
      <c r="A1325" s="7"/>
      <c r="B1325" s="16"/>
      <c r="C1325" s="22"/>
      <c r="D1325" s="22"/>
      <c r="E1325" s="22"/>
      <c r="F1325" s="22"/>
      <c r="G1325" s="22"/>
      <c r="H1325" s="22"/>
    </row>
    <row r="1326" customFormat="false" ht="15.75" hidden="false" customHeight="false" outlineLevel="0" collapsed="false">
      <c r="A1326" s="7"/>
      <c r="B1326" s="16"/>
      <c r="C1326" s="22"/>
      <c r="D1326" s="22"/>
      <c r="E1326" s="22"/>
      <c r="F1326" s="22"/>
      <c r="G1326" s="22"/>
      <c r="H1326" s="22"/>
    </row>
    <row r="1327" customFormat="false" ht="15.75" hidden="false" customHeight="false" outlineLevel="0" collapsed="false">
      <c r="A1327" s="7"/>
      <c r="B1327" s="16"/>
      <c r="C1327" s="22"/>
      <c r="D1327" s="22"/>
      <c r="E1327" s="22"/>
      <c r="F1327" s="22"/>
      <c r="G1327" s="22"/>
      <c r="H1327" s="22"/>
    </row>
    <row r="1328" customFormat="false" ht="15.75" hidden="false" customHeight="false" outlineLevel="0" collapsed="false">
      <c r="A1328" s="7"/>
      <c r="B1328" s="16"/>
      <c r="C1328" s="22"/>
      <c r="D1328" s="22"/>
      <c r="E1328" s="22"/>
      <c r="F1328" s="22"/>
      <c r="G1328" s="22"/>
      <c r="H1328" s="22"/>
    </row>
    <row r="1329" customFormat="false" ht="15.75" hidden="false" customHeight="false" outlineLevel="0" collapsed="false">
      <c r="A1329" s="7"/>
      <c r="B1329" s="16"/>
      <c r="C1329" s="22"/>
      <c r="D1329" s="22"/>
      <c r="E1329" s="22"/>
      <c r="F1329" s="22"/>
      <c r="G1329" s="22"/>
      <c r="H1329" s="22"/>
    </row>
    <row r="1330" customFormat="false" ht="15.75" hidden="false" customHeight="false" outlineLevel="0" collapsed="false">
      <c r="A1330" s="7"/>
      <c r="B1330" s="16"/>
      <c r="C1330" s="22"/>
      <c r="D1330" s="22"/>
      <c r="E1330" s="22"/>
      <c r="F1330" s="22"/>
      <c r="G1330" s="22"/>
      <c r="H1330" s="22"/>
    </row>
    <row r="1331" customFormat="false" ht="15.75" hidden="false" customHeight="false" outlineLevel="0" collapsed="false">
      <c r="A1331" s="7"/>
      <c r="B1331" s="16"/>
      <c r="C1331" s="22"/>
      <c r="D1331" s="22"/>
      <c r="E1331" s="22"/>
      <c r="F1331" s="22"/>
      <c r="G1331" s="22"/>
      <c r="H1331" s="22"/>
    </row>
    <row r="1332" customFormat="false" ht="15.75" hidden="false" customHeight="false" outlineLevel="0" collapsed="false">
      <c r="A1332" s="7"/>
      <c r="B1332" s="16"/>
      <c r="C1332" s="22"/>
      <c r="D1332" s="22"/>
      <c r="E1332" s="22"/>
      <c r="F1332" s="22"/>
      <c r="G1332" s="22"/>
      <c r="H1332" s="22"/>
    </row>
    <row r="1333" customFormat="false" ht="15.75" hidden="false" customHeight="false" outlineLevel="0" collapsed="false">
      <c r="A1333" s="7"/>
      <c r="B1333" s="16"/>
      <c r="C1333" s="22"/>
      <c r="D1333" s="22"/>
      <c r="E1333" s="22"/>
      <c r="F1333" s="22"/>
      <c r="G1333" s="22"/>
      <c r="H1333" s="22"/>
    </row>
    <row r="1334" customFormat="false" ht="15.75" hidden="false" customHeight="false" outlineLevel="0" collapsed="false">
      <c r="A1334" s="7"/>
      <c r="B1334" s="16"/>
      <c r="C1334" s="22"/>
      <c r="D1334" s="22"/>
      <c r="E1334" s="22"/>
      <c r="F1334" s="22"/>
      <c r="G1334" s="22"/>
      <c r="H1334" s="22"/>
    </row>
    <row r="1335" customFormat="false" ht="15.75" hidden="false" customHeight="false" outlineLevel="0" collapsed="false">
      <c r="A1335" s="7"/>
      <c r="B1335" s="16"/>
      <c r="C1335" s="22"/>
      <c r="D1335" s="22"/>
      <c r="E1335" s="22"/>
      <c r="F1335" s="22"/>
      <c r="G1335" s="22"/>
      <c r="H1335" s="22"/>
    </row>
    <row r="1336" customFormat="false" ht="15.75" hidden="false" customHeight="false" outlineLevel="0" collapsed="false">
      <c r="A1336" s="7"/>
      <c r="B1336" s="16"/>
      <c r="C1336" s="22"/>
      <c r="D1336" s="22"/>
      <c r="E1336" s="22"/>
      <c r="F1336" s="22"/>
      <c r="G1336" s="22"/>
      <c r="H1336" s="22"/>
    </row>
    <row r="1337" customFormat="false" ht="15.75" hidden="false" customHeight="false" outlineLevel="0" collapsed="false">
      <c r="A1337" s="7"/>
      <c r="B1337" s="16"/>
      <c r="C1337" s="22"/>
      <c r="D1337" s="22"/>
      <c r="E1337" s="22"/>
      <c r="F1337" s="22"/>
      <c r="G1337" s="22"/>
      <c r="H1337" s="22"/>
    </row>
    <row r="1338" customFormat="false" ht="15.75" hidden="false" customHeight="false" outlineLevel="0" collapsed="false">
      <c r="A1338" s="7"/>
      <c r="B1338" s="16"/>
      <c r="C1338" s="22"/>
      <c r="D1338" s="22"/>
      <c r="E1338" s="22"/>
      <c r="F1338" s="22"/>
      <c r="G1338" s="22"/>
      <c r="H1338" s="22"/>
    </row>
    <row r="1339" customFormat="false" ht="15.75" hidden="false" customHeight="false" outlineLevel="0" collapsed="false">
      <c r="A1339" s="7"/>
      <c r="B1339" s="16"/>
      <c r="C1339" s="22"/>
      <c r="D1339" s="22"/>
      <c r="E1339" s="22"/>
      <c r="F1339" s="22"/>
      <c r="G1339" s="22"/>
      <c r="H1339" s="22"/>
    </row>
    <row r="1340" customFormat="false" ht="15.75" hidden="false" customHeight="false" outlineLevel="0" collapsed="false">
      <c r="A1340" s="7"/>
      <c r="B1340" s="16"/>
      <c r="C1340" s="22"/>
      <c r="D1340" s="22"/>
      <c r="E1340" s="22"/>
      <c r="F1340" s="22"/>
      <c r="G1340" s="22"/>
      <c r="H1340" s="22"/>
    </row>
    <row r="1341" customFormat="false" ht="15.75" hidden="false" customHeight="false" outlineLevel="0" collapsed="false">
      <c r="A1341" s="7"/>
      <c r="B1341" s="16"/>
      <c r="C1341" s="22"/>
      <c r="D1341" s="22"/>
      <c r="E1341" s="22"/>
      <c r="F1341" s="22"/>
      <c r="G1341" s="22"/>
      <c r="H1341" s="22"/>
    </row>
    <row r="1342" customFormat="false" ht="15.75" hidden="false" customHeight="false" outlineLevel="0" collapsed="false">
      <c r="A1342" s="7"/>
      <c r="B1342" s="16"/>
      <c r="C1342" s="22"/>
      <c r="D1342" s="22"/>
      <c r="E1342" s="22"/>
      <c r="F1342" s="22"/>
      <c r="G1342" s="22"/>
      <c r="H1342" s="22"/>
    </row>
    <row r="1343" customFormat="false" ht="15.75" hidden="false" customHeight="false" outlineLevel="0" collapsed="false">
      <c r="A1343" s="7"/>
      <c r="B1343" s="16"/>
      <c r="C1343" s="22"/>
      <c r="D1343" s="22"/>
      <c r="E1343" s="22"/>
      <c r="F1343" s="22"/>
      <c r="G1343" s="22"/>
      <c r="H1343" s="22"/>
    </row>
    <row r="1344" customFormat="false" ht="15.75" hidden="false" customHeight="false" outlineLevel="0" collapsed="false">
      <c r="A1344" s="7"/>
      <c r="B1344" s="16"/>
      <c r="C1344" s="22"/>
      <c r="D1344" s="22"/>
      <c r="E1344" s="22"/>
      <c r="F1344" s="22"/>
      <c r="G1344" s="22"/>
      <c r="H1344" s="22"/>
    </row>
    <row r="1345" customFormat="false" ht="15.75" hidden="false" customHeight="false" outlineLevel="0" collapsed="false">
      <c r="A1345" s="7"/>
      <c r="B1345" s="16"/>
      <c r="C1345" s="22"/>
      <c r="D1345" s="22"/>
      <c r="E1345" s="22"/>
      <c r="F1345" s="22"/>
      <c r="G1345" s="22"/>
      <c r="H1345" s="22"/>
    </row>
    <row r="1346" customFormat="false" ht="15.75" hidden="false" customHeight="false" outlineLevel="0" collapsed="false">
      <c r="A1346" s="7"/>
      <c r="B1346" s="16"/>
      <c r="C1346" s="22"/>
      <c r="D1346" s="22"/>
      <c r="E1346" s="22"/>
      <c r="F1346" s="22"/>
      <c r="G1346" s="22"/>
      <c r="H1346" s="22"/>
    </row>
    <row r="1347" customFormat="false" ht="15.75" hidden="false" customHeight="false" outlineLevel="0" collapsed="false">
      <c r="A1347" s="7"/>
      <c r="B1347" s="16"/>
      <c r="C1347" s="22"/>
      <c r="D1347" s="22"/>
      <c r="E1347" s="22"/>
      <c r="F1347" s="22"/>
      <c r="G1347" s="22"/>
      <c r="H1347" s="22"/>
    </row>
    <row r="1348" customFormat="false" ht="15.75" hidden="false" customHeight="false" outlineLevel="0" collapsed="false">
      <c r="A1348" s="7"/>
      <c r="B1348" s="16"/>
      <c r="C1348" s="22"/>
      <c r="D1348" s="22"/>
      <c r="E1348" s="22"/>
      <c r="F1348" s="22"/>
      <c r="G1348" s="22"/>
      <c r="H1348" s="22"/>
    </row>
    <row r="1349" customFormat="false" ht="15.75" hidden="false" customHeight="false" outlineLevel="0" collapsed="false">
      <c r="A1349" s="7"/>
      <c r="B1349" s="16"/>
      <c r="C1349" s="22"/>
      <c r="D1349" s="22"/>
      <c r="E1349" s="22"/>
      <c r="F1349" s="22"/>
      <c r="G1349" s="22"/>
      <c r="H1349" s="22"/>
    </row>
    <row r="1350" customFormat="false" ht="15.75" hidden="false" customHeight="false" outlineLevel="0" collapsed="false">
      <c r="A1350" s="7"/>
      <c r="B1350" s="16"/>
      <c r="C1350" s="22"/>
      <c r="D1350" s="22"/>
      <c r="E1350" s="22"/>
      <c r="F1350" s="22"/>
      <c r="G1350" s="22"/>
      <c r="H1350" s="22"/>
    </row>
    <row r="1351" customFormat="false" ht="15.75" hidden="false" customHeight="false" outlineLevel="0" collapsed="false">
      <c r="A1351" s="7"/>
      <c r="B1351" s="16"/>
      <c r="C1351" s="22"/>
      <c r="D1351" s="22"/>
      <c r="E1351" s="22"/>
      <c r="F1351" s="22"/>
      <c r="G1351" s="22"/>
      <c r="H1351" s="22"/>
    </row>
    <row r="1352" customFormat="false" ht="15.75" hidden="false" customHeight="false" outlineLevel="0" collapsed="false">
      <c r="A1352" s="7"/>
      <c r="B1352" s="16"/>
      <c r="C1352" s="22"/>
      <c r="D1352" s="22"/>
      <c r="E1352" s="22"/>
      <c r="F1352" s="22"/>
      <c r="G1352" s="22"/>
      <c r="H1352" s="22"/>
    </row>
    <row r="1353" customFormat="false" ht="15.75" hidden="false" customHeight="false" outlineLevel="0" collapsed="false">
      <c r="A1353" s="7"/>
      <c r="B1353" s="16"/>
      <c r="C1353" s="22"/>
      <c r="D1353" s="22"/>
      <c r="E1353" s="22"/>
      <c r="F1353" s="22"/>
      <c r="G1353" s="22"/>
      <c r="H1353" s="22"/>
    </row>
    <row r="1354" customFormat="false" ht="15.75" hidden="false" customHeight="false" outlineLevel="0" collapsed="false">
      <c r="A1354" s="7"/>
      <c r="B1354" s="16"/>
      <c r="C1354" s="22"/>
      <c r="D1354" s="22"/>
      <c r="E1354" s="22"/>
      <c r="F1354" s="22"/>
      <c r="G1354" s="22"/>
      <c r="H1354" s="22"/>
    </row>
    <row r="1355" customFormat="false" ht="15.75" hidden="false" customHeight="false" outlineLevel="0" collapsed="false">
      <c r="A1355" s="7"/>
      <c r="B1355" s="16"/>
      <c r="C1355" s="22"/>
      <c r="D1355" s="22"/>
      <c r="E1355" s="22"/>
      <c r="F1355" s="22"/>
      <c r="G1355" s="22"/>
      <c r="H1355" s="22"/>
    </row>
    <row r="1356" customFormat="false" ht="15.75" hidden="false" customHeight="false" outlineLevel="0" collapsed="false">
      <c r="A1356" s="7"/>
      <c r="B1356" s="16"/>
      <c r="C1356" s="22"/>
      <c r="D1356" s="22"/>
      <c r="E1356" s="22"/>
      <c r="F1356" s="22"/>
      <c r="G1356" s="22"/>
      <c r="H1356" s="22"/>
    </row>
    <row r="1357" customFormat="false" ht="15.75" hidden="false" customHeight="false" outlineLevel="0" collapsed="false">
      <c r="A1357" s="7"/>
      <c r="B1357" s="16"/>
      <c r="C1357" s="22"/>
      <c r="D1357" s="22"/>
      <c r="E1357" s="22"/>
      <c r="F1357" s="22"/>
      <c r="G1357" s="22"/>
      <c r="H1357" s="22"/>
    </row>
    <row r="1358" customFormat="false" ht="15.75" hidden="false" customHeight="false" outlineLevel="0" collapsed="false">
      <c r="A1358" s="7"/>
      <c r="B1358" s="16"/>
      <c r="C1358" s="22"/>
      <c r="D1358" s="22"/>
      <c r="E1358" s="22"/>
      <c r="F1358" s="22"/>
      <c r="G1358" s="22"/>
      <c r="H1358" s="22"/>
    </row>
    <row r="1359" customFormat="false" ht="15.75" hidden="false" customHeight="false" outlineLevel="0" collapsed="false">
      <c r="A1359" s="7"/>
      <c r="B1359" s="16"/>
      <c r="C1359" s="22"/>
      <c r="D1359" s="22"/>
      <c r="E1359" s="22"/>
      <c r="F1359" s="22"/>
      <c r="G1359" s="22"/>
      <c r="H1359" s="22"/>
    </row>
    <row r="1360" customFormat="false" ht="15.75" hidden="false" customHeight="false" outlineLevel="0" collapsed="false">
      <c r="A1360" s="7"/>
      <c r="B1360" s="16"/>
      <c r="C1360" s="22"/>
      <c r="D1360" s="22"/>
      <c r="E1360" s="22"/>
      <c r="F1360" s="22"/>
      <c r="G1360" s="22"/>
      <c r="H1360" s="22"/>
    </row>
    <row r="1361" customFormat="false" ht="15.75" hidden="false" customHeight="false" outlineLevel="0" collapsed="false">
      <c r="A1361" s="7"/>
      <c r="B1361" s="16"/>
      <c r="C1361" s="22"/>
      <c r="D1361" s="22"/>
      <c r="E1361" s="22"/>
      <c r="F1361" s="22"/>
      <c r="G1361" s="22"/>
      <c r="H1361" s="22"/>
    </row>
    <row r="1362" customFormat="false" ht="15.75" hidden="false" customHeight="false" outlineLevel="0" collapsed="false">
      <c r="A1362" s="7"/>
      <c r="B1362" s="16"/>
      <c r="C1362" s="22"/>
      <c r="D1362" s="22"/>
      <c r="E1362" s="22"/>
      <c r="F1362" s="22"/>
      <c r="G1362" s="22"/>
      <c r="H1362" s="22"/>
    </row>
    <row r="1363" customFormat="false" ht="15.75" hidden="false" customHeight="false" outlineLevel="0" collapsed="false">
      <c r="A1363" s="7"/>
      <c r="B1363" s="16"/>
      <c r="C1363" s="22"/>
      <c r="D1363" s="22"/>
      <c r="E1363" s="22"/>
      <c r="F1363" s="22"/>
      <c r="G1363" s="22"/>
      <c r="H1363" s="22"/>
    </row>
    <row r="1364" customFormat="false" ht="15.75" hidden="false" customHeight="false" outlineLevel="0" collapsed="false">
      <c r="A1364" s="7"/>
      <c r="B1364" s="16"/>
      <c r="C1364" s="22"/>
      <c r="D1364" s="22"/>
      <c r="E1364" s="22"/>
      <c r="F1364" s="22"/>
      <c r="G1364" s="22"/>
      <c r="H1364" s="22"/>
    </row>
    <row r="1365" customFormat="false" ht="15.75" hidden="false" customHeight="false" outlineLevel="0" collapsed="false">
      <c r="A1365" s="7"/>
      <c r="B1365" s="16"/>
      <c r="C1365" s="22"/>
      <c r="D1365" s="22"/>
      <c r="E1365" s="22"/>
      <c r="F1365" s="22"/>
      <c r="G1365" s="22"/>
      <c r="H1365" s="22"/>
    </row>
    <row r="1366" customFormat="false" ht="15.75" hidden="false" customHeight="false" outlineLevel="0" collapsed="false">
      <c r="A1366" s="7"/>
      <c r="B1366" s="16"/>
      <c r="C1366" s="22"/>
      <c r="D1366" s="22"/>
      <c r="E1366" s="22"/>
      <c r="F1366" s="22"/>
      <c r="G1366" s="22"/>
      <c r="H1366" s="22"/>
    </row>
    <row r="1367" customFormat="false" ht="15.75" hidden="false" customHeight="false" outlineLevel="0" collapsed="false">
      <c r="A1367" s="7"/>
      <c r="B1367" s="16"/>
      <c r="C1367" s="22"/>
      <c r="D1367" s="22"/>
      <c r="E1367" s="22"/>
      <c r="F1367" s="22"/>
      <c r="G1367" s="22"/>
      <c r="H1367" s="22"/>
    </row>
    <row r="1368" customFormat="false" ht="15.75" hidden="false" customHeight="false" outlineLevel="0" collapsed="false">
      <c r="A1368" s="7"/>
      <c r="B1368" s="16"/>
      <c r="C1368" s="22"/>
      <c r="D1368" s="22"/>
      <c r="E1368" s="22"/>
      <c r="F1368" s="22"/>
      <c r="G1368" s="22"/>
      <c r="H1368" s="22"/>
    </row>
    <row r="1369" customFormat="false" ht="15.75" hidden="false" customHeight="false" outlineLevel="0" collapsed="false">
      <c r="A1369" s="7"/>
      <c r="B1369" s="16"/>
      <c r="C1369" s="22"/>
      <c r="D1369" s="22"/>
      <c r="E1369" s="22"/>
      <c r="F1369" s="22"/>
      <c r="G1369" s="22"/>
      <c r="H1369" s="22"/>
    </row>
    <row r="1370" customFormat="false" ht="15.75" hidden="false" customHeight="false" outlineLevel="0" collapsed="false">
      <c r="A1370" s="7"/>
      <c r="B1370" s="16"/>
      <c r="C1370" s="22"/>
      <c r="D1370" s="22"/>
      <c r="E1370" s="22"/>
      <c r="F1370" s="22"/>
      <c r="G1370" s="22"/>
      <c r="H1370" s="22"/>
    </row>
    <row r="1371" customFormat="false" ht="15.75" hidden="false" customHeight="false" outlineLevel="0" collapsed="false">
      <c r="A1371" s="7"/>
      <c r="B1371" s="16"/>
      <c r="C1371" s="22"/>
      <c r="D1371" s="22"/>
      <c r="E1371" s="22"/>
      <c r="F1371" s="22"/>
      <c r="G1371" s="22"/>
      <c r="H1371" s="22"/>
    </row>
    <row r="1372" customFormat="false" ht="15.75" hidden="false" customHeight="false" outlineLevel="0" collapsed="false">
      <c r="A1372" s="7"/>
      <c r="B1372" s="16"/>
      <c r="C1372" s="22"/>
      <c r="D1372" s="22"/>
      <c r="E1372" s="22"/>
      <c r="F1372" s="22"/>
      <c r="G1372" s="22"/>
      <c r="H1372" s="22"/>
    </row>
    <row r="1373" customFormat="false" ht="15.75" hidden="false" customHeight="false" outlineLevel="0" collapsed="false">
      <c r="A1373" s="7"/>
      <c r="B1373" s="16"/>
      <c r="C1373" s="22"/>
      <c r="D1373" s="22"/>
      <c r="E1373" s="22"/>
      <c r="F1373" s="22"/>
      <c r="G1373" s="22"/>
      <c r="H1373" s="22"/>
    </row>
    <row r="1374" customFormat="false" ht="15.75" hidden="false" customHeight="false" outlineLevel="0" collapsed="false">
      <c r="A1374" s="7"/>
      <c r="B1374" s="16"/>
      <c r="C1374" s="22"/>
      <c r="D1374" s="22"/>
      <c r="E1374" s="22"/>
      <c r="F1374" s="22"/>
      <c r="G1374" s="22"/>
      <c r="H1374" s="22"/>
    </row>
    <row r="1375" customFormat="false" ht="15.75" hidden="false" customHeight="false" outlineLevel="0" collapsed="false">
      <c r="A1375" s="7"/>
      <c r="B1375" s="16"/>
      <c r="C1375" s="22"/>
      <c r="D1375" s="22"/>
      <c r="E1375" s="22"/>
      <c r="F1375" s="22"/>
      <c r="G1375" s="22"/>
      <c r="H1375" s="22"/>
    </row>
    <row r="1376" customFormat="false" ht="15.75" hidden="false" customHeight="false" outlineLevel="0" collapsed="false">
      <c r="A1376" s="7"/>
      <c r="B1376" s="16"/>
      <c r="C1376" s="22"/>
      <c r="D1376" s="22"/>
      <c r="E1376" s="22"/>
      <c r="F1376" s="22"/>
      <c r="G1376" s="22"/>
      <c r="H1376" s="22"/>
    </row>
    <row r="1377" customFormat="false" ht="15.75" hidden="false" customHeight="false" outlineLevel="0" collapsed="false">
      <c r="A1377" s="7"/>
      <c r="B1377" s="16"/>
      <c r="C1377" s="22"/>
      <c r="D1377" s="22"/>
      <c r="E1377" s="22"/>
      <c r="F1377" s="22"/>
      <c r="G1377" s="22"/>
      <c r="H1377" s="22"/>
    </row>
    <row r="1378" customFormat="false" ht="15.75" hidden="false" customHeight="false" outlineLevel="0" collapsed="false">
      <c r="A1378" s="7"/>
      <c r="B1378" s="16"/>
      <c r="C1378" s="22"/>
      <c r="D1378" s="22"/>
      <c r="E1378" s="22"/>
      <c r="F1378" s="22"/>
      <c r="G1378" s="22"/>
      <c r="H1378" s="22"/>
    </row>
    <row r="1379" customFormat="false" ht="15.75" hidden="false" customHeight="false" outlineLevel="0" collapsed="false">
      <c r="A1379" s="7"/>
      <c r="B1379" s="16"/>
      <c r="C1379" s="22"/>
      <c r="D1379" s="22"/>
      <c r="E1379" s="22"/>
      <c r="F1379" s="22"/>
      <c r="G1379" s="22"/>
      <c r="H1379" s="22"/>
    </row>
    <row r="1380" customFormat="false" ht="15.75" hidden="false" customHeight="false" outlineLevel="0" collapsed="false">
      <c r="A1380" s="7"/>
      <c r="B1380" s="16"/>
      <c r="C1380" s="22"/>
      <c r="D1380" s="22"/>
      <c r="E1380" s="22"/>
      <c r="F1380" s="22"/>
      <c r="G1380" s="22"/>
      <c r="H1380" s="22"/>
    </row>
    <row r="1381" customFormat="false" ht="15.75" hidden="false" customHeight="false" outlineLevel="0" collapsed="false">
      <c r="A1381" s="7"/>
      <c r="B1381" s="16"/>
      <c r="C1381" s="22"/>
      <c r="D1381" s="22"/>
      <c r="E1381" s="22"/>
      <c r="F1381" s="22"/>
      <c r="G1381" s="22"/>
      <c r="H1381" s="22"/>
    </row>
    <row r="1382" customFormat="false" ht="15.75" hidden="false" customHeight="false" outlineLevel="0" collapsed="false">
      <c r="A1382" s="7"/>
      <c r="B1382" s="16"/>
      <c r="C1382" s="22"/>
      <c r="D1382" s="22"/>
      <c r="E1382" s="22"/>
      <c r="F1382" s="22"/>
      <c r="G1382" s="22"/>
      <c r="H1382" s="22"/>
    </row>
    <row r="1383" customFormat="false" ht="15.75" hidden="false" customHeight="false" outlineLevel="0" collapsed="false">
      <c r="A1383" s="7"/>
      <c r="B1383" s="16"/>
      <c r="C1383" s="22"/>
      <c r="D1383" s="22"/>
      <c r="E1383" s="22"/>
      <c r="F1383" s="22"/>
      <c r="G1383" s="22"/>
      <c r="H1383" s="22"/>
    </row>
    <row r="1384" customFormat="false" ht="15.75" hidden="false" customHeight="false" outlineLevel="0" collapsed="false">
      <c r="A1384" s="7"/>
      <c r="B1384" s="16"/>
      <c r="C1384" s="22"/>
      <c r="D1384" s="22"/>
      <c r="E1384" s="22"/>
      <c r="F1384" s="22"/>
      <c r="G1384" s="22"/>
      <c r="H1384" s="22"/>
    </row>
    <row r="1385" customFormat="false" ht="15.75" hidden="false" customHeight="false" outlineLevel="0" collapsed="false">
      <c r="A1385" s="7"/>
      <c r="B1385" s="16"/>
      <c r="C1385" s="22"/>
      <c r="D1385" s="22"/>
      <c r="E1385" s="22"/>
      <c r="F1385" s="22"/>
      <c r="G1385" s="22"/>
      <c r="H1385" s="22"/>
    </row>
    <row r="1386" customFormat="false" ht="15.75" hidden="false" customHeight="false" outlineLevel="0" collapsed="false">
      <c r="A1386" s="7"/>
      <c r="B1386" s="16"/>
      <c r="C1386" s="22"/>
      <c r="D1386" s="22"/>
      <c r="E1386" s="22"/>
      <c r="F1386" s="22"/>
      <c r="G1386" s="22"/>
      <c r="H1386" s="22"/>
    </row>
    <row r="1387" customFormat="false" ht="15.75" hidden="false" customHeight="false" outlineLevel="0" collapsed="false">
      <c r="A1387" s="7"/>
      <c r="B1387" s="16"/>
      <c r="C1387" s="22"/>
      <c r="D1387" s="22"/>
      <c r="E1387" s="22"/>
      <c r="F1387" s="22"/>
      <c r="G1387" s="22"/>
      <c r="H1387" s="22"/>
    </row>
    <row r="1388" customFormat="false" ht="15.75" hidden="false" customHeight="false" outlineLevel="0" collapsed="false">
      <c r="A1388" s="7"/>
      <c r="B1388" s="16"/>
      <c r="C1388" s="22"/>
      <c r="D1388" s="22"/>
      <c r="E1388" s="22"/>
      <c r="F1388" s="22"/>
      <c r="G1388" s="22"/>
      <c r="H1388" s="22"/>
    </row>
    <row r="1389" customFormat="false" ht="15.75" hidden="false" customHeight="false" outlineLevel="0" collapsed="false">
      <c r="A1389" s="7"/>
      <c r="B1389" s="16"/>
      <c r="C1389" s="22"/>
      <c r="D1389" s="22"/>
      <c r="E1389" s="22"/>
      <c r="F1389" s="22"/>
      <c r="G1389" s="22"/>
      <c r="H1389" s="22"/>
    </row>
    <row r="1390" customFormat="false" ht="15.75" hidden="false" customHeight="false" outlineLevel="0" collapsed="false">
      <c r="A1390" s="7"/>
      <c r="B1390" s="16"/>
      <c r="C1390" s="22"/>
      <c r="D1390" s="22"/>
      <c r="E1390" s="22"/>
      <c r="F1390" s="22"/>
      <c r="G1390" s="22"/>
      <c r="H1390" s="22"/>
    </row>
    <row r="1391" customFormat="false" ht="15.75" hidden="false" customHeight="false" outlineLevel="0" collapsed="false">
      <c r="A1391" s="7"/>
      <c r="B1391" s="16"/>
      <c r="C1391" s="22"/>
      <c r="D1391" s="22"/>
      <c r="E1391" s="22"/>
      <c r="F1391" s="22"/>
      <c r="G1391" s="22"/>
      <c r="H1391" s="22"/>
    </row>
    <row r="1392" customFormat="false" ht="15.75" hidden="false" customHeight="false" outlineLevel="0" collapsed="false">
      <c r="A1392" s="7"/>
      <c r="B1392" s="16"/>
      <c r="C1392" s="22"/>
      <c r="D1392" s="22"/>
      <c r="E1392" s="22"/>
      <c r="F1392" s="22"/>
      <c r="G1392" s="22"/>
      <c r="H1392" s="22"/>
    </row>
    <row r="1393" customFormat="false" ht="15.75" hidden="false" customHeight="false" outlineLevel="0" collapsed="false">
      <c r="A1393" s="7"/>
      <c r="B1393" s="16"/>
      <c r="C1393" s="22"/>
      <c r="D1393" s="22"/>
      <c r="E1393" s="22"/>
      <c r="F1393" s="22"/>
      <c r="G1393" s="22"/>
      <c r="H1393" s="22"/>
    </row>
    <row r="1394" customFormat="false" ht="15.75" hidden="false" customHeight="false" outlineLevel="0" collapsed="false">
      <c r="A1394" s="7"/>
      <c r="B1394" s="16"/>
      <c r="C1394" s="22"/>
      <c r="D1394" s="22"/>
      <c r="E1394" s="22"/>
      <c r="F1394" s="22"/>
      <c r="G1394" s="22"/>
      <c r="H1394" s="22"/>
    </row>
    <row r="1395" customFormat="false" ht="15.75" hidden="false" customHeight="false" outlineLevel="0" collapsed="false">
      <c r="A1395" s="7"/>
      <c r="B1395" s="16"/>
      <c r="C1395" s="22"/>
      <c r="D1395" s="22"/>
      <c r="E1395" s="22"/>
      <c r="F1395" s="22"/>
      <c r="G1395" s="22"/>
      <c r="H1395" s="22"/>
    </row>
    <row r="1396" customFormat="false" ht="15.75" hidden="false" customHeight="false" outlineLevel="0" collapsed="false">
      <c r="A1396" s="7"/>
      <c r="B1396" s="16"/>
      <c r="C1396" s="22"/>
      <c r="D1396" s="22"/>
      <c r="E1396" s="22"/>
      <c r="F1396" s="22"/>
      <c r="G1396" s="22"/>
      <c r="H1396" s="22"/>
    </row>
    <row r="1397" customFormat="false" ht="15.75" hidden="false" customHeight="false" outlineLevel="0" collapsed="false">
      <c r="A1397" s="7"/>
      <c r="B1397" s="16"/>
      <c r="C1397" s="22"/>
      <c r="D1397" s="22"/>
      <c r="E1397" s="22"/>
      <c r="F1397" s="22"/>
      <c r="G1397" s="22"/>
      <c r="H1397" s="22"/>
    </row>
    <row r="1398" customFormat="false" ht="15.75" hidden="false" customHeight="false" outlineLevel="0" collapsed="false">
      <c r="A1398" s="7"/>
      <c r="B1398" s="16"/>
      <c r="C1398" s="22"/>
      <c r="D1398" s="22"/>
      <c r="E1398" s="22"/>
      <c r="F1398" s="22"/>
      <c r="G1398" s="22"/>
      <c r="H1398" s="22"/>
    </row>
    <row r="1399" customFormat="false" ht="15.75" hidden="false" customHeight="false" outlineLevel="0" collapsed="false">
      <c r="A1399" s="7"/>
      <c r="B1399" s="16"/>
      <c r="C1399" s="22"/>
      <c r="D1399" s="22"/>
      <c r="E1399" s="22"/>
      <c r="F1399" s="22"/>
      <c r="G1399" s="22"/>
      <c r="H1399" s="22"/>
    </row>
    <row r="1400" customFormat="false" ht="15.75" hidden="false" customHeight="false" outlineLevel="0" collapsed="false">
      <c r="A1400" s="7"/>
      <c r="B1400" s="16"/>
      <c r="C1400" s="22"/>
      <c r="D1400" s="22"/>
      <c r="E1400" s="22"/>
      <c r="F1400" s="22"/>
      <c r="G1400" s="22"/>
      <c r="H1400" s="22"/>
    </row>
    <row r="1401" customFormat="false" ht="15.75" hidden="false" customHeight="false" outlineLevel="0" collapsed="false">
      <c r="A1401" s="7"/>
      <c r="B1401" s="16"/>
      <c r="C1401" s="22"/>
      <c r="D1401" s="22"/>
      <c r="E1401" s="22"/>
      <c r="F1401" s="22"/>
      <c r="G1401" s="22"/>
      <c r="H1401" s="22"/>
    </row>
    <row r="1402" customFormat="false" ht="15.75" hidden="false" customHeight="false" outlineLevel="0" collapsed="false">
      <c r="A1402" s="7"/>
      <c r="B1402" s="16"/>
      <c r="C1402" s="22"/>
      <c r="D1402" s="22"/>
      <c r="E1402" s="22"/>
      <c r="F1402" s="22"/>
      <c r="G1402" s="22"/>
      <c r="H1402" s="22"/>
    </row>
    <row r="1403" customFormat="false" ht="15.75" hidden="false" customHeight="false" outlineLevel="0" collapsed="false">
      <c r="A1403" s="7"/>
      <c r="B1403" s="16"/>
      <c r="C1403" s="22"/>
      <c r="D1403" s="22"/>
      <c r="E1403" s="22"/>
      <c r="F1403" s="22"/>
      <c r="G1403" s="22"/>
      <c r="H1403" s="22"/>
    </row>
    <row r="1404" customFormat="false" ht="15.75" hidden="false" customHeight="false" outlineLevel="0" collapsed="false">
      <c r="A1404" s="7"/>
      <c r="B1404" s="16"/>
      <c r="C1404" s="22"/>
      <c r="D1404" s="22"/>
      <c r="E1404" s="22"/>
      <c r="F1404" s="22"/>
      <c r="G1404" s="22"/>
      <c r="H1404" s="22"/>
    </row>
    <row r="1405" customFormat="false" ht="15.75" hidden="false" customHeight="false" outlineLevel="0" collapsed="false">
      <c r="A1405" s="7"/>
      <c r="B1405" s="16"/>
      <c r="C1405" s="22"/>
      <c r="D1405" s="22"/>
      <c r="E1405" s="22"/>
      <c r="F1405" s="22"/>
      <c r="G1405" s="22"/>
      <c r="H1405" s="22"/>
    </row>
    <row r="1406" customFormat="false" ht="15.75" hidden="false" customHeight="false" outlineLevel="0" collapsed="false">
      <c r="A1406" s="7"/>
      <c r="B1406" s="16"/>
      <c r="C1406" s="22"/>
      <c r="D1406" s="22"/>
      <c r="E1406" s="22"/>
      <c r="F1406" s="22"/>
      <c r="G1406" s="22"/>
      <c r="H1406" s="22"/>
    </row>
    <row r="1407" customFormat="false" ht="15.75" hidden="false" customHeight="false" outlineLevel="0" collapsed="false">
      <c r="A1407" s="7"/>
      <c r="B1407" s="16"/>
      <c r="C1407" s="22"/>
      <c r="D1407" s="22"/>
      <c r="E1407" s="22"/>
      <c r="F1407" s="22"/>
      <c r="G1407" s="22"/>
      <c r="H1407" s="22"/>
    </row>
    <row r="1408" customFormat="false" ht="15.75" hidden="false" customHeight="false" outlineLevel="0" collapsed="false">
      <c r="A1408" s="7"/>
      <c r="B1408" s="16"/>
      <c r="C1408" s="22"/>
      <c r="D1408" s="22"/>
      <c r="E1408" s="22"/>
      <c r="F1408" s="22"/>
      <c r="G1408" s="22"/>
      <c r="H1408" s="22"/>
    </row>
    <row r="1409" customFormat="false" ht="15.75" hidden="false" customHeight="false" outlineLevel="0" collapsed="false">
      <c r="A1409" s="7"/>
      <c r="B1409" s="16"/>
      <c r="C1409" s="22"/>
      <c r="D1409" s="22"/>
      <c r="E1409" s="22"/>
      <c r="F1409" s="22"/>
      <c r="G1409" s="22"/>
      <c r="H1409" s="22"/>
    </row>
    <row r="1410" customFormat="false" ht="15.75" hidden="false" customHeight="false" outlineLevel="0" collapsed="false">
      <c r="A1410" s="7"/>
      <c r="B1410" s="16"/>
      <c r="C1410" s="22"/>
      <c r="D1410" s="22"/>
      <c r="E1410" s="22"/>
      <c r="F1410" s="22"/>
      <c r="G1410" s="22"/>
      <c r="H1410" s="22"/>
    </row>
    <row r="1411" customFormat="false" ht="15.75" hidden="false" customHeight="false" outlineLevel="0" collapsed="false">
      <c r="A1411" s="7"/>
      <c r="B1411" s="16"/>
      <c r="C1411" s="22"/>
      <c r="D1411" s="22"/>
      <c r="E1411" s="22"/>
      <c r="F1411" s="22"/>
      <c r="G1411" s="22"/>
      <c r="H1411" s="22"/>
    </row>
    <row r="1412" customFormat="false" ht="15.75" hidden="false" customHeight="false" outlineLevel="0" collapsed="false">
      <c r="A1412" s="7"/>
      <c r="B1412" s="16"/>
      <c r="C1412" s="22"/>
      <c r="D1412" s="22"/>
      <c r="E1412" s="22"/>
      <c r="F1412" s="22"/>
      <c r="G1412" s="22"/>
      <c r="H1412" s="22"/>
    </row>
    <row r="1413" customFormat="false" ht="15.75" hidden="false" customHeight="false" outlineLevel="0" collapsed="false">
      <c r="A1413" s="7"/>
      <c r="B1413" s="16"/>
      <c r="C1413" s="22"/>
      <c r="D1413" s="22"/>
      <c r="E1413" s="22"/>
      <c r="F1413" s="22"/>
      <c r="G1413" s="22"/>
      <c r="H1413" s="22"/>
    </row>
    <row r="1414" customFormat="false" ht="15.75" hidden="false" customHeight="false" outlineLevel="0" collapsed="false">
      <c r="A1414" s="7"/>
      <c r="B1414" s="16"/>
      <c r="C1414" s="22"/>
      <c r="D1414" s="22"/>
      <c r="E1414" s="22"/>
      <c r="F1414" s="22"/>
      <c r="G1414" s="22"/>
      <c r="H1414" s="22"/>
    </row>
    <row r="1415" customFormat="false" ht="15.75" hidden="false" customHeight="false" outlineLevel="0" collapsed="false">
      <c r="A1415" s="7"/>
      <c r="B1415" s="16"/>
      <c r="C1415" s="22"/>
      <c r="D1415" s="22"/>
      <c r="E1415" s="22"/>
      <c r="F1415" s="22"/>
      <c r="G1415" s="22"/>
      <c r="H1415" s="22"/>
    </row>
    <row r="1416" customFormat="false" ht="15.75" hidden="false" customHeight="false" outlineLevel="0" collapsed="false">
      <c r="A1416" s="7"/>
      <c r="B1416" s="16"/>
      <c r="C1416" s="22"/>
      <c r="D1416" s="22"/>
      <c r="E1416" s="22"/>
      <c r="F1416" s="22"/>
      <c r="G1416" s="22"/>
      <c r="H1416" s="22"/>
    </row>
    <row r="1417" customFormat="false" ht="15.75" hidden="false" customHeight="false" outlineLevel="0" collapsed="false">
      <c r="A1417" s="7"/>
      <c r="B1417" s="16"/>
      <c r="C1417" s="22"/>
      <c r="D1417" s="22"/>
      <c r="E1417" s="22"/>
      <c r="F1417" s="22"/>
      <c r="G1417" s="22"/>
      <c r="H1417" s="22"/>
    </row>
    <row r="1418" customFormat="false" ht="15.75" hidden="false" customHeight="false" outlineLevel="0" collapsed="false">
      <c r="A1418" s="7"/>
      <c r="B1418" s="16"/>
      <c r="C1418" s="22"/>
      <c r="D1418" s="22"/>
      <c r="E1418" s="22"/>
      <c r="F1418" s="22"/>
      <c r="G1418" s="22"/>
      <c r="H1418" s="22"/>
    </row>
    <row r="1419" customFormat="false" ht="15.75" hidden="false" customHeight="false" outlineLevel="0" collapsed="false">
      <c r="A1419" s="7"/>
      <c r="B1419" s="16"/>
      <c r="C1419" s="22"/>
      <c r="D1419" s="22"/>
      <c r="E1419" s="22"/>
      <c r="F1419" s="22"/>
      <c r="G1419" s="22"/>
      <c r="H1419" s="22"/>
    </row>
    <row r="1420" customFormat="false" ht="15.75" hidden="false" customHeight="false" outlineLevel="0" collapsed="false">
      <c r="A1420" s="7"/>
      <c r="B1420" s="16"/>
      <c r="C1420" s="22"/>
      <c r="D1420" s="22"/>
      <c r="E1420" s="22"/>
      <c r="F1420" s="22"/>
      <c r="G1420" s="22"/>
      <c r="H1420" s="22"/>
    </row>
    <row r="1421" customFormat="false" ht="15.75" hidden="false" customHeight="false" outlineLevel="0" collapsed="false">
      <c r="A1421" s="7"/>
      <c r="B1421" s="16"/>
      <c r="C1421" s="22"/>
      <c r="D1421" s="22"/>
      <c r="E1421" s="22"/>
      <c r="F1421" s="22"/>
      <c r="G1421" s="22"/>
      <c r="H1421" s="22"/>
    </row>
    <row r="1422" customFormat="false" ht="15.75" hidden="false" customHeight="false" outlineLevel="0" collapsed="false">
      <c r="A1422" s="7"/>
      <c r="B1422" s="16"/>
      <c r="C1422" s="22"/>
      <c r="D1422" s="22"/>
      <c r="E1422" s="22"/>
      <c r="F1422" s="22"/>
      <c r="G1422" s="22"/>
      <c r="H1422" s="22"/>
    </row>
    <row r="1423" customFormat="false" ht="15.75" hidden="false" customHeight="false" outlineLevel="0" collapsed="false">
      <c r="A1423" s="7"/>
      <c r="B1423" s="16"/>
      <c r="C1423" s="22"/>
      <c r="D1423" s="22"/>
      <c r="E1423" s="22"/>
      <c r="F1423" s="22"/>
      <c r="G1423" s="22"/>
      <c r="H1423" s="22"/>
    </row>
    <row r="1424" customFormat="false" ht="15.75" hidden="false" customHeight="false" outlineLevel="0" collapsed="false">
      <c r="A1424" s="7"/>
      <c r="B1424" s="16"/>
      <c r="C1424" s="22"/>
      <c r="D1424" s="22"/>
      <c r="E1424" s="22"/>
      <c r="F1424" s="22"/>
      <c r="G1424" s="22"/>
      <c r="H1424" s="22"/>
    </row>
    <row r="1425" customFormat="false" ht="15.75" hidden="false" customHeight="false" outlineLevel="0" collapsed="false">
      <c r="A1425" s="7"/>
      <c r="B1425" s="16"/>
      <c r="C1425" s="22"/>
      <c r="D1425" s="22"/>
      <c r="E1425" s="22"/>
      <c r="F1425" s="22"/>
      <c r="G1425" s="22"/>
      <c r="H1425" s="22"/>
    </row>
    <row r="1426" customFormat="false" ht="15.75" hidden="false" customHeight="false" outlineLevel="0" collapsed="false">
      <c r="A1426" s="7"/>
      <c r="B1426" s="16"/>
      <c r="C1426" s="22"/>
      <c r="D1426" s="22"/>
      <c r="E1426" s="22"/>
      <c r="F1426" s="22"/>
      <c r="G1426" s="22"/>
      <c r="H1426" s="22"/>
    </row>
    <row r="1427" customFormat="false" ht="15.75" hidden="false" customHeight="false" outlineLevel="0" collapsed="false">
      <c r="A1427" s="7"/>
      <c r="B1427" s="16"/>
      <c r="C1427" s="22"/>
      <c r="D1427" s="22"/>
      <c r="E1427" s="22"/>
      <c r="F1427" s="22"/>
      <c r="G1427" s="22"/>
      <c r="H1427" s="22"/>
    </row>
    <row r="1428" customFormat="false" ht="15.75" hidden="false" customHeight="false" outlineLevel="0" collapsed="false">
      <c r="A1428" s="7"/>
      <c r="B1428" s="16"/>
      <c r="C1428" s="22"/>
      <c r="D1428" s="22"/>
      <c r="E1428" s="22"/>
      <c r="F1428" s="22"/>
      <c r="G1428" s="22"/>
      <c r="H1428" s="22"/>
    </row>
    <row r="1429" customFormat="false" ht="15.75" hidden="false" customHeight="false" outlineLevel="0" collapsed="false">
      <c r="A1429" s="7"/>
      <c r="B1429" s="16"/>
      <c r="C1429" s="22"/>
      <c r="D1429" s="22"/>
      <c r="E1429" s="22"/>
      <c r="F1429" s="22"/>
      <c r="G1429" s="22"/>
      <c r="H1429" s="22"/>
    </row>
    <row r="1430" customFormat="false" ht="15.75" hidden="false" customHeight="false" outlineLevel="0" collapsed="false">
      <c r="A1430" s="7"/>
      <c r="B1430" s="16"/>
      <c r="C1430" s="22"/>
      <c r="D1430" s="22"/>
      <c r="E1430" s="22"/>
      <c r="F1430" s="22"/>
      <c r="G1430" s="22"/>
      <c r="H1430" s="22"/>
    </row>
    <row r="1431" customFormat="false" ht="15.75" hidden="false" customHeight="false" outlineLevel="0" collapsed="false">
      <c r="A1431" s="7"/>
      <c r="B1431" s="16"/>
      <c r="C1431" s="22"/>
      <c r="D1431" s="22"/>
      <c r="E1431" s="22"/>
      <c r="F1431" s="22"/>
      <c r="G1431" s="22"/>
      <c r="H1431" s="22"/>
    </row>
    <row r="1432" customFormat="false" ht="15.75" hidden="false" customHeight="false" outlineLevel="0" collapsed="false">
      <c r="A1432" s="7"/>
      <c r="B1432" s="16"/>
      <c r="C1432" s="22"/>
      <c r="D1432" s="22"/>
      <c r="E1432" s="22"/>
      <c r="F1432" s="22"/>
      <c r="G1432" s="22"/>
      <c r="H1432" s="22"/>
    </row>
    <row r="1433" customFormat="false" ht="15.75" hidden="false" customHeight="false" outlineLevel="0" collapsed="false">
      <c r="A1433" s="7"/>
      <c r="B1433" s="16"/>
      <c r="C1433" s="22"/>
      <c r="D1433" s="22"/>
      <c r="E1433" s="22"/>
      <c r="F1433" s="22"/>
      <c r="G1433" s="22"/>
      <c r="H1433" s="22"/>
    </row>
    <row r="1434" customFormat="false" ht="15.75" hidden="false" customHeight="false" outlineLevel="0" collapsed="false">
      <c r="A1434" s="7"/>
      <c r="B1434" s="16"/>
      <c r="C1434" s="22"/>
      <c r="D1434" s="22"/>
      <c r="E1434" s="22"/>
      <c r="F1434" s="22"/>
      <c r="G1434" s="22"/>
      <c r="H1434" s="22"/>
    </row>
    <row r="1435" customFormat="false" ht="15.75" hidden="false" customHeight="false" outlineLevel="0" collapsed="false">
      <c r="A1435" s="7"/>
      <c r="B1435" s="16"/>
      <c r="C1435" s="22"/>
      <c r="D1435" s="22"/>
      <c r="E1435" s="22"/>
      <c r="F1435" s="22"/>
      <c r="G1435" s="22"/>
      <c r="H1435" s="22"/>
    </row>
    <row r="1436" customFormat="false" ht="15.75" hidden="false" customHeight="false" outlineLevel="0" collapsed="false">
      <c r="A1436" s="7"/>
      <c r="B1436" s="16"/>
      <c r="C1436" s="22"/>
      <c r="D1436" s="22"/>
      <c r="E1436" s="22"/>
      <c r="F1436" s="22"/>
      <c r="G1436" s="22"/>
      <c r="H1436" s="22"/>
    </row>
    <row r="1437" customFormat="false" ht="15.75" hidden="false" customHeight="false" outlineLevel="0" collapsed="false">
      <c r="A1437" s="7"/>
      <c r="B1437" s="16"/>
      <c r="C1437" s="22"/>
      <c r="D1437" s="22"/>
      <c r="E1437" s="22"/>
      <c r="F1437" s="22"/>
      <c r="G1437" s="22"/>
      <c r="H1437" s="22"/>
    </row>
    <row r="1438" customFormat="false" ht="15.75" hidden="false" customHeight="false" outlineLevel="0" collapsed="false">
      <c r="A1438" s="7"/>
      <c r="B1438" s="16"/>
      <c r="C1438" s="22"/>
      <c r="D1438" s="22"/>
      <c r="E1438" s="22"/>
      <c r="F1438" s="22"/>
      <c r="G1438" s="22"/>
      <c r="H1438" s="22"/>
    </row>
    <row r="1439" customFormat="false" ht="15.75" hidden="false" customHeight="false" outlineLevel="0" collapsed="false">
      <c r="A1439" s="7"/>
      <c r="B1439" s="16"/>
      <c r="C1439" s="22"/>
      <c r="D1439" s="22"/>
      <c r="E1439" s="22"/>
      <c r="F1439" s="22"/>
      <c r="G1439" s="22"/>
      <c r="H1439" s="22"/>
    </row>
    <row r="1440" customFormat="false" ht="15.75" hidden="false" customHeight="false" outlineLevel="0" collapsed="false">
      <c r="A1440" s="7"/>
      <c r="B1440" s="16"/>
      <c r="C1440" s="22"/>
      <c r="D1440" s="22"/>
      <c r="E1440" s="22"/>
      <c r="F1440" s="22"/>
      <c r="G1440" s="22"/>
      <c r="H1440" s="22"/>
    </row>
    <row r="1441" customFormat="false" ht="15.75" hidden="false" customHeight="false" outlineLevel="0" collapsed="false">
      <c r="A1441" s="7"/>
      <c r="B1441" s="16"/>
      <c r="C1441" s="22"/>
      <c r="D1441" s="22"/>
      <c r="E1441" s="22"/>
      <c r="F1441" s="22"/>
      <c r="G1441" s="22"/>
      <c r="H1441" s="22"/>
    </row>
    <row r="1442" customFormat="false" ht="15.75" hidden="false" customHeight="false" outlineLevel="0" collapsed="false">
      <c r="A1442" s="7"/>
      <c r="B1442" s="16"/>
      <c r="C1442" s="22"/>
      <c r="D1442" s="22"/>
      <c r="E1442" s="22"/>
      <c r="F1442" s="22"/>
      <c r="G1442" s="22"/>
      <c r="H1442" s="22"/>
    </row>
    <row r="1443" customFormat="false" ht="15.75" hidden="false" customHeight="false" outlineLevel="0" collapsed="false">
      <c r="A1443" s="7"/>
      <c r="B1443" s="16"/>
      <c r="C1443" s="22"/>
      <c r="D1443" s="22"/>
      <c r="E1443" s="22"/>
      <c r="F1443" s="22"/>
      <c r="G1443" s="22"/>
      <c r="H1443" s="22"/>
    </row>
    <row r="1444" customFormat="false" ht="15.75" hidden="false" customHeight="false" outlineLevel="0" collapsed="false">
      <c r="A1444" s="7"/>
      <c r="B1444" s="16"/>
      <c r="C1444" s="22"/>
      <c r="D1444" s="22"/>
      <c r="E1444" s="22"/>
      <c r="F1444" s="22"/>
      <c r="G1444" s="22"/>
      <c r="H1444" s="22"/>
    </row>
    <row r="1445" customFormat="false" ht="15.75" hidden="false" customHeight="false" outlineLevel="0" collapsed="false">
      <c r="A1445" s="7"/>
      <c r="B1445" s="16"/>
      <c r="C1445" s="22"/>
      <c r="D1445" s="22"/>
      <c r="E1445" s="22"/>
      <c r="F1445" s="22"/>
      <c r="G1445" s="22"/>
      <c r="H1445" s="22"/>
    </row>
    <row r="1446" customFormat="false" ht="15.75" hidden="false" customHeight="false" outlineLevel="0" collapsed="false">
      <c r="A1446" s="7"/>
      <c r="B1446" s="16"/>
      <c r="C1446" s="22"/>
      <c r="D1446" s="22"/>
      <c r="E1446" s="22"/>
      <c r="F1446" s="22"/>
      <c r="G1446" s="22"/>
      <c r="H1446" s="22"/>
    </row>
    <row r="1447" customFormat="false" ht="15.75" hidden="false" customHeight="false" outlineLevel="0" collapsed="false">
      <c r="A1447" s="7"/>
      <c r="B1447" s="16"/>
      <c r="C1447" s="22"/>
      <c r="D1447" s="22"/>
      <c r="E1447" s="22"/>
      <c r="F1447" s="22"/>
      <c r="G1447" s="22"/>
      <c r="H1447" s="22"/>
    </row>
    <row r="1448" customFormat="false" ht="15.75" hidden="false" customHeight="false" outlineLevel="0" collapsed="false">
      <c r="A1448" s="7"/>
      <c r="B1448" s="16"/>
      <c r="C1448" s="22"/>
      <c r="D1448" s="22"/>
      <c r="E1448" s="22"/>
      <c r="F1448" s="22"/>
      <c r="G1448" s="22"/>
      <c r="H1448" s="22"/>
    </row>
    <row r="1449" customFormat="false" ht="15.75" hidden="false" customHeight="false" outlineLevel="0" collapsed="false">
      <c r="A1449" s="7"/>
      <c r="B1449" s="16"/>
      <c r="C1449" s="22"/>
      <c r="D1449" s="22"/>
      <c r="E1449" s="22"/>
      <c r="F1449" s="22"/>
      <c r="G1449" s="22"/>
      <c r="H1449" s="22"/>
    </row>
    <row r="1450" customFormat="false" ht="15.75" hidden="false" customHeight="false" outlineLevel="0" collapsed="false">
      <c r="A1450" s="7"/>
      <c r="B1450" s="16"/>
      <c r="C1450" s="22"/>
      <c r="D1450" s="22"/>
      <c r="E1450" s="22"/>
      <c r="F1450" s="22"/>
      <c r="G1450" s="22"/>
      <c r="H1450" s="22"/>
    </row>
    <row r="1451" customFormat="false" ht="15.75" hidden="false" customHeight="false" outlineLevel="0" collapsed="false">
      <c r="A1451" s="7"/>
      <c r="B1451" s="16"/>
      <c r="C1451" s="22"/>
      <c r="D1451" s="22"/>
      <c r="E1451" s="22"/>
      <c r="F1451" s="22"/>
      <c r="G1451" s="22"/>
      <c r="H1451" s="22"/>
    </row>
    <row r="1452" customFormat="false" ht="15.75" hidden="false" customHeight="false" outlineLevel="0" collapsed="false">
      <c r="A1452" s="7"/>
      <c r="B1452" s="16"/>
      <c r="C1452" s="22"/>
      <c r="D1452" s="22"/>
      <c r="E1452" s="22"/>
      <c r="F1452" s="22"/>
      <c r="G1452" s="22"/>
      <c r="H1452" s="22"/>
    </row>
    <row r="1453" customFormat="false" ht="15.75" hidden="false" customHeight="false" outlineLevel="0" collapsed="false">
      <c r="A1453" s="7"/>
      <c r="B1453" s="16"/>
      <c r="C1453" s="22"/>
      <c r="D1453" s="22"/>
      <c r="E1453" s="22"/>
      <c r="F1453" s="22"/>
      <c r="G1453" s="22"/>
      <c r="H1453" s="22"/>
    </row>
    <row r="1454" customFormat="false" ht="15.75" hidden="false" customHeight="false" outlineLevel="0" collapsed="false">
      <c r="A1454" s="7"/>
      <c r="B1454" s="16"/>
      <c r="C1454" s="22"/>
      <c r="D1454" s="22"/>
      <c r="E1454" s="22"/>
      <c r="F1454" s="22"/>
      <c r="G1454" s="22"/>
      <c r="H1454" s="22"/>
    </row>
    <row r="1455" customFormat="false" ht="15.75" hidden="false" customHeight="false" outlineLevel="0" collapsed="false">
      <c r="A1455" s="7"/>
      <c r="B1455" s="16"/>
      <c r="C1455" s="22"/>
      <c r="D1455" s="22"/>
      <c r="E1455" s="22"/>
      <c r="F1455" s="22"/>
      <c r="G1455" s="22"/>
      <c r="H1455" s="22"/>
    </row>
    <row r="1456" customFormat="false" ht="15.75" hidden="false" customHeight="false" outlineLevel="0" collapsed="false">
      <c r="A1456" s="7"/>
      <c r="B1456" s="16"/>
      <c r="C1456" s="22"/>
      <c r="D1456" s="22"/>
      <c r="E1456" s="22"/>
      <c r="F1456" s="22"/>
      <c r="G1456" s="22"/>
      <c r="H1456" s="22"/>
    </row>
    <row r="1457" customFormat="false" ht="15.75" hidden="false" customHeight="false" outlineLevel="0" collapsed="false">
      <c r="A1457" s="7"/>
      <c r="B1457" s="16"/>
      <c r="C1457" s="22"/>
      <c r="D1457" s="22"/>
      <c r="E1457" s="22"/>
      <c r="F1457" s="22"/>
      <c r="G1457" s="22"/>
      <c r="H1457" s="22"/>
    </row>
    <row r="1458" customFormat="false" ht="15.75" hidden="false" customHeight="false" outlineLevel="0" collapsed="false">
      <c r="A1458" s="7"/>
      <c r="B1458" s="16"/>
      <c r="C1458" s="22"/>
      <c r="D1458" s="22"/>
      <c r="E1458" s="22"/>
      <c r="F1458" s="22"/>
      <c r="G1458" s="22"/>
      <c r="H1458" s="22"/>
    </row>
    <row r="1459" customFormat="false" ht="15.75" hidden="false" customHeight="false" outlineLevel="0" collapsed="false">
      <c r="A1459" s="7"/>
      <c r="B1459" s="16"/>
      <c r="C1459" s="22"/>
      <c r="D1459" s="22"/>
      <c r="E1459" s="22"/>
      <c r="F1459" s="22"/>
      <c r="G1459" s="22"/>
      <c r="H1459" s="22"/>
    </row>
    <row r="1460" customFormat="false" ht="15.75" hidden="false" customHeight="false" outlineLevel="0" collapsed="false">
      <c r="A1460" s="7"/>
      <c r="B1460" s="16"/>
      <c r="C1460" s="22"/>
      <c r="D1460" s="22"/>
      <c r="E1460" s="22"/>
      <c r="F1460" s="22"/>
      <c r="G1460" s="22"/>
      <c r="H1460" s="22"/>
    </row>
    <row r="1461" customFormat="false" ht="15.75" hidden="false" customHeight="false" outlineLevel="0" collapsed="false">
      <c r="A1461" s="7"/>
      <c r="B1461" s="16"/>
      <c r="C1461" s="22"/>
      <c r="D1461" s="22"/>
      <c r="E1461" s="22"/>
      <c r="F1461" s="22"/>
      <c r="G1461" s="22"/>
      <c r="H1461" s="22"/>
    </row>
    <row r="1462" customFormat="false" ht="15.75" hidden="false" customHeight="false" outlineLevel="0" collapsed="false">
      <c r="A1462" s="7"/>
      <c r="B1462" s="16"/>
      <c r="C1462" s="22"/>
      <c r="D1462" s="22"/>
      <c r="E1462" s="22"/>
      <c r="F1462" s="22"/>
      <c r="G1462" s="22"/>
      <c r="H1462" s="22"/>
    </row>
    <row r="1463" customFormat="false" ht="15.75" hidden="false" customHeight="false" outlineLevel="0" collapsed="false">
      <c r="A1463" s="7"/>
      <c r="B1463" s="16"/>
      <c r="C1463" s="22"/>
      <c r="D1463" s="22"/>
      <c r="E1463" s="22"/>
      <c r="F1463" s="22"/>
      <c r="G1463" s="22"/>
      <c r="H1463" s="22"/>
    </row>
    <row r="1464" customFormat="false" ht="15.75" hidden="false" customHeight="false" outlineLevel="0" collapsed="false">
      <c r="A1464" s="7"/>
      <c r="B1464" s="16"/>
      <c r="C1464" s="22"/>
      <c r="D1464" s="22"/>
      <c r="E1464" s="22"/>
      <c r="F1464" s="22"/>
      <c r="G1464" s="22"/>
      <c r="H1464" s="22"/>
    </row>
    <row r="1465" customFormat="false" ht="15.75" hidden="false" customHeight="false" outlineLevel="0" collapsed="false">
      <c r="A1465" s="22"/>
      <c r="B1465" s="16"/>
      <c r="C1465" s="22"/>
      <c r="D1465" s="22"/>
      <c r="E1465" s="22"/>
      <c r="F1465" s="22"/>
      <c r="G1465" s="22"/>
      <c r="H1465" s="22"/>
    </row>
    <row r="1466" customFormat="false" ht="15.75" hidden="false" customHeight="false" outlineLevel="0" collapsed="false">
      <c r="A1466" s="22"/>
      <c r="B1466" s="16"/>
      <c r="C1466" s="22"/>
      <c r="D1466" s="22"/>
      <c r="E1466" s="22"/>
      <c r="F1466" s="22"/>
      <c r="G1466" s="22"/>
      <c r="H1466" s="22"/>
    </row>
    <row r="1467" customFormat="false" ht="15.75" hidden="false" customHeight="false" outlineLevel="0" collapsed="false">
      <c r="A1467" s="22"/>
      <c r="B1467" s="16"/>
      <c r="C1467" s="22"/>
      <c r="D1467" s="22"/>
      <c r="E1467" s="22"/>
      <c r="F1467" s="22"/>
      <c r="G1467" s="22"/>
      <c r="H1467" s="22"/>
    </row>
    <row r="1468" customFormat="false" ht="15.75" hidden="false" customHeight="false" outlineLevel="0" collapsed="false">
      <c r="A1468" s="22"/>
      <c r="B1468" s="16"/>
      <c r="C1468" s="22"/>
      <c r="D1468" s="22"/>
      <c r="E1468" s="22"/>
      <c r="F1468" s="22"/>
      <c r="G1468" s="22"/>
      <c r="H1468" s="22"/>
    </row>
    <row r="1469" customFormat="false" ht="15.75" hidden="false" customHeight="false" outlineLevel="0" collapsed="false">
      <c r="A1469" s="22"/>
      <c r="B1469" s="16"/>
      <c r="C1469" s="22"/>
      <c r="D1469" s="22"/>
      <c r="E1469" s="22"/>
      <c r="F1469" s="22"/>
      <c r="G1469" s="22"/>
      <c r="H1469" s="22"/>
    </row>
    <row r="1470" customFormat="false" ht="15.75" hidden="false" customHeight="false" outlineLevel="0" collapsed="false">
      <c r="A1470" s="22"/>
      <c r="B1470" s="16"/>
      <c r="C1470" s="22"/>
      <c r="D1470" s="22"/>
      <c r="E1470" s="22"/>
      <c r="F1470" s="22"/>
      <c r="G1470" s="22"/>
      <c r="H1470" s="22"/>
    </row>
    <row r="1471" customFormat="false" ht="15.75" hidden="false" customHeight="false" outlineLevel="0" collapsed="false">
      <c r="A1471" s="22"/>
      <c r="B1471" s="16"/>
      <c r="C1471" s="22"/>
      <c r="D1471" s="22"/>
      <c r="E1471" s="22"/>
      <c r="F1471" s="22"/>
      <c r="G1471" s="22"/>
      <c r="H1471" s="22"/>
    </row>
    <row r="1048576" customFormat="false" ht="15.75" hidden="false" customHeight="false" outlineLevel="0" collapsed="false"/>
  </sheetData>
  <dataValidations count="2">
    <dataValidation allowBlank="true" errorStyle="stop" operator="between" showDropDown="true" showErrorMessage="false" showInputMessage="false" sqref="B2:B486" type="custom">
      <formula1>OR(NOT(ISERROR(DATEVALUE(B2))), AND(ISNUMBER(B2), LEFT(CELL("format", B2))="D"))</formula1>
      <formula2>0</formula2>
    </dataValidation>
    <dataValidation allowBlank="true" errorStyle="stop" operator="between" showDropDown="true" showErrorMessage="false" showInputMessage="false" sqref="A2:A501 C2:H486 H487:H563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30" width="10.51"/>
    <col collapsed="false" customWidth="true" hidden="false" outlineLevel="0" max="2" min="2" style="30" width="10.2"/>
  </cols>
  <sheetData>
    <row r="1" customFormat="false" ht="15.75" hidden="false" customHeight="false" outlineLevel="0" collapsed="false">
      <c r="A1" s="31" t="s">
        <v>152</v>
      </c>
      <c r="B1" s="31" t="s">
        <v>153</v>
      </c>
    </row>
    <row r="2" customFormat="false" ht="15.75" hidden="false" customHeight="false" outlineLevel="0" collapsed="false">
      <c r="A2" s="31" t="n">
        <v>1</v>
      </c>
      <c r="B2" s="31" t="s">
        <v>154</v>
      </c>
    </row>
    <row r="3" customFormat="false" ht="15.75" hidden="false" customHeight="false" outlineLevel="0" collapsed="false">
      <c r="A3" s="31" t="n">
        <v>2</v>
      </c>
      <c r="B3" s="32" t="n">
        <v>99</v>
      </c>
    </row>
    <row r="4" customFormat="false" ht="15.75" hidden="false" customHeight="false" outlineLevel="0" collapsed="false">
      <c r="A4" s="31" t="n">
        <v>3</v>
      </c>
      <c r="B4" s="31" t="s">
        <v>155</v>
      </c>
    </row>
    <row r="5" customFormat="false" ht="15.75" hidden="false" customHeight="false" outlineLevel="0" collapsed="false">
      <c r="A5" s="31" t="n">
        <v>4</v>
      </c>
      <c r="B5" s="31" t="s">
        <v>156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33" width="10"/>
    <col collapsed="false" customWidth="true" hidden="false" outlineLevel="0" max="2" min="2" style="33" width="7.55"/>
    <col collapsed="false" customWidth="false" hidden="false" outlineLevel="0" max="16384" min="3" style="34" width="12.63"/>
  </cols>
  <sheetData>
    <row r="1" customFormat="false" ht="15.75" hidden="false" customHeight="false" outlineLevel="0" collapsed="false">
      <c r="A1" s="35" t="s">
        <v>152</v>
      </c>
      <c r="B1" s="31" t="s">
        <v>153</v>
      </c>
      <c r="C1" s="34" t="s">
        <v>157</v>
      </c>
    </row>
    <row r="2" customFormat="false" ht="15.75" hidden="false" customHeight="false" outlineLevel="0" collapsed="false">
      <c r="A2" s="36" t="s">
        <v>158</v>
      </c>
      <c r="B2" s="31" t="s">
        <v>159</v>
      </c>
      <c r="C2" s="34" t="n">
        <v>34</v>
      </c>
    </row>
    <row r="1048576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37" width="7.75"/>
    <col collapsed="false" customWidth="true" hidden="false" outlineLevel="0" max="2" min="2" style="37" width="6.02"/>
    <col collapsed="false" customWidth="true" hidden="false" outlineLevel="0" max="3" min="3" style="37" width="8.11"/>
    <col collapsed="false" customWidth="true" hidden="false" outlineLevel="0" max="4" min="4" style="37" width="7.27"/>
    <col collapsed="false" customWidth="true" hidden="false" outlineLevel="0" max="5" min="5" style="37" width="28.56"/>
    <col collapsed="false" customWidth="true" hidden="false" outlineLevel="0" max="6" min="6" style="37" width="27.45"/>
    <col collapsed="false" customWidth="true" hidden="false" outlineLevel="0" max="7" min="7" style="37" width="15.06"/>
    <col collapsed="false" customWidth="false" hidden="false" outlineLevel="0" max="16384" min="8" style="37" width="12.63"/>
  </cols>
  <sheetData>
    <row r="1" customFormat="false" ht="15.75" hidden="false" customHeight="false" outlineLevel="0" collapsed="false">
      <c r="A1" s="31" t="s">
        <v>152</v>
      </c>
      <c r="B1" s="31" t="s">
        <v>160</v>
      </c>
      <c r="C1" s="31" t="s">
        <v>161</v>
      </c>
      <c r="D1" s="31" t="s">
        <v>162</v>
      </c>
      <c r="E1" s="31" t="s">
        <v>163</v>
      </c>
      <c r="F1" s="31" t="s">
        <v>164</v>
      </c>
      <c r="G1" s="31" t="s">
        <v>165</v>
      </c>
    </row>
    <row r="2" customFormat="false" ht="15.75" hidden="false" customHeight="false" outlineLevel="0" collapsed="false">
      <c r="A2" s="31" t="n">
        <v>1</v>
      </c>
      <c r="B2" s="31" t="n">
        <v>2016</v>
      </c>
      <c r="C2" s="31" t="s">
        <v>166</v>
      </c>
      <c r="D2" s="31" t="s">
        <v>167</v>
      </c>
      <c r="E2" s="31" t="n">
        <v>7.9</v>
      </c>
      <c r="F2" s="31" t="n">
        <v>12</v>
      </c>
      <c r="G2" s="31" t="s">
        <v>168</v>
      </c>
    </row>
    <row r="3" customFormat="false" ht="15.75" hidden="false" customHeight="false" outlineLevel="0" collapsed="false">
      <c r="A3" s="38"/>
      <c r="B3" s="38"/>
      <c r="C3" s="38"/>
      <c r="D3" s="38"/>
      <c r="E3" s="38"/>
      <c r="F3" s="38"/>
      <c r="G3" s="38"/>
    </row>
    <row r="1048576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30" width="14.65"/>
  </cols>
  <sheetData>
    <row r="1" customFormat="false" ht="15.75" hidden="false" customHeight="false" outlineLevel="0" collapsed="false">
      <c r="A1" s="39" t="s">
        <v>152</v>
      </c>
      <c r="B1" s="39" t="s">
        <v>169</v>
      </c>
    </row>
    <row r="2" customFormat="false" ht="15.75" hidden="false" customHeight="false" outlineLevel="0" collapsed="false">
      <c r="A2" s="31" t="n">
        <v>1</v>
      </c>
      <c r="B2" s="31" t="s">
        <v>170</v>
      </c>
    </row>
    <row r="3" customFormat="false" ht="15.75" hidden="false" customHeight="false" outlineLevel="0" collapsed="false">
      <c r="A3" s="31" t="n">
        <v>2</v>
      </c>
      <c r="B3" s="31" t="s">
        <v>171</v>
      </c>
    </row>
    <row r="4" customFormat="false" ht="15.75" hidden="false" customHeight="false" outlineLevel="0" collapsed="false">
      <c r="A4" s="31" t="n">
        <v>3</v>
      </c>
      <c r="B4" s="31" t="s">
        <v>172</v>
      </c>
    </row>
    <row r="5" customFormat="false" ht="15.75" hidden="false" customHeight="false" outlineLevel="0" collapsed="false">
      <c r="A5" s="31" t="n">
        <v>4</v>
      </c>
      <c r="B5" s="31" t="s">
        <v>173</v>
      </c>
    </row>
    <row r="6" customFormat="false" ht="15.75" hidden="false" customHeight="false" outlineLevel="0" collapsed="false">
      <c r="A6" s="31" t="n">
        <v>5</v>
      </c>
      <c r="B6" s="31" t="s">
        <v>174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30" width="9.63"/>
    <col collapsed="false" customWidth="true" hidden="false" outlineLevel="0" max="2" min="2" style="40" width="12.25"/>
    <col collapsed="false" customWidth="true" hidden="false" outlineLevel="0" max="3" min="3" style="30" width="15.49"/>
    <col collapsed="false" customWidth="true" hidden="false" outlineLevel="0" max="4" min="4" style="30" width="16.89"/>
    <col collapsed="false" customWidth="true" hidden="false" outlineLevel="0" max="5" min="5" style="30" width="11.53"/>
    <col collapsed="false" customWidth="true" hidden="false" outlineLevel="0" max="6" min="6" style="30" width="15.76"/>
    <col collapsed="false" customWidth="true" hidden="false" outlineLevel="0" max="11" min="7" style="30" width="11.53"/>
    <col collapsed="false" customWidth="true" hidden="false" outlineLevel="0" max="16384" min="16381" style="30" width="11.53"/>
  </cols>
  <sheetData>
    <row r="1" customFormat="false" ht="15.75" hidden="false" customHeight="false" outlineLevel="0" collapsed="false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</row>
    <row r="2" customFormat="false" ht="15.75" hidden="false" customHeight="false" outlineLevel="0" collapsed="false">
      <c r="A2" s="43"/>
      <c r="B2" s="44" t="s">
        <v>1</v>
      </c>
      <c r="C2" s="31" t="s">
        <v>175</v>
      </c>
      <c r="D2" s="45" t="s">
        <v>176</v>
      </c>
      <c r="E2" s="45" t="s">
        <v>177</v>
      </c>
      <c r="F2" s="45" t="s">
        <v>178</v>
      </c>
      <c r="G2" s="31" t="s">
        <v>179</v>
      </c>
      <c r="H2" s="45" t="s">
        <v>180</v>
      </c>
      <c r="I2" s="45" t="s">
        <v>181</v>
      </c>
      <c r="J2" s="45" t="s">
        <v>182</v>
      </c>
      <c r="K2" s="45" t="s">
        <v>183</v>
      </c>
    </row>
    <row r="3" customFormat="false" ht="15.75" hidden="false" customHeight="false" outlineLevel="0" collapsed="false">
      <c r="A3" s="43"/>
      <c r="B3" s="46" t="n">
        <v>45506</v>
      </c>
      <c r="C3" s="47" t="str">
        <f aca="false">PROPER(TEXT((WEEKDAY(B3)),"dddd"))</f>
        <v>Sexta-Feira</v>
      </c>
      <c r="D3" s="48" t="n">
        <v>4.09</v>
      </c>
      <c r="E3" s="48" t="s">
        <v>184</v>
      </c>
      <c r="F3" s="48" t="n">
        <v>80</v>
      </c>
      <c r="G3" s="49" t="n">
        <f aca="false">F3/D3</f>
        <v>19.559902200489</v>
      </c>
      <c r="H3" s="48"/>
      <c r="I3" s="48"/>
      <c r="J3" s="48"/>
      <c r="K3" s="48"/>
    </row>
    <row r="4" customFormat="false" ht="15.75" hidden="false" customHeight="false" outlineLevel="0" collapsed="false">
      <c r="A4" s="43"/>
      <c r="B4" s="46" t="n">
        <v>45507</v>
      </c>
      <c r="C4" s="47" t="str">
        <f aca="false">PROPER(TEXT((WEEKDAY(B4)),"dddd"))</f>
        <v>Sábado</v>
      </c>
      <c r="D4" s="48" t="n">
        <v>4.09</v>
      </c>
      <c r="E4" s="48" t="s">
        <v>184</v>
      </c>
      <c r="F4" s="48" t="n">
        <v>81.8</v>
      </c>
      <c r="G4" s="49" t="n">
        <f aca="false">F4/D4</f>
        <v>20</v>
      </c>
      <c r="H4" s="48"/>
      <c r="I4" s="48"/>
      <c r="J4" s="48"/>
      <c r="K4" s="48"/>
    </row>
    <row r="5" customFormat="false" ht="15.75" hidden="false" customHeight="false" outlineLevel="0" collapsed="false">
      <c r="B5" s="46" t="n">
        <v>45508</v>
      </c>
      <c r="C5" s="47" t="str">
        <f aca="false">PROPER(TEXT((WEEKDAY(B5)),"dddd"))</f>
        <v>Domingo</v>
      </c>
      <c r="D5" s="48" t="n">
        <v>4.09</v>
      </c>
      <c r="E5" s="48" t="s">
        <v>184</v>
      </c>
      <c r="F5" s="48" t="n">
        <v>40</v>
      </c>
      <c r="G5" s="49" t="n">
        <f aca="false">F5/D5</f>
        <v>9.7799511002445</v>
      </c>
      <c r="H5" s="48"/>
      <c r="I5" s="48"/>
      <c r="J5" s="48"/>
      <c r="K5" s="48"/>
    </row>
    <row r="6" customFormat="false" ht="15.75" hidden="false" customHeight="false" outlineLevel="0" collapsed="false">
      <c r="B6" s="46" t="n">
        <v>45509</v>
      </c>
      <c r="C6" s="47" t="str">
        <f aca="false">PROPER(TEXT((WEEKDAY(B6)),"dddd"))</f>
        <v>Segunda-Feira</v>
      </c>
      <c r="D6" s="48" t="n">
        <v>4.09</v>
      </c>
      <c r="E6" s="48" t="s">
        <v>184</v>
      </c>
      <c r="F6" s="48" t="n">
        <v>60</v>
      </c>
      <c r="G6" s="49" t="n">
        <f aca="false">F6/D6</f>
        <v>14.6699266503668</v>
      </c>
      <c r="H6" s="48"/>
      <c r="I6" s="48"/>
      <c r="J6" s="48"/>
      <c r="K6" s="48"/>
    </row>
    <row r="7" customFormat="false" ht="15.75" hidden="false" customHeight="false" outlineLevel="0" collapsed="false">
      <c r="B7" s="46" t="n">
        <v>45510</v>
      </c>
      <c r="C7" s="47" t="str">
        <f aca="false">PROPER(TEXT((WEEKDAY(B7)),"dddd"))</f>
        <v>Terça-Feira</v>
      </c>
      <c r="D7" s="48" t="n">
        <v>4.09</v>
      </c>
      <c r="E7" s="48" t="s">
        <v>184</v>
      </c>
      <c r="F7" s="48" t="n">
        <v>80</v>
      </c>
      <c r="G7" s="49" t="n">
        <f aca="false">F7/D7</f>
        <v>19.559902200489</v>
      </c>
      <c r="H7" s="48"/>
      <c r="I7" s="48"/>
      <c r="J7" s="48"/>
      <c r="K7" s="48"/>
    </row>
    <row r="8" customFormat="false" ht="15.75" hidden="false" customHeight="false" outlineLevel="0" collapsed="false">
      <c r="B8" s="46" t="n">
        <v>45511</v>
      </c>
      <c r="C8" s="47" t="str">
        <f aca="false">PROPER(TEXT((WEEKDAY(B8)),"dddd"))</f>
        <v>Quarta-Feira</v>
      </c>
      <c r="D8" s="48" t="n">
        <v>4.09</v>
      </c>
      <c r="E8" s="48" t="s">
        <v>184</v>
      </c>
      <c r="F8" s="48" t="n">
        <v>80</v>
      </c>
      <c r="G8" s="49" t="n">
        <f aca="false">F8/D8</f>
        <v>19.559902200489</v>
      </c>
      <c r="H8" s="48"/>
      <c r="I8" s="48"/>
      <c r="J8" s="48"/>
      <c r="K8" s="48"/>
    </row>
    <row r="9" customFormat="false" ht="15.75" hidden="false" customHeight="false" outlineLevel="0" collapsed="false">
      <c r="B9" s="46" t="n">
        <v>45512</v>
      </c>
      <c r="C9" s="47" t="str">
        <f aca="false">PROPER(TEXT((WEEKDAY(B9)),"dddd"))</f>
        <v>Quinta-Feira</v>
      </c>
      <c r="D9" s="48" t="n">
        <v>4.09</v>
      </c>
      <c r="E9" s="48" t="s">
        <v>184</v>
      </c>
      <c r="F9" s="48"/>
      <c r="G9" s="49" t="n">
        <f aca="false">F9/D9</f>
        <v>0</v>
      </c>
      <c r="H9" s="48"/>
      <c r="I9" s="48"/>
      <c r="J9" s="48"/>
      <c r="K9" s="48"/>
    </row>
    <row r="10" customFormat="false" ht="15.75" hidden="false" customHeight="false" outlineLevel="0" collapsed="false">
      <c r="B10" s="46" t="n">
        <v>45513</v>
      </c>
      <c r="C10" s="47" t="str">
        <f aca="false">PROPER(TEXT((WEEKDAY(B10)),"dddd"))</f>
        <v>Sexta-Feira</v>
      </c>
      <c r="D10" s="48" t="n">
        <v>4.09</v>
      </c>
      <c r="E10" s="48" t="s">
        <v>184</v>
      </c>
      <c r="F10" s="48"/>
      <c r="G10" s="49" t="n">
        <f aca="false">F10/D10</f>
        <v>0</v>
      </c>
      <c r="H10" s="48"/>
      <c r="I10" s="48"/>
      <c r="J10" s="48"/>
      <c r="K10" s="48"/>
    </row>
    <row r="11" customFormat="false" ht="15.75" hidden="false" customHeight="false" outlineLevel="0" collapsed="false">
      <c r="B11" s="46" t="n">
        <v>45514</v>
      </c>
      <c r="C11" s="47" t="str">
        <f aca="false">PROPER(TEXT((WEEKDAY(B11)),"dddd"))</f>
        <v>Sábado</v>
      </c>
      <c r="D11" s="48" t="n">
        <v>4.09</v>
      </c>
      <c r="E11" s="48" t="s">
        <v>184</v>
      </c>
      <c r="F11" s="48" t="n">
        <v>80</v>
      </c>
      <c r="G11" s="49" t="n">
        <f aca="false">F11/D11</f>
        <v>19.559902200489</v>
      </c>
      <c r="H11" s="48"/>
      <c r="I11" s="48"/>
      <c r="J11" s="48"/>
      <c r="K11" s="48"/>
    </row>
    <row r="12" customFormat="false" ht="15.75" hidden="false" customHeight="false" outlineLevel="0" collapsed="false">
      <c r="B12" s="46" t="n">
        <v>45515</v>
      </c>
      <c r="C12" s="47" t="str">
        <f aca="false">PROPER(TEXT((WEEKDAY(B12)),"dddd"))</f>
        <v>Domingo</v>
      </c>
      <c r="D12" s="48" t="n">
        <v>4.09</v>
      </c>
      <c r="E12" s="48" t="s">
        <v>184</v>
      </c>
      <c r="F12" s="48" t="n">
        <f aca="false">50+30</f>
        <v>80</v>
      </c>
      <c r="G12" s="49" t="n">
        <f aca="false">F12/D12</f>
        <v>19.559902200489</v>
      </c>
      <c r="H12" s="48"/>
      <c r="I12" s="48"/>
      <c r="J12" s="48"/>
      <c r="K12" s="48"/>
    </row>
    <row r="13" customFormat="false" ht="15.75" hidden="false" customHeight="false" outlineLevel="0" collapsed="false">
      <c r="B13" s="46" t="n">
        <v>45516</v>
      </c>
      <c r="C13" s="47" t="str">
        <f aca="false">PROPER(TEXT((WEEKDAY(B13)),"dddd"))</f>
        <v>Segunda-Feira</v>
      </c>
      <c r="D13" s="48" t="n">
        <v>4.09</v>
      </c>
      <c r="E13" s="48" t="s">
        <v>184</v>
      </c>
      <c r="F13" s="48"/>
      <c r="G13" s="49" t="n">
        <f aca="false">F13/D13</f>
        <v>0</v>
      </c>
      <c r="H13" s="48"/>
      <c r="I13" s="48"/>
      <c r="J13" s="48"/>
      <c r="K13" s="48"/>
    </row>
    <row r="14" customFormat="false" ht="15.75" hidden="false" customHeight="false" outlineLevel="0" collapsed="false">
      <c r="B14" s="46" t="n">
        <v>45517</v>
      </c>
      <c r="C14" s="47" t="str">
        <f aca="false">PROPER(TEXT((WEEKDAY(B14)),"dddd"))</f>
        <v>Terça-Feira</v>
      </c>
      <c r="D14" s="48" t="n">
        <v>4.09</v>
      </c>
      <c r="E14" s="48" t="s">
        <v>184</v>
      </c>
      <c r="F14" s="48"/>
      <c r="G14" s="49" t="n">
        <f aca="false">F14/D14</f>
        <v>0</v>
      </c>
      <c r="H14" s="48"/>
      <c r="I14" s="48"/>
      <c r="J14" s="48"/>
      <c r="K14" s="48"/>
    </row>
    <row r="15" customFormat="false" ht="15.75" hidden="false" customHeight="false" outlineLevel="0" collapsed="false">
      <c r="B15" s="46" t="n">
        <v>45518</v>
      </c>
      <c r="C15" s="47" t="str">
        <f aca="false">PROPER(TEXT((WEEKDAY(B15)),"dddd"))</f>
        <v>Quarta-Feira</v>
      </c>
      <c r="D15" s="48" t="n">
        <v>4.09</v>
      </c>
      <c r="E15" s="48" t="s">
        <v>184</v>
      </c>
      <c r="F15" s="48" t="n">
        <v>60</v>
      </c>
      <c r="G15" s="49" t="n">
        <f aca="false">F15/D15</f>
        <v>14.6699266503668</v>
      </c>
      <c r="H15" s="48"/>
      <c r="I15" s="48"/>
      <c r="J15" s="48"/>
      <c r="K15" s="48"/>
    </row>
    <row r="16" customFormat="false" ht="15.75" hidden="false" customHeight="false" outlineLevel="0" collapsed="false">
      <c r="B16" s="46" t="n">
        <v>45519</v>
      </c>
      <c r="C16" s="47" t="str">
        <f aca="false">PROPER(TEXT((WEEKDAY(B16)),"dddd"))</f>
        <v>Quinta-Feira</v>
      </c>
      <c r="D16" s="48" t="n">
        <v>4.09</v>
      </c>
      <c r="E16" s="48" t="s">
        <v>184</v>
      </c>
      <c r="F16" s="48"/>
      <c r="G16" s="49" t="n">
        <f aca="false">F16/D16</f>
        <v>0</v>
      </c>
      <c r="H16" s="48"/>
      <c r="I16" s="48"/>
      <c r="J16" s="48"/>
      <c r="K16" s="48"/>
    </row>
    <row r="17" customFormat="false" ht="15.75" hidden="false" customHeight="false" outlineLevel="0" collapsed="false">
      <c r="B17" s="46" t="n">
        <v>45520</v>
      </c>
      <c r="C17" s="47" t="str">
        <f aca="false">PROPER(TEXT((WEEKDAY(B17)),"dddd"))</f>
        <v>Sexta-Feira</v>
      </c>
      <c r="D17" s="48" t="n">
        <v>4.09</v>
      </c>
      <c r="E17" s="48" t="s">
        <v>184</v>
      </c>
      <c r="F17" s="48" t="n">
        <v>80</v>
      </c>
      <c r="G17" s="49" t="n">
        <f aca="false">F17/D17</f>
        <v>19.559902200489</v>
      </c>
      <c r="H17" s="48"/>
      <c r="I17" s="48"/>
      <c r="J17" s="48"/>
      <c r="K17" s="48"/>
    </row>
    <row r="18" customFormat="false" ht="15.75" hidden="false" customHeight="false" outlineLevel="0" collapsed="false">
      <c r="B18" s="46" t="n">
        <v>45521</v>
      </c>
      <c r="C18" s="47" t="str">
        <f aca="false">PROPER(TEXT((WEEKDAY(B18)),"dddd"))</f>
        <v>Sábado</v>
      </c>
      <c r="D18" s="48" t="n">
        <v>4.09</v>
      </c>
      <c r="E18" s="48" t="s">
        <v>184</v>
      </c>
      <c r="F18" s="48"/>
      <c r="G18" s="49" t="n">
        <f aca="false">F18/D18</f>
        <v>0</v>
      </c>
      <c r="H18" s="48"/>
      <c r="I18" s="48"/>
      <c r="J18" s="48"/>
      <c r="K18" s="48" t="n">
        <v>15</v>
      </c>
    </row>
    <row r="19" customFormat="false" ht="15.75" hidden="false" customHeight="false" outlineLevel="0" collapsed="false">
      <c r="B19" s="46" t="n">
        <v>45522</v>
      </c>
      <c r="C19" s="47" t="str">
        <f aca="false">PROPER(TEXT((WEEKDAY(B19)),"dddd"))</f>
        <v>Domingo</v>
      </c>
      <c r="D19" s="48" t="n">
        <v>4.09</v>
      </c>
      <c r="E19" s="48" t="s">
        <v>184</v>
      </c>
      <c r="F19" s="48" t="n">
        <v>80</v>
      </c>
      <c r="G19" s="49" t="n">
        <f aca="false">F19/D19</f>
        <v>19.559902200489</v>
      </c>
      <c r="H19" s="48"/>
      <c r="I19" s="48"/>
      <c r="J19" s="48"/>
      <c r="K19" s="48"/>
    </row>
    <row r="20" customFormat="false" ht="15.75" hidden="false" customHeight="false" outlineLevel="0" collapsed="false">
      <c r="B20" s="46" t="n">
        <v>45523</v>
      </c>
      <c r="C20" s="47" t="str">
        <f aca="false">PROPER(TEXT((WEEKDAY(B20)),"dddd"))</f>
        <v>Segunda-Feira</v>
      </c>
      <c r="D20" s="48" t="n">
        <v>4.09</v>
      </c>
      <c r="E20" s="48" t="s">
        <v>184</v>
      </c>
      <c r="F20" s="48"/>
      <c r="G20" s="49" t="n">
        <f aca="false">F20/D20</f>
        <v>0</v>
      </c>
      <c r="H20" s="48"/>
      <c r="I20" s="48"/>
      <c r="J20" s="48"/>
      <c r="K20" s="48"/>
    </row>
    <row r="21" customFormat="false" ht="15.75" hidden="false" customHeight="false" outlineLevel="0" collapsed="false">
      <c r="B21" s="46" t="n">
        <v>45524</v>
      </c>
      <c r="C21" s="47" t="str">
        <f aca="false">PROPER(TEXT((WEEKDAY(B21)),"dddd"))</f>
        <v>Terça-Feira</v>
      </c>
      <c r="D21" s="48" t="n">
        <v>4.09</v>
      </c>
      <c r="E21" s="48" t="s">
        <v>184</v>
      </c>
      <c r="F21" s="48" t="n">
        <v>80</v>
      </c>
      <c r="G21" s="49" t="n">
        <f aca="false">F21/D21</f>
        <v>19.559902200489</v>
      </c>
      <c r="H21" s="48"/>
      <c r="I21" s="48"/>
      <c r="J21" s="48"/>
      <c r="K21" s="48"/>
    </row>
    <row r="22" customFormat="false" ht="15.75" hidden="false" customHeight="false" outlineLevel="0" collapsed="false">
      <c r="B22" s="46" t="n">
        <v>45525</v>
      </c>
      <c r="C22" s="47" t="str">
        <f aca="false">PROPER(TEXT((WEEKDAY(B22)),"dddd"))</f>
        <v>Quarta-Feira</v>
      </c>
      <c r="D22" s="48" t="n">
        <v>4.09</v>
      </c>
      <c r="E22" s="48" t="s">
        <v>184</v>
      </c>
      <c r="F22" s="48"/>
      <c r="G22" s="49" t="n">
        <f aca="false">F22/D22</f>
        <v>0</v>
      </c>
      <c r="H22" s="48"/>
      <c r="I22" s="48"/>
      <c r="J22" s="48"/>
      <c r="K22" s="48"/>
    </row>
    <row r="23" customFormat="false" ht="15.75" hidden="false" customHeight="false" outlineLevel="0" collapsed="false">
      <c r="B23" s="46" t="n">
        <v>45526</v>
      </c>
      <c r="C23" s="47" t="str">
        <f aca="false">PROPER(TEXT((WEEKDAY(B23)),"dddd"))</f>
        <v>Quinta-Feira</v>
      </c>
      <c r="D23" s="48" t="n">
        <v>4.09</v>
      </c>
      <c r="E23" s="48" t="s">
        <v>184</v>
      </c>
      <c r="F23" s="48" t="n">
        <v>20</v>
      </c>
      <c r="G23" s="49" t="n">
        <f aca="false">F23/D23</f>
        <v>4.88997555012225</v>
      </c>
      <c r="H23" s="48"/>
      <c r="I23" s="48"/>
      <c r="J23" s="48"/>
      <c r="K23" s="48" t="n">
        <v>20</v>
      </c>
    </row>
    <row r="24" customFormat="false" ht="15.75" hidden="false" customHeight="false" outlineLevel="0" collapsed="false">
      <c r="B24" s="46" t="n">
        <v>45527</v>
      </c>
      <c r="C24" s="47" t="str">
        <f aca="false">PROPER(TEXT((WEEKDAY(B24)),"dddd"))</f>
        <v>Sexta-Feira</v>
      </c>
      <c r="D24" s="48" t="n">
        <v>4.09</v>
      </c>
      <c r="E24" s="48" t="s">
        <v>184</v>
      </c>
      <c r="F24" s="48"/>
      <c r="G24" s="49" t="n">
        <f aca="false">F24/D24</f>
        <v>0</v>
      </c>
      <c r="H24" s="48"/>
      <c r="I24" s="48"/>
      <c r="J24" s="48"/>
      <c r="K24" s="48"/>
    </row>
    <row r="25" customFormat="false" ht="15.75" hidden="false" customHeight="false" outlineLevel="0" collapsed="false">
      <c r="B25" s="46" t="n">
        <v>45528</v>
      </c>
      <c r="C25" s="47" t="str">
        <f aca="false">PROPER(TEXT((WEEKDAY(B25)),"dddd"))</f>
        <v>Sábado</v>
      </c>
      <c r="D25" s="48" t="n">
        <v>4.09</v>
      </c>
      <c r="E25" s="48" t="s">
        <v>184</v>
      </c>
      <c r="F25" s="48" t="n">
        <v>30</v>
      </c>
      <c r="G25" s="49" t="n">
        <f aca="false">F25/D25</f>
        <v>7.33496332518338</v>
      </c>
      <c r="H25" s="48"/>
      <c r="I25" s="48"/>
      <c r="J25" s="48"/>
      <c r="K25" s="48"/>
    </row>
    <row r="26" customFormat="false" ht="15.75" hidden="false" customHeight="false" outlineLevel="0" collapsed="false">
      <c r="B26" s="46" t="n">
        <v>45529</v>
      </c>
      <c r="C26" s="47" t="str">
        <f aca="false">PROPER(TEXT((WEEKDAY(B26)),"dddd"))</f>
        <v>Domingo</v>
      </c>
      <c r="D26" s="48" t="n">
        <v>4.09</v>
      </c>
      <c r="E26" s="48" t="s">
        <v>184</v>
      </c>
      <c r="F26" s="48"/>
      <c r="G26" s="49" t="n">
        <f aca="false">F26/D26</f>
        <v>0</v>
      </c>
      <c r="H26" s="48"/>
      <c r="I26" s="48"/>
      <c r="J26" s="48"/>
      <c r="K26" s="48"/>
    </row>
    <row r="27" customFormat="false" ht="15.75" hidden="false" customHeight="false" outlineLevel="0" collapsed="false">
      <c r="B27" s="46" t="n">
        <v>45530</v>
      </c>
      <c r="C27" s="47" t="str">
        <f aca="false">PROPER(TEXT((WEEKDAY(B27)),"dddd"))</f>
        <v>Segunda-Feira</v>
      </c>
      <c r="D27" s="48" t="n">
        <v>4.09</v>
      </c>
      <c r="E27" s="48" t="s">
        <v>184</v>
      </c>
      <c r="F27" s="48"/>
      <c r="G27" s="49" t="n">
        <f aca="false">F27/D27</f>
        <v>0</v>
      </c>
      <c r="H27" s="48"/>
      <c r="I27" s="48"/>
      <c r="J27" s="48"/>
      <c r="K27" s="48"/>
    </row>
    <row r="28" customFormat="false" ht="15.75" hidden="false" customHeight="false" outlineLevel="0" collapsed="false">
      <c r="B28" s="46" t="n">
        <v>45531</v>
      </c>
      <c r="C28" s="47" t="str">
        <f aca="false">PROPER(TEXT((WEEKDAY(B28)),"dddd"))</f>
        <v>Terça-Feira</v>
      </c>
      <c r="D28" s="48" t="n">
        <v>4.09</v>
      </c>
      <c r="E28" s="48" t="s">
        <v>184</v>
      </c>
      <c r="F28" s="48"/>
      <c r="G28" s="49" t="n">
        <f aca="false">F28/D28</f>
        <v>0</v>
      </c>
      <c r="H28" s="48"/>
      <c r="I28" s="48"/>
      <c r="J28" s="48"/>
      <c r="K28" s="48"/>
    </row>
    <row r="29" customFormat="false" ht="15.75" hidden="false" customHeight="false" outlineLevel="0" collapsed="false">
      <c r="B29" s="46" t="n">
        <v>45532</v>
      </c>
      <c r="C29" s="47" t="str">
        <f aca="false">PROPER(TEXT((WEEKDAY(B29)),"dddd"))</f>
        <v>Quarta-Feira</v>
      </c>
      <c r="D29" s="48" t="n">
        <v>4.09</v>
      </c>
      <c r="E29" s="48" t="s">
        <v>184</v>
      </c>
      <c r="F29" s="48"/>
      <c r="G29" s="49" t="n">
        <f aca="false">F29/D29</f>
        <v>0</v>
      </c>
      <c r="H29" s="48"/>
      <c r="I29" s="48"/>
      <c r="J29" s="48"/>
      <c r="K29" s="48"/>
    </row>
    <row r="30" customFormat="false" ht="15.75" hidden="false" customHeight="false" outlineLevel="0" collapsed="false">
      <c r="B30" s="46" t="n">
        <v>45533</v>
      </c>
      <c r="C30" s="47" t="str">
        <f aca="false">PROPER(TEXT((WEEKDAY(B30)),"dddd"))</f>
        <v>Quinta-Feira</v>
      </c>
      <c r="D30" s="48" t="n">
        <v>4.09</v>
      </c>
      <c r="E30" s="48" t="s">
        <v>184</v>
      </c>
      <c r="F30" s="48" t="n">
        <v>25</v>
      </c>
      <c r="G30" s="49" t="n">
        <f aca="false">F30/D30</f>
        <v>6.11246943765281</v>
      </c>
      <c r="H30" s="48"/>
      <c r="I30" s="48"/>
      <c r="J30" s="48"/>
      <c r="K30" s="48"/>
    </row>
    <row r="31" customFormat="false" ht="15.75" hidden="false" customHeight="false" outlineLevel="0" collapsed="false">
      <c r="B31" s="46" t="n">
        <v>45534</v>
      </c>
      <c r="C31" s="47" t="str">
        <f aca="false">PROPER(TEXT((WEEKDAY(B31)),"dddd"))</f>
        <v>Sexta-Feira</v>
      </c>
      <c r="D31" s="48" t="n">
        <v>4.09</v>
      </c>
      <c r="E31" s="48" t="s">
        <v>184</v>
      </c>
      <c r="F31" s="48"/>
      <c r="G31" s="49" t="n">
        <f aca="false">F31/D31</f>
        <v>0</v>
      </c>
      <c r="H31" s="48"/>
      <c r="I31" s="48"/>
      <c r="J31" s="48"/>
      <c r="K31" s="48"/>
    </row>
    <row r="32" customFormat="false" ht="15.75" hidden="false" customHeight="false" outlineLevel="0" collapsed="false">
      <c r="B32" s="46" t="n">
        <v>45535</v>
      </c>
      <c r="C32" s="47" t="str">
        <f aca="false">PROPER(TEXT((WEEKDAY(B32)),"dddd"))</f>
        <v>Sábado</v>
      </c>
      <c r="D32" s="48" t="n">
        <v>4.09</v>
      </c>
      <c r="E32" s="48" t="s">
        <v>184</v>
      </c>
      <c r="F32" s="48"/>
      <c r="G32" s="49" t="n">
        <f aca="false">F32/D32</f>
        <v>0</v>
      </c>
      <c r="H32" s="48"/>
      <c r="I32" s="48"/>
      <c r="J32" s="48"/>
      <c r="K32" s="48"/>
    </row>
    <row r="33" customFormat="false" ht="15.75" hidden="false" customHeight="false" outlineLevel="0" collapsed="false">
      <c r="B33" s="46" t="n">
        <v>45536</v>
      </c>
      <c r="C33" s="47" t="str">
        <f aca="false">PROPER(TEXT((WEEKDAY(B33)),"dddd"))</f>
        <v>Domingo</v>
      </c>
      <c r="D33" s="48" t="n">
        <v>4.09</v>
      </c>
      <c r="E33" s="48" t="s">
        <v>184</v>
      </c>
      <c r="F33" s="48" t="n">
        <v>30</v>
      </c>
      <c r="G33" s="49" t="n">
        <f aca="false">F33/D33</f>
        <v>7.33496332518338</v>
      </c>
      <c r="H33" s="48"/>
      <c r="I33" s="48"/>
      <c r="J33" s="48"/>
      <c r="K33" s="48"/>
    </row>
    <row r="34" customFormat="false" ht="15.75" hidden="false" customHeight="false" outlineLevel="0" collapsed="false">
      <c r="B34" s="46" t="n">
        <v>45537</v>
      </c>
      <c r="C34" s="47" t="str">
        <f aca="false">PROPER(TEXT((WEEKDAY(B34)),"dddd"))</f>
        <v>Segunda-Feira</v>
      </c>
      <c r="D34" s="48" t="n">
        <v>4.09</v>
      </c>
      <c r="E34" s="48" t="s">
        <v>184</v>
      </c>
      <c r="F34" s="48"/>
      <c r="G34" s="49" t="n">
        <f aca="false">F34/D34</f>
        <v>0</v>
      </c>
      <c r="H34" s="48"/>
      <c r="I34" s="48"/>
      <c r="J34" s="48"/>
      <c r="K34" s="48"/>
    </row>
    <row r="35" customFormat="false" ht="15.75" hidden="false" customHeight="false" outlineLevel="0" collapsed="false">
      <c r="B35" s="46" t="n">
        <v>45538</v>
      </c>
      <c r="C35" s="47" t="str">
        <f aca="false">PROPER(TEXT((WEEKDAY(B35)),"dddd"))</f>
        <v>Terça-Feira</v>
      </c>
      <c r="D35" s="48" t="n">
        <v>4.09</v>
      </c>
      <c r="E35" s="48" t="s">
        <v>184</v>
      </c>
      <c r="F35" s="48"/>
      <c r="G35" s="49" t="n">
        <f aca="false">F35/D35</f>
        <v>0</v>
      </c>
      <c r="H35" s="48"/>
      <c r="I35" s="48"/>
      <c r="J35" s="48"/>
      <c r="K35" s="48"/>
    </row>
    <row r="36" customFormat="false" ht="15.75" hidden="false" customHeight="false" outlineLevel="0" collapsed="false">
      <c r="B36" s="46" t="n">
        <v>45539</v>
      </c>
      <c r="C36" s="47" t="str">
        <f aca="false">PROPER(TEXT((WEEKDAY(B36)),"dddd"))</f>
        <v>Quarta-Feira</v>
      </c>
      <c r="D36" s="48" t="n">
        <v>4.09</v>
      </c>
      <c r="E36" s="48" t="s">
        <v>184</v>
      </c>
      <c r="F36" s="48"/>
      <c r="G36" s="49" t="n">
        <f aca="false">F36/D36</f>
        <v>0</v>
      </c>
      <c r="H36" s="48"/>
      <c r="I36" s="48"/>
      <c r="J36" s="48"/>
      <c r="K36" s="48"/>
    </row>
    <row r="37" customFormat="false" ht="15.75" hidden="false" customHeight="false" outlineLevel="0" collapsed="false">
      <c r="B37" s="46" t="n">
        <v>45540</v>
      </c>
      <c r="C37" s="47" t="str">
        <f aca="false">PROPER(TEXT((WEEKDAY(B37)),"dddd"))</f>
        <v>Quinta-Feira</v>
      </c>
      <c r="D37" s="48" t="n">
        <v>4.09</v>
      </c>
      <c r="E37" s="48" t="s">
        <v>184</v>
      </c>
      <c r="F37" s="48"/>
      <c r="G37" s="49" t="n">
        <f aca="false">F37/D37</f>
        <v>0</v>
      </c>
      <c r="H37" s="48"/>
      <c r="I37" s="48"/>
      <c r="J37" s="48"/>
      <c r="K37" s="48"/>
    </row>
    <row r="38" customFormat="false" ht="15.75" hidden="false" customHeight="false" outlineLevel="0" collapsed="false">
      <c r="B38" s="46" t="n">
        <v>45541</v>
      </c>
      <c r="C38" s="47" t="str">
        <f aca="false">PROPER(TEXT((WEEKDAY(B38)),"dddd"))</f>
        <v>Sexta-Feira</v>
      </c>
      <c r="D38" s="48" t="n">
        <v>4.09</v>
      </c>
      <c r="E38" s="48" t="s">
        <v>184</v>
      </c>
      <c r="F38" s="48" t="n">
        <v>20</v>
      </c>
      <c r="G38" s="49" t="n">
        <f aca="false">F38/D38</f>
        <v>4.88997555012225</v>
      </c>
      <c r="H38" s="48"/>
      <c r="I38" s="48"/>
      <c r="J38" s="48"/>
      <c r="K38" s="48"/>
    </row>
    <row r="39" customFormat="false" ht="15.75" hidden="false" customHeight="false" outlineLevel="0" collapsed="false">
      <c r="B39" s="46" t="n">
        <v>45542</v>
      </c>
      <c r="C39" s="47" t="str">
        <f aca="false">PROPER(TEXT((WEEKDAY(B39)),"dddd"))</f>
        <v>Sábado</v>
      </c>
      <c r="D39" s="48" t="n">
        <v>4.09</v>
      </c>
      <c r="E39" s="48" t="s">
        <v>184</v>
      </c>
      <c r="F39" s="48" t="n">
        <f aca="false">30+20</f>
        <v>50</v>
      </c>
      <c r="G39" s="49" t="n">
        <f aca="false">F39/D39</f>
        <v>12.2249388753056</v>
      </c>
      <c r="H39" s="48"/>
      <c r="I39" s="48"/>
      <c r="J39" s="48"/>
      <c r="K39" s="48"/>
    </row>
    <row r="40" customFormat="false" ht="15.75" hidden="false" customHeight="false" outlineLevel="0" collapsed="false">
      <c r="B40" s="46" t="n">
        <v>45543</v>
      </c>
      <c r="C40" s="47" t="str">
        <f aca="false">PROPER(TEXT((WEEKDAY(B40)),"dddd"))</f>
        <v>Domingo</v>
      </c>
      <c r="D40" s="48" t="n">
        <v>4.09</v>
      </c>
      <c r="E40" s="48" t="s">
        <v>184</v>
      </c>
      <c r="F40" s="48" t="n">
        <f aca="false">30+25</f>
        <v>55</v>
      </c>
      <c r="G40" s="49" t="n">
        <f aca="false">F40/D40</f>
        <v>13.4474327628362</v>
      </c>
      <c r="H40" s="48"/>
      <c r="I40" s="48"/>
      <c r="J40" s="48"/>
      <c r="K40" s="48"/>
    </row>
    <row r="41" customFormat="false" ht="15.75" hidden="false" customHeight="false" outlineLevel="0" collapsed="false">
      <c r="B41" s="46" t="n">
        <v>45544</v>
      </c>
      <c r="C41" s="47" t="str">
        <f aca="false">PROPER(TEXT((WEEKDAY(B41)),"dddd"))</f>
        <v>Segunda-Feira</v>
      </c>
      <c r="D41" s="48" t="n">
        <v>4.09</v>
      </c>
      <c r="E41" s="48" t="s">
        <v>184</v>
      </c>
      <c r="F41" s="48"/>
      <c r="G41" s="49" t="n">
        <f aca="false">F41/D41</f>
        <v>0</v>
      </c>
      <c r="H41" s="48"/>
      <c r="I41" s="48"/>
      <c r="J41" s="48"/>
      <c r="K41" s="48"/>
    </row>
    <row r="42" customFormat="false" ht="15.75" hidden="false" customHeight="false" outlineLevel="0" collapsed="false">
      <c r="B42" s="46" t="n">
        <v>45545</v>
      </c>
      <c r="C42" s="47" t="str">
        <f aca="false">PROPER(TEXT((WEEKDAY(B42)),"dddd"))</f>
        <v>Terça-Feira</v>
      </c>
      <c r="D42" s="48" t="n">
        <v>4.09</v>
      </c>
      <c r="E42" s="48" t="s">
        <v>184</v>
      </c>
      <c r="F42" s="48"/>
      <c r="G42" s="49" t="n">
        <f aca="false">F42/D42</f>
        <v>0</v>
      </c>
      <c r="H42" s="48"/>
      <c r="I42" s="48"/>
      <c r="J42" s="48"/>
      <c r="K42" s="48"/>
    </row>
    <row r="43" customFormat="false" ht="15.75" hidden="false" customHeight="false" outlineLevel="0" collapsed="false">
      <c r="B43" s="46" t="n">
        <v>45546</v>
      </c>
      <c r="C43" s="47" t="str">
        <f aca="false">PROPER(TEXT((WEEKDAY(B43)),"dddd"))</f>
        <v>Quarta-Feira</v>
      </c>
      <c r="D43" s="48" t="n">
        <v>4.09</v>
      </c>
      <c r="E43" s="48" t="s">
        <v>184</v>
      </c>
      <c r="F43" s="48"/>
      <c r="G43" s="49" t="n">
        <f aca="false">F43/D43</f>
        <v>0</v>
      </c>
      <c r="H43" s="48"/>
      <c r="I43" s="48"/>
      <c r="J43" s="48"/>
      <c r="K43" s="48"/>
    </row>
    <row r="44" customFormat="false" ht="15.75" hidden="false" customHeight="false" outlineLevel="0" collapsed="false">
      <c r="B44" s="46" t="n">
        <v>45547</v>
      </c>
      <c r="C44" s="47" t="str">
        <f aca="false">PROPER(TEXT((WEEKDAY(B44)),"dddd"))</f>
        <v>Quinta-Feira</v>
      </c>
      <c r="D44" s="48" t="n">
        <v>4.09</v>
      </c>
      <c r="E44" s="48" t="s">
        <v>184</v>
      </c>
      <c r="F44" s="48"/>
      <c r="G44" s="49" t="n">
        <f aca="false">F44/D44</f>
        <v>0</v>
      </c>
      <c r="H44" s="48"/>
      <c r="I44" s="48"/>
      <c r="J44" s="48"/>
      <c r="K44" s="48"/>
    </row>
    <row r="45" customFormat="false" ht="15.75" hidden="false" customHeight="false" outlineLevel="0" collapsed="false">
      <c r="B45" s="46" t="n">
        <v>45548</v>
      </c>
      <c r="C45" s="47" t="str">
        <f aca="false">PROPER(TEXT((WEEKDAY(B45)),"dddd"))</f>
        <v>Sexta-Feira</v>
      </c>
      <c r="D45" s="48" t="n">
        <v>4.09</v>
      </c>
      <c r="E45" s="48" t="s">
        <v>184</v>
      </c>
      <c r="F45" s="48" t="n">
        <f aca="false">20</f>
        <v>20</v>
      </c>
      <c r="G45" s="49" t="n">
        <f aca="false">F45/D45</f>
        <v>4.88997555012225</v>
      </c>
      <c r="H45" s="48"/>
      <c r="I45" s="48"/>
      <c r="J45" s="48"/>
      <c r="K45" s="48"/>
    </row>
    <row r="46" customFormat="false" ht="15.75" hidden="false" customHeight="false" outlineLevel="0" collapsed="false">
      <c r="B46" s="46" t="n">
        <v>45549</v>
      </c>
      <c r="C46" s="47" t="str">
        <f aca="false">PROPER(TEXT((WEEKDAY(B46)),"dddd"))</f>
        <v>Sábado</v>
      </c>
      <c r="D46" s="48" t="n">
        <v>4.09</v>
      </c>
      <c r="E46" s="48" t="s">
        <v>184</v>
      </c>
      <c r="F46" s="48"/>
      <c r="G46" s="47"/>
      <c r="H46" s="48"/>
      <c r="I46" s="48"/>
      <c r="J46" s="48"/>
      <c r="K46" s="48"/>
    </row>
    <row r="47" customFormat="false" ht="15.75" hidden="false" customHeight="false" outlineLevel="0" collapsed="false">
      <c r="B47" s="46" t="n">
        <v>45550</v>
      </c>
      <c r="C47" s="47" t="str">
        <f aca="false">PROPER(TEXT((WEEKDAY(B47)),"dddd"))</f>
        <v>Domingo</v>
      </c>
      <c r="D47" s="48" t="n">
        <v>4.09</v>
      </c>
      <c r="E47" s="48" t="s">
        <v>184</v>
      </c>
      <c r="F47" s="48"/>
      <c r="G47" s="47"/>
      <c r="H47" s="48"/>
      <c r="I47" s="48"/>
      <c r="J47" s="48"/>
      <c r="K47" s="48"/>
    </row>
    <row r="48" customFormat="false" ht="15.75" hidden="false" customHeight="false" outlineLevel="0" collapsed="false">
      <c r="B48" s="46" t="n">
        <v>45551</v>
      </c>
      <c r="C48" s="47" t="str">
        <f aca="false">PROPER(TEXT((WEEKDAY(B48)),"dddd"))</f>
        <v>Segunda-Feira</v>
      </c>
      <c r="D48" s="48" t="n">
        <v>4.09</v>
      </c>
      <c r="E48" s="48" t="s">
        <v>184</v>
      </c>
      <c r="F48" s="48"/>
      <c r="G48" s="47"/>
      <c r="H48" s="48"/>
      <c r="I48" s="48"/>
      <c r="J48" s="48"/>
      <c r="K48" s="48"/>
    </row>
    <row r="49" customFormat="false" ht="15.75" hidden="false" customHeight="false" outlineLevel="0" collapsed="false">
      <c r="B49" s="46" t="n">
        <v>45552</v>
      </c>
      <c r="C49" s="47" t="str">
        <f aca="false">PROPER(TEXT((WEEKDAY(B49)),"dddd"))</f>
        <v>Terça-Feira</v>
      </c>
      <c r="D49" s="48" t="n">
        <v>4.09</v>
      </c>
      <c r="E49" s="48" t="s">
        <v>184</v>
      </c>
      <c r="F49" s="48"/>
      <c r="G49" s="47"/>
      <c r="H49" s="48"/>
      <c r="I49" s="48"/>
      <c r="J49" s="48"/>
      <c r="K49" s="48"/>
    </row>
    <row r="50" customFormat="false" ht="15.75" hidden="false" customHeight="false" outlineLevel="0" collapsed="false">
      <c r="B50" s="46" t="n">
        <v>45553</v>
      </c>
      <c r="C50" s="47" t="str">
        <f aca="false">PROPER(TEXT((WEEKDAY(B50)),"dddd"))</f>
        <v>Quarta-Feira</v>
      </c>
      <c r="D50" s="48" t="n">
        <v>4.09</v>
      </c>
      <c r="E50" s="48" t="s">
        <v>184</v>
      </c>
      <c r="F50" s="48"/>
      <c r="G50" s="47"/>
      <c r="H50" s="48"/>
      <c r="I50" s="48"/>
      <c r="J50" s="48"/>
      <c r="K50" s="48"/>
    </row>
    <row r="51" customFormat="false" ht="15.75" hidden="false" customHeight="false" outlineLevel="0" collapsed="false">
      <c r="B51" s="46" t="n">
        <v>45554</v>
      </c>
      <c r="C51" s="47" t="str">
        <f aca="false">PROPER(TEXT((WEEKDAY(B51)),"dddd"))</f>
        <v>Quinta-Feira</v>
      </c>
      <c r="D51" s="48" t="n">
        <v>4.09</v>
      </c>
      <c r="E51" s="48" t="s">
        <v>184</v>
      </c>
      <c r="F51" s="48"/>
      <c r="G51" s="47"/>
      <c r="H51" s="48"/>
      <c r="I51" s="48"/>
      <c r="J51" s="48"/>
      <c r="K51" s="48"/>
    </row>
    <row r="52" customFormat="false" ht="15.75" hidden="false" customHeight="false" outlineLevel="0" collapsed="false">
      <c r="B52" s="46" t="n">
        <v>45555</v>
      </c>
      <c r="C52" s="47" t="str">
        <f aca="false">PROPER(TEXT((WEEKDAY(B52)),"dddd"))</f>
        <v>Sexta-Feira</v>
      </c>
      <c r="D52" s="48" t="n">
        <v>4.09</v>
      </c>
      <c r="E52" s="48" t="s">
        <v>184</v>
      </c>
      <c r="F52" s="48"/>
      <c r="G52" s="47"/>
      <c r="H52" s="48"/>
      <c r="I52" s="48"/>
      <c r="J52" s="48"/>
      <c r="K52" s="48"/>
    </row>
    <row r="53" customFormat="false" ht="15.75" hidden="false" customHeight="false" outlineLevel="0" collapsed="false">
      <c r="B53" s="46" t="n">
        <v>45556</v>
      </c>
      <c r="C53" s="47" t="str">
        <f aca="false">PROPER(TEXT((WEEKDAY(B53)),"dddd"))</f>
        <v>Sábado</v>
      </c>
      <c r="D53" s="48" t="n">
        <v>4.09</v>
      </c>
      <c r="E53" s="48" t="s">
        <v>184</v>
      </c>
      <c r="F53" s="48"/>
      <c r="G53" s="47"/>
      <c r="H53" s="48"/>
      <c r="I53" s="48"/>
      <c r="J53" s="48"/>
      <c r="K53" s="48"/>
    </row>
    <row r="54" customFormat="false" ht="15.75" hidden="false" customHeight="false" outlineLevel="0" collapsed="false">
      <c r="B54" s="46" t="n">
        <v>45557</v>
      </c>
      <c r="C54" s="47" t="str">
        <f aca="false">PROPER(TEXT((WEEKDAY(B54)),"dddd"))</f>
        <v>Domingo</v>
      </c>
      <c r="D54" s="48" t="n">
        <v>4.09</v>
      </c>
      <c r="E54" s="48" t="s">
        <v>184</v>
      </c>
      <c r="F54" s="48"/>
      <c r="G54" s="47"/>
      <c r="H54" s="48"/>
      <c r="I54" s="48"/>
      <c r="J54" s="48"/>
      <c r="K54" s="48"/>
    </row>
    <row r="55" customFormat="false" ht="15.75" hidden="false" customHeight="false" outlineLevel="0" collapsed="false">
      <c r="B55" s="46" t="n">
        <v>45558</v>
      </c>
      <c r="C55" s="47" t="str">
        <f aca="false">PROPER(TEXT((WEEKDAY(B55)),"dddd"))</f>
        <v>Segunda-Feira</v>
      </c>
      <c r="D55" s="48" t="n">
        <v>4.09</v>
      </c>
      <c r="E55" s="48" t="s">
        <v>184</v>
      </c>
      <c r="F55" s="48"/>
      <c r="G55" s="47"/>
      <c r="H55" s="48"/>
      <c r="I55" s="48"/>
      <c r="J55" s="48"/>
      <c r="K55" s="48"/>
    </row>
    <row r="56" customFormat="false" ht="15.75" hidden="false" customHeight="false" outlineLevel="0" collapsed="false">
      <c r="B56" s="46" t="n">
        <v>45559</v>
      </c>
      <c r="C56" s="47" t="str">
        <f aca="false">PROPER(TEXT((WEEKDAY(B56)),"dddd"))</f>
        <v>Terça-Feira</v>
      </c>
      <c r="D56" s="48" t="n">
        <v>4.09</v>
      </c>
      <c r="E56" s="48" t="s">
        <v>184</v>
      </c>
      <c r="F56" s="48"/>
      <c r="G56" s="47"/>
      <c r="H56" s="48"/>
      <c r="I56" s="48"/>
      <c r="J56" s="48"/>
      <c r="K56" s="48"/>
    </row>
    <row r="57" customFormat="false" ht="15.75" hidden="false" customHeight="false" outlineLevel="0" collapsed="false">
      <c r="B57" s="46" t="n">
        <v>45560</v>
      </c>
      <c r="C57" s="47" t="str">
        <f aca="false">PROPER(TEXT((WEEKDAY(B57)),"dddd"))</f>
        <v>Quarta-Feira</v>
      </c>
      <c r="D57" s="48" t="n">
        <v>4.09</v>
      </c>
      <c r="E57" s="48" t="s">
        <v>184</v>
      </c>
      <c r="F57" s="48"/>
      <c r="G57" s="47"/>
      <c r="H57" s="48"/>
      <c r="I57" s="48"/>
      <c r="J57" s="48"/>
      <c r="K57" s="48"/>
    </row>
    <row r="58" customFormat="false" ht="15.75" hidden="false" customHeight="false" outlineLevel="0" collapsed="false">
      <c r="B58" s="46" t="n">
        <v>45561</v>
      </c>
      <c r="C58" s="47" t="str">
        <f aca="false">PROPER(TEXT((WEEKDAY(B58)),"dddd"))</f>
        <v>Quinta-Feira</v>
      </c>
      <c r="D58" s="48" t="n">
        <v>4.09</v>
      </c>
      <c r="E58" s="48" t="s">
        <v>184</v>
      </c>
      <c r="F58" s="48"/>
      <c r="G58" s="47"/>
      <c r="H58" s="48"/>
      <c r="I58" s="48"/>
      <c r="J58" s="48"/>
      <c r="K58" s="48"/>
    </row>
    <row r="59" customFormat="false" ht="15.75" hidden="false" customHeight="false" outlineLevel="0" collapsed="false">
      <c r="B59" s="46" t="n">
        <v>45562</v>
      </c>
      <c r="C59" s="47" t="str">
        <f aca="false">PROPER(TEXT((WEEKDAY(B59)),"dddd"))</f>
        <v>Sexta-Feira</v>
      </c>
      <c r="D59" s="48" t="n">
        <v>4.09</v>
      </c>
      <c r="E59" s="48" t="s">
        <v>184</v>
      </c>
      <c r="F59" s="48"/>
      <c r="G59" s="47"/>
      <c r="H59" s="48"/>
      <c r="I59" s="48"/>
      <c r="J59" s="48"/>
      <c r="K59" s="48"/>
    </row>
    <row r="60" customFormat="false" ht="15.75" hidden="false" customHeight="false" outlineLevel="0" collapsed="false">
      <c r="B60" s="46" t="n">
        <v>45563</v>
      </c>
      <c r="C60" s="47" t="str">
        <f aca="false">PROPER(TEXT((WEEKDAY(B60)),"dddd"))</f>
        <v>Sábado</v>
      </c>
      <c r="D60" s="48" t="n">
        <v>4.09</v>
      </c>
      <c r="E60" s="48" t="s">
        <v>184</v>
      </c>
      <c r="F60" s="48"/>
      <c r="G60" s="47"/>
      <c r="H60" s="48"/>
      <c r="I60" s="48"/>
      <c r="J60" s="48"/>
      <c r="K60" s="48"/>
    </row>
    <row r="61" customFormat="false" ht="15.75" hidden="false" customHeight="false" outlineLevel="0" collapsed="false">
      <c r="B61" s="46" t="n">
        <v>45564</v>
      </c>
      <c r="C61" s="47" t="str">
        <f aca="false">PROPER(TEXT((WEEKDAY(B61)),"dddd"))</f>
        <v>Domingo</v>
      </c>
      <c r="D61" s="48" t="n">
        <v>4.09</v>
      </c>
      <c r="E61" s="48" t="s">
        <v>184</v>
      </c>
      <c r="F61" s="48"/>
      <c r="G61" s="47"/>
      <c r="H61" s="48"/>
      <c r="I61" s="48"/>
      <c r="J61" s="48"/>
      <c r="K61" s="48"/>
    </row>
    <row r="62" customFormat="false" ht="15.75" hidden="false" customHeight="false" outlineLevel="0" collapsed="false">
      <c r="B62" s="46" t="n">
        <v>45565</v>
      </c>
      <c r="C62" s="47" t="str">
        <f aca="false">PROPER(TEXT((WEEKDAY(B62)),"dddd"))</f>
        <v>Segunda-Feira</v>
      </c>
      <c r="D62" s="48" t="n">
        <v>4.09</v>
      </c>
      <c r="E62" s="48" t="s">
        <v>184</v>
      </c>
      <c r="F62" s="48"/>
      <c r="G62" s="47"/>
      <c r="H62" s="48"/>
      <c r="I62" s="48"/>
      <c r="J62" s="48"/>
      <c r="K62" s="48"/>
    </row>
    <row r="63" customFormat="false" ht="15.75" hidden="false" customHeight="false" outlineLevel="0" collapsed="false">
      <c r="B63" s="46" t="n">
        <v>45566</v>
      </c>
      <c r="C63" s="47" t="str">
        <f aca="false">PROPER(TEXT((WEEKDAY(B63)),"dddd"))</f>
        <v>Terça-Feira</v>
      </c>
      <c r="D63" s="48" t="n">
        <v>4.09</v>
      </c>
      <c r="E63" s="48" t="s">
        <v>184</v>
      </c>
      <c r="F63" s="48"/>
      <c r="G63" s="47"/>
      <c r="H63" s="48"/>
      <c r="I63" s="48"/>
      <c r="J63" s="48"/>
      <c r="K63" s="48"/>
    </row>
    <row r="64" customFormat="false" ht="15.75" hidden="false" customHeight="false" outlineLevel="0" collapsed="false">
      <c r="B64" s="46"/>
      <c r="C64" s="47" t="str">
        <f aca="false">PROPER(TEXT((WEEKDAY(B64)),"dddd"))</f>
        <v>Sábado</v>
      </c>
      <c r="D64" s="48"/>
      <c r="E64" s="48"/>
      <c r="F64" s="48"/>
      <c r="G64" s="47"/>
      <c r="H64" s="48"/>
      <c r="I64" s="48"/>
      <c r="J64" s="48"/>
      <c r="K64" s="48"/>
    </row>
    <row r="65" customFormat="false" ht="15.75" hidden="false" customHeight="false" outlineLevel="0" collapsed="false">
      <c r="B65" s="46"/>
      <c r="C65" s="47" t="str">
        <f aca="false">PROPER(TEXT((WEEKDAY(B65)),"dddd"))</f>
        <v>Sábado</v>
      </c>
      <c r="D65" s="48"/>
      <c r="E65" s="48"/>
      <c r="F65" s="48"/>
      <c r="G65" s="47"/>
      <c r="H65" s="48"/>
      <c r="I65" s="48"/>
      <c r="J65" s="48"/>
      <c r="K65" s="48"/>
    </row>
    <row r="66" customFormat="false" ht="15.75" hidden="false" customHeight="false" outlineLevel="0" collapsed="false">
      <c r="B66" s="46"/>
      <c r="C66" s="47" t="str">
        <f aca="false">PROPER(TEXT((WEEKDAY(B66)),"dddd"))</f>
        <v>Sábado</v>
      </c>
      <c r="D66" s="48"/>
      <c r="E66" s="48"/>
      <c r="F66" s="48"/>
      <c r="G66" s="47"/>
      <c r="H66" s="48"/>
      <c r="I66" s="48"/>
      <c r="J66" s="48"/>
      <c r="K66" s="48"/>
    </row>
    <row r="67" customFormat="false" ht="15.75" hidden="false" customHeight="false" outlineLevel="0" collapsed="false">
      <c r="B67" s="46"/>
      <c r="C67" s="47" t="str">
        <f aca="false">PROPER(TEXT((WEEKDAY(B67)),"dddd"))</f>
        <v>Sábado</v>
      </c>
      <c r="D67" s="48"/>
      <c r="E67" s="48"/>
      <c r="F67" s="48"/>
      <c r="G67" s="47"/>
      <c r="H67" s="48"/>
      <c r="I67" s="48"/>
      <c r="J67" s="48"/>
      <c r="K67" s="48"/>
    </row>
    <row r="68" customFormat="false" ht="15.75" hidden="false" customHeight="false" outlineLevel="0" collapsed="false">
      <c r="B68" s="46"/>
      <c r="C68" s="47" t="str">
        <f aca="false">PROPER(TEXT((WEEKDAY(B68)),"dddd"))</f>
        <v>Sábado</v>
      </c>
      <c r="D68" s="48"/>
      <c r="E68" s="48"/>
      <c r="F68" s="48"/>
      <c r="G68" s="47"/>
      <c r="H68" s="48"/>
      <c r="I68" s="48"/>
      <c r="J68" s="48"/>
      <c r="K68" s="48"/>
    </row>
    <row r="69" customFormat="false" ht="15.75" hidden="false" customHeight="false" outlineLevel="0" collapsed="false">
      <c r="B69" s="46"/>
      <c r="C69" s="47" t="str">
        <f aca="false">PROPER(TEXT((WEEKDAY(B69)),"dddd"))</f>
        <v>Sábado</v>
      </c>
      <c r="D69" s="48"/>
      <c r="E69" s="48"/>
      <c r="F69" s="48"/>
      <c r="G69" s="47"/>
      <c r="H69" s="48"/>
      <c r="I69" s="48"/>
      <c r="J69" s="48"/>
      <c r="K69" s="48"/>
    </row>
    <row r="70" customFormat="false" ht="15.75" hidden="false" customHeight="false" outlineLevel="0" collapsed="false">
      <c r="B70" s="46"/>
      <c r="C70" s="47" t="str">
        <f aca="false">PROPER(TEXT((WEEKDAY(B70)),"dddd"))</f>
        <v>Sábado</v>
      </c>
      <c r="D70" s="48"/>
      <c r="E70" s="48"/>
      <c r="F70" s="48"/>
      <c r="G70" s="47"/>
      <c r="H70" s="48"/>
      <c r="I70" s="48"/>
      <c r="J70" s="48"/>
      <c r="K70" s="48"/>
    </row>
    <row r="71" customFormat="false" ht="15.75" hidden="false" customHeight="false" outlineLevel="0" collapsed="false">
      <c r="B71" s="46"/>
      <c r="C71" s="47" t="str">
        <f aca="false">PROPER(TEXT((WEEKDAY(B71)),"dddd"))</f>
        <v>Sábado</v>
      </c>
      <c r="D71" s="48"/>
      <c r="E71" s="48"/>
      <c r="F71" s="48"/>
      <c r="G71" s="47"/>
      <c r="H71" s="48"/>
      <c r="I71" s="48"/>
      <c r="J71" s="48"/>
      <c r="K71" s="48"/>
    </row>
    <row r="72" customFormat="false" ht="15.75" hidden="false" customHeight="false" outlineLevel="0" collapsed="false">
      <c r="B72" s="46"/>
      <c r="C72" s="47" t="str">
        <f aca="false">PROPER(TEXT((WEEKDAY(B72)),"dddd"))</f>
        <v>Sábado</v>
      </c>
      <c r="D72" s="48"/>
      <c r="E72" s="48"/>
      <c r="F72" s="48"/>
      <c r="G72" s="47"/>
      <c r="H72" s="48"/>
      <c r="I72" s="48"/>
      <c r="J72" s="48"/>
      <c r="K72" s="48"/>
    </row>
    <row r="73" customFormat="false" ht="15.75" hidden="false" customHeight="false" outlineLevel="0" collapsed="false">
      <c r="B73" s="46"/>
      <c r="C73" s="47" t="str">
        <f aca="false">PROPER(TEXT((WEEKDAY(B73)),"dddd"))</f>
        <v>Sábado</v>
      </c>
      <c r="D73" s="48"/>
      <c r="E73" s="48"/>
      <c r="F73" s="48"/>
      <c r="G73" s="47"/>
      <c r="H73" s="48"/>
      <c r="I73" s="48"/>
      <c r="J73" s="48"/>
      <c r="K73" s="48"/>
    </row>
    <row r="74" customFormat="false" ht="15.75" hidden="false" customHeight="false" outlineLevel="0" collapsed="false">
      <c r="B74" s="46"/>
      <c r="C74" s="47" t="str">
        <f aca="false">PROPER(TEXT((WEEKDAY(B74)),"dddd"))</f>
        <v>Sábado</v>
      </c>
      <c r="D74" s="48"/>
      <c r="E74" s="48"/>
      <c r="F74" s="48"/>
      <c r="G74" s="47"/>
      <c r="H74" s="48"/>
      <c r="I74" s="48"/>
      <c r="J74" s="48"/>
      <c r="K74" s="48"/>
    </row>
    <row r="75" customFormat="false" ht="15.75" hidden="false" customHeight="false" outlineLevel="0" collapsed="false">
      <c r="B75" s="46"/>
      <c r="C75" s="47" t="str">
        <f aca="false">PROPER(TEXT((WEEKDAY(B75)),"dddd"))</f>
        <v>Sábado</v>
      </c>
      <c r="D75" s="48"/>
      <c r="E75" s="48"/>
      <c r="F75" s="48"/>
      <c r="G75" s="47"/>
      <c r="H75" s="48"/>
      <c r="I75" s="48"/>
      <c r="J75" s="48"/>
      <c r="K75" s="48"/>
    </row>
    <row r="76" customFormat="false" ht="15.75" hidden="false" customHeight="false" outlineLevel="0" collapsed="false">
      <c r="B76" s="46"/>
      <c r="C76" s="47" t="str">
        <f aca="false">PROPER(TEXT((WEEKDAY(B76)),"dddd"))</f>
        <v>Sábado</v>
      </c>
      <c r="D76" s="48"/>
      <c r="E76" s="48"/>
      <c r="F76" s="48"/>
      <c r="G76" s="47"/>
      <c r="H76" s="48"/>
      <c r="I76" s="48"/>
      <c r="J76" s="48"/>
      <c r="K76" s="48"/>
    </row>
    <row r="77" customFormat="false" ht="15.75" hidden="false" customHeight="false" outlineLevel="0" collapsed="false">
      <c r="B77" s="46"/>
      <c r="C77" s="47" t="str">
        <f aca="false">PROPER(TEXT((WEEKDAY(B77)),"dddd"))</f>
        <v>Sábado</v>
      </c>
      <c r="D77" s="48"/>
      <c r="E77" s="48"/>
      <c r="F77" s="48"/>
      <c r="G77" s="47"/>
      <c r="H77" s="48"/>
      <c r="I77" s="48"/>
      <c r="J77" s="48"/>
      <c r="K77" s="48"/>
    </row>
    <row r="78" customFormat="false" ht="15.75" hidden="false" customHeight="false" outlineLevel="0" collapsed="false">
      <c r="B78" s="46"/>
      <c r="C78" s="47" t="str">
        <f aca="false">PROPER(TEXT((WEEKDAY(B78)),"dddd"))</f>
        <v>Sábado</v>
      </c>
      <c r="D78" s="48"/>
      <c r="E78" s="48"/>
      <c r="F78" s="48"/>
      <c r="G78" s="47"/>
      <c r="H78" s="48"/>
      <c r="I78" s="48"/>
      <c r="J78" s="48"/>
      <c r="K78" s="48"/>
    </row>
    <row r="79" customFormat="false" ht="15.75" hidden="false" customHeight="false" outlineLevel="0" collapsed="false">
      <c r="B79" s="46"/>
      <c r="C79" s="47" t="str">
        <f aca="false">PROPER(TEXT((WEEKDAY(B79)),"dddd"))</f>
        <v>Sábado</v>
      </c>
      <c r="D79" s="48"/>
      <c r="E79" s="48"/>
      <c r="F79" s="48"/>
      <c r="G79" s="47"/>
      <c r="H79" s="48"/>
      <c r="I79" s="48"/>
      <c r="J79" s="48"/>
      <c r="K79" s="48"/>
    </row>
    <row r="80" customFormat="false" ht="15.75" hidden="false" customHeight="false" outlineLevel="0" collapsed="false">
      <c r="B80" s="46"/>
      <c r="C80" s="47" t="str">
        <f aca="false">PROPER(TEXT((WEEKDAY(B80)),"dddd"))</f>
        <v>Sábado</v>
      </c>
      <c r="D80" s="48"/>
      <c r="E80" s="48"/>
      <c r="F80" s="48"/>
      <c r="G80" s="47"/>
      <c r="H80" s="48"/>
      <c r="I80" s="48"/>
      <c r="J80" s="48"/>
      <c r="K80" s="48"/>
    </row>
    <row r="81" customFormat="false" ht="15.75" hidden="false" customHeight="false" outlineLevel="0" collapsed="false">
      <c r="B81" s="46"/>
      <c r="C81" s="47" t="str">
        <f aca="false">PROPER(TEXT((WEEKDAY(B81)),"dddd"))</f>
        <v>Sábado</v>
      </c>
      <c r="D81" s="48"/>
      <c r="E81" s="48"/>
      <c r="F81" s="48"/>
      <c r="G81" s="47"/>
      <c r="H81" s="48"/>
      <c r="I81" s="48"/>
      <c r="J81" s="48"/>
      <c r="K81" s="48"/>
    </row>
    <row r="82" customFormat="false" ht="15.75" hidden="false" customHeight="false" outlineLevel="0" collapsed="false">
      <c r="B82" s="46"/>
      <c r="C82" s="47" t="str">
        <f aca="false">PROPER(TEXT((WEEKDAY(B82)),"dddd"))</f>
        <v>Sábado</v>
      </c>
      <c r="D82" s="48"/>
      <c r="E82" s="48"/>
      <c r="F82" s="48"/>
      <c r="G82" s="47"/>
      <c r="H82" s="48"/>
      <c r="I82" s="48"/>
      <c r="J82" s="48"/>
      <c r="K82" s="48"/>
    </row>
    <row r="83" customFormat="false" ht="15.75" hidden="false" customHeight="false" outlineLevel="0" collapsed="false">
      <c r="B83" s="46"/>
      <c r="C83" s="47" t="str">
        <f aca="false">PROPER(TEXT((WEEKDAY(B83)),"dddd"))</f>
        <v>Sábado</v>
      </c>
      <c r="D83" s="48"/>
      <c r="E83" s="48"/>
      <c r="F83" s="48"/>
      <c r="G83" s="47"/>
      <c r="H83" s="48"/>
      <c r="I83" s="48"/>
      <c r="J83" s="48"/>
      <c r="K83" s="48"/>
    </row>
    <row r="84" customFormat="false" ht="15.75" hidden="false" customHeight="false" outlineLevel="0" collapsed="false">
      <c r="B84" s="46"/>
      <c r="C84" s="47" t="str">
        <f aca="false">PROPER(TEXT((WEEKDAY(B84)),"dddd"))</f>
        <v>Sábado</v>
      </c>
      <c r="D84" s="48"/>
      <c r="E84" s="48"/>
      <c r="F84" s="48"/>
      <c r="G84" s="47"/>
      <c r="H84" s="48"/>
      <c r="I84" s="48"/>
      <c r="J84" s="48"/>
      <c r="K84" s="48"/>
    </row>
    <row r="85" customFormat="false" ht="15.75" hidden="false" customHeight="false" outlineLevel="0" collapsed="false">
      <c r="B85" s="46"/>
      <c r="C85" s="47" t="str">
        <f aca="false">PROPER(TEXT((WEEKDAY(B85)),"dddd"))</f>
        <v>Sábado</v>
      </c>
      <c r="D85" s="48"/>
      <c r="E85" s="48"/>
      <c r="F85" s="48"/>
      <c r="G85" s="47"/>
      <c r="H85" s="48"/>
      <c r="I85" s="48"/>
      <c r="J85" s="48"/>
      <c r="K85" s="48"/>
    </row>
    <row r="86" customFormat="false" ht="15.75" hidden="false" customHeight="false" outlineLevel="0" collapsed="false">
      <c r="B86" s="46"/>
      <c r="C86" s="47" t="str">
        <f aca="false">PROPER(TEXT((WEEKDAY(B86)),"dddd"))</f>
        <v>Sábado</v>
      </c>
      <c r="D86" s="48"/>
      <c r="E86" s="48"/>
      <c r="F86" s="48"/>
      <c r="G86" s="47"/>
      <c r="H86" s="48"/>
      <c r="I86" s="48"/>
      <c r="J86" s="48"/>
      <c r="K86" s="48"/>
    </row>
    <row r="87" customFormat="false" ht="15.75" hidden="false" customHeight="false" outlineLevel="0" collapsed="false">
      <c r="B87" s="46"/>
      <c r="C87" s="47" t="str">
        <f aca="false">PROPER(TEXT((WEEKDAY(B87)),"dddd"))</f>
        <v>Sábado</v>
      </c>
      <c r="D87" s="48"/>
      <c r="E87" s="48"/>
      <c r="F87" s="48"/>
      <c r="G87" s="47"/>
      <c r="H87" s="48"/>
      <c r="I87" s="48"/>
      <c r="J87" s="48"/>
      <c r="K87" s="48"/>
    </row>
    <row r="88" customFormat="false" ht="15.75" hidden="false" customHeight="false" outlineLevel="0" collapsed="false">
      <c r="B88" s="46"/>
      <c r="C88" s="47" t="str">
        <f aca="false">PROPER(TEXT((WEEKDAY(B88)),"dddd"))</f>
        <v>Sábado</v>
      </c>
      <c r="D88" s="48"/>
      <c r="E88" s="48"/>
      <c r="F88" s="48"/>
      <c r="G88" s="47"/>
      <c r="H88" s="48"/>
      <c r="I88" s="48"/>
      <c r="J88" s="48"/>
      <c r="K88" s="48"/>
    </row>
    <row r="89" customFormat="false" ht="15.75" hidden="false" customHeight="false" outlineLevel="0" collapsed="false">
      <c r="B89" s="46"/>
      <c r="C89" s="47" t="str">
        <f aca="false">PROPER(TEXT((WEEKDAY(B89)),"dddd"))</f>
        <v>Sábado</v>
      </c>
      <c r="D89" s="48"/>
      <c r="E89" s="48"/>
      <c r="F89" s="48"/>
      <c r="G89" s="47"/>
      <c r="H89" s="48"/>
      <c r="I89" s="48"/>
      <c r="J89" s="48"/>
      <c r="K89" s="48"/>
    </row>
    <row r="90" customFormat="false" ht="15.75" hidden="false" customHeight="false" outlineLevel="0" collapsed="false">
      <c r="B90" s="46"/>
      <c r="C90" s="47" t="str">
        <f aca="false">PROPER(TEXT((WEEKDAY(B90)),"dddd"))</f>
        <v>Sábado</v>
      </c>
      <c r="D90" s="48"/>
      <c r="E90" s="48"/>
      <c r="F90" s="48"/>
      <c r="G90" s="47"/>
      <c r="H90" s="48"/>
      <c r="I90" s="48"/>
      <c r="J90" s="48"/>
      <c r="K90" s="48"/>
    </row>
    <row r="91" customFormat="false" ht="15.75" hidden="false" customHeight="false" outlineLevel="0" collapsed="false">
      <c r="B91" s="46"/>
      <c r="C91" s="47" t="str">
        <f aca="false">PROPER(TEXT((WEEKDAY(B91)),"dddd"))</f>
        <v>Sábado</v>
      </c>
      <c r="D91" s="48"/>
      <c r="E91" s="48"/>
      <c r="F91" s="48"/>
      <c r="G91" s="47"/>
      <c r="H91" s="48"/>
      <c r="I91" s="48"/>
      <c r="J91" s="48"/>
      <c r="K91" s="48"/>
    </row>
    <row r="92" customFormat="false" ht="15.75" hidden="false" customHeight="false" outlineLevel="0" collapsed="false">
      <c r="B92" s="46"/>
      <c r="C92" s="47" t="str">
        <f aca="false">PROPER(TEXT((WEEKDAY(B92)),"dddd"))</f>
        <v>Sábado</v>
      </c>
      <c r="D92" s="48"/>
      <c r="E92" s="48"/>
      <c r="F92" s="48"/>
      <c r="G92" s="47"/>
      <c r="H92" s="48"/>
      <c r="I92" s="48"/>
      <c r="J92" s="48"/>
      <c r="K92" s="48"/>
    </row>
    <row r="93" customFormat="false" ht="15.75" hidden="false" customHeight="false" outlineLevel="0" collapsed="false">
      <c r="B93" s="46"/>
      <c r="C93" s="47" t="str">
        <f aca="false">PROPER(TEXT((WEEKDAY(B93)),"dddd"))</f>
        <v>Sábado</v>
      </c>
      <c r="D93" s="48"/>
      <c r="E93" s="48"/>
      <c r="F93" s="48"/>
      <c r="G93" s="47"/>
      <c r="H93" s="48"/>
      <c r="I93" s="48"/>
      <c r="J93" s="48"/>
      <c r="K93" s="48"/>
    </row>
    <row r="94" customFormat="false" ht="15.75" hidden="false" customHeight="false" outlineLevel="0" collapsed="false">
      <c r="B94" s="46"/>
      <c r="C94" s="47" t="str">
        <f aca="false">PROPER(TEXT((WEEKDAY(B94)),"dddd"))</f>
        <v>Sábado</v>
      </c>
      <c r="D94" s="48"/>
      <c r="E94" s="48"/>
      <c r="F94" s="48"/>
      <c r="G94" s="47"/>
      <c r="H94" s="48"/>
      <c r="I94" s="48"/>
      <c r="J94" s="48"/>
      <c r="K94" s="48"/>
    </row>
    <row r="95" customFormat="false" ht="15.75" hidden="false" customHeight="false" outlineLevel="0" collapsed="false">
      <c r="B95" s="46"/>
      <c r="C95" s="47" t="str">
        <f aca="false">PROPER(TEXT((WEEKDAY(B95)),"dddd"))</f>
        <v>Sábado</v>
      </c>
      <c r="D95" s="48"/>
      <c r="E95" s="48"/>
      <c r="F95" s="48"/>
      <c r="G95" s="47"/>
      <c r="H95" s="48"/>
      <c r="I95" s="48"/>
      <c r="J95" s="48"/>
      <c r="K95" s="48"/>
    </row>
    <row r="96" customFormat="false" ht="15.75" hidden="false" customHeight="false" outlineLevel="0" collapsed="false">
      <c r="B96" s="46"/>
      <c r="C96" s="47" t="str">
        <f aca="false">PROPER(TEXT((WEEKDAY(B96)),"dddd"))</f>
        <v>Sábado</v>
      </c>
      <c r="D96" s="48"/>
      <c r="E96" s="48"/>
      <c r="F96" s="48"/>
      <c r="G96" s="47"/>
      <c r="H96" s="48"/>
      <c r="I96" s="48"/>
      <c r="J96" s="48"/>
      <c r="K96" s="48"/>
    </row>
    <row r="97" customFormat="false" ht="15.75" hidden="false" customHeight="false" outlineLevel="0" collapsed="false">
      <c r="B97" s="46"/>
      <c r="C97" s="47" t="str">
        <f aca="false">PROPER(TEXT((WEEKDAY(B97)),"dddd"))</f>
        <v>Sábado</v>
      </c>
      <c r="D97" s="48"/>
      <c r="E97" s="48"/>
      <c r="F97" s="48"/>
      <c r="G97" s="47"/>
      <c r="H97" s="48"/>
      <c r="I97" s="48"/>
      <c r="J97" s="48"/>
      <c r="K97" s="48"/>
    </row>
    <row r="98" customFormat="false" ht="15.75" hidden="false" customHeight="false" outlineLevel="0" collapsed="false">
      <c r="B98" s="46"/>
      <c r="C98" s="47" t="str">
        <f aca="false">PROPER(TEXT((WEEKDAY(B98)),"dddd"))</f>
        <v>Sábado</v>
      </c>
      <c r="D98" s="48"/>
      <c r="E98" s="48"/>
      <c r="F98" s="48"/>
      <c r="G98" s="47"/>
      <c r="H98" s="48"/>
      <c r="I98" s="48"/>
      <c r="J98" s="48"/>
      <c r="K98" s="48"/>
    </row>
    <row r="99" customFormat="false" ht="15.75" hidden="false" customHeight="false" outlineLevel="0" collapsed="false">
      <c r="B99" s="46"/>
      <c r="C99" s="47" t="str">
        <f aca="false">PROPER(TEXT((WEEKDAY(B99)),"dddd"))</f>
        <v>Sábado</v>
      </c>
      <c r="D99" s="48"/>
      <c r="E99" s="48"/>
      <c r="F99" s="48"/>
      <c r="G99" s="47"/>
      <c r="H99" s="48"/>
      <c r="I99" s="48"/>
      <c r="J99" s="48"/>
      <c r="K99" s="48"/>
    </row>
    <row r="100" customFormat="false" ht="15.75" hidden="false" customHeight="false" outlineLevel="0" collapsed="false">
      <c r="B100" s="46"/>
      <c r="C100" s="47" t="str">
        <f aca="false">PROPER(TEXT((WEEKDAY(B100)),"dddd"))</f>
        <v>Sábado</v>
      </c>
      <c r="D100" s="48"/>
      <c r="E100" s="48"/>
      <c r="F100" s="48"/>
      <c r="G100" s="47"/>
      <c r="H100" s="48"/>
      <c r="I100" s="48"/>
      <c r="J100" s="48"/>
      <c r="K100" s="48"/>
    </row>
    <row r="101" customFormat="false" ht="15.75" hidden="false" customHeight="false" outlineLevel="0" collapsed="false">
      <c r="B101" s="46"/>
      <c r="C101" s="47" t="str">
        <f aca="false">PROPER(TEXT((WEEKDAY(B101)),"dddd"))</f>
        <v>Sábado</v>
      </c>
      <c r="D101" s="48"/>
      <c r="E101" s="48"/>
      <c r="F101" s="48"/>
      <c r="G101" s="47"/>
      <c r="H101" s="48"/>
      <c r="I101" s="48"/>
      <c r="J101" s="48"/>
      <c r="K101" s="48"/>
    </row>
    <row r="102" customFormat="false" ht="15.75" hidden="false" customHeight="false" outlineLevel="0" collapsed="false">
      <c r="B102" s="46"/>
      <c r="C102" s="47" t="str">
        <f aca="false">PROPER(TEXT((WEEKDAY(B102)),"dddd"))</f>
        <v>Sábado</v>
      </c>
      <c r="D102" s="48"/>
      <c r="E102" s="48"/>
      <c r="F102" s="48"/>
      <c r="G102" s="47"/>
      <c r="H102" s="48"/>
      <c r="I102" s="48"/>
      <c r="J102" s="48"/>
      <c r="K102" s="48"/>
    </row>
    <row r="103" customFormat="false" ht="15.75" hidden="false" customHeight="false" outlineLevel="0" collapsed="false">
      <c r="B103" s="46"/>
      <c r="C103" s="47" t="str">
        <f aca="false">PROPER(TEXT((WEEKDAY(B103)),"dddd"))</f>
        <v>Sábado</v>
      </c>
      <c r="D103" s="48"/>
      <c r="E103" s="48"/>
      <c r="F103" s="48"/>
      <c r="G103" s="47"/>
      <c r="H103" s="48"/>
      <c r="I103" s="48"/>
      <c r="J103" s="48"/>
      <c r="K103" s="48"/>
    </row>
    <row r="104" customFormat="false" ht="15.75" hidden="false" customHeight="false" outlineLevel="0" collapsed="false">
      <c r="B104" s="46"/>
      <c r="C104" s="47" t="str">
        <f aca="false">PROPER(TEXT((WEEKDAY(B104)),"dddd"))</f>
        <v>Sábado</v>
      </c>
      <c r="D104" s="48"/>
      <c r="E104" s="48"/>
      <c r="F104" s="48"/>
      <c r="G104" s="47"/>
      <c r="H104" s="48"/>
      <c r="I104" s="48"/>
      <c r="J104" s="48"/>
      <c r="K104" s="48"/>
    </row>
    <row r="105" customFormat="false" ht="15.75" hidden="false" customHeight="false" outlineLevel="0" collapsed="false">
      <c r="B105" s="46"/>
      <c r="C105" s="47" t="str">
        <f aca="false">PROPER(TEXT((WEEKDAY(B105)),"dddd"))</f>
        <v>Sábado</v>
      </c>
      <c r="D105" s="48"/>
      <c r="E105" s="48"/>
      <c r="F105" s="48"/>
      <c r="G105" s="47"/>
      <c r="H105" s="48"/>
      <c r="I105" s="48"/>
      <c r="J105" s="48"/>
      <c r="K105" s="48"/>
    </row>
    <row r="106" customFormat="false" ht="15.75" hidden="false" customHeight="false" outlineLevel="0" collapsed="false">
      <c r="B106" s="46"/>
      <c r="C106" s="47" t="str">
        <f aca="false">PROPER(TEXT((WEEKDAY(B106)),"dddd"))</f>
        <v>Sábado</v>
      </c>
      <c r="D106" s="48"/>
      <c r="E106" s="48"/>
      <c r="F106" s="48"/>
      <c r="G106" s="47"/>
      <c r="H106" s="48"/>
      <c r="I106" s="48"/>
      <c r="J106" s="48"/>
      <c r="K106" s="48"/>
    </row>
    <row r="107" customFormat="false" ht="15.75" hidden="false" customHeight="false" outlineLevel="0" collapsed="false">
      <c r="B107" s="46"/>
      <c r="C107" s="47" t="str">
        <f aca="false">PROPER(TEXT((WEEKDAY(B107)),"dddd"))</f>
        <v>Sábado</v>
      </c>
      <c r="D107" s="48"/>
      <c r="E107" s="48"/>
      <c r="F107" s="48"/>
      <c r="G107" s="47"/>
      <c r="H107" s="48"/>
      <c r="I107" s="48"/>
      <c r="J107" s="48"/>
      <c r="K107" s="48"/>
    </row>
    <row r="108" customFormat="false" ht="15.75" hidden="false" customHeight="false" outlineLevel="0" collapsed="false">
      <c r="B108" s="46"/>
      <c r="C108" s="47" t="str">
        <f aca="false">PROPER(TEXT((WEEKDAY(B108)),"dddd"))</f>
        <v>Sábado</v>
      </c>
      <c r="D108" s="48"/>
      <c r="E108" s="48"/>
      <c r="F108" s="48"/>
      <c r="G108" s="47"/>
      <c r="H108" s="48"/>
      <c r="I108" s="48"/>
      <c r="J108" s="48"/>
      <c r="K108" s="48"/>
    </row>
    <row r="109" customFormat="false" ht="15.75" hidden="false" customHeight="false" outlineLevel="0" collapsed="false">
      <c r="B109" s="46"/>
      <c r="C109" s="47" t="str">
        <f aca="false">PROPER(TEXT((WEEKDAY(B109)),"dddd"))</f>
        <v>Sábado</v>
      </c>
      <c r="D109" s="48"/>
      <c r="E109" s="48"/>
      <c r="F109" s="48"/>
      <c r="G109" s="47"/>
      <c r="H109" s="48"/>
      <c r="I109" s="48"/>
      <c r="J109" s="48"/>
      <c r="K109" s="48"/>
    </row>
    <row r="110" customFormat="false" ht="15.75" hidden="false" customHeight="false" outlineLevel="0" collapsed="false">
      <c r="B110" s="46"/>
      <c r="C110" s="47" t="str">
        <f aca="false">PROPER(TEXT((WEEKDAY(B110)),"dddd"))</f>
        <v>Sábado</v>
      </c>
      <c r="D110" s="48"/>
      <c r="E110" s="48"/>
      <c r="F110" s="48"/>
      <c r="G110" s="47"/>
      <c r="H110" s="48"/>
      <c r="I110" s="48"/>
      <c r="J110" s="48"/>
      <c r="K110" s="48"/>
    </row>
    <row r="111" customFormat="false" ht="15.75" hidden="false" customHeight="false" outlineLevel="0" collapsed="false">
      <c r="B111" s="46"/>
      <c r="C111" s="47" t="str">
        <f aca="false">PROPER(TEXT((WEEKDAY(B111)),"dddd"))</f>
        <v>Sábado</v>
      </c>
      <c r="D111" s="48"/>
      <c r="E111" s="48"/>
      <c r="F111" s="48"/>
      <c r="G111" s="47"/>
      <c r="H111" s="48"/>
      <c r="I111" s="48"/>
      <c r="J111" s="48"/>
      <c r="K111" s="48"/>
    </row>
    <row r="112" customFormat="false" ht="15.75" hidden="false" customHeight="false" outlineLevel="0" collapsed="false">
      <c r="B112" s="46"/>
      <c r="C112" s="47" t="str">
        <f aca="false">PROPER(TEXT((WEEKDAY(B112)),"dddd"))</f>
        <v>Sábado</v>
      </c>
      <c r="D112" s="48"/>
      <c r="E112" s="48"/>
      <c r="F112" s="48"/>
      <c r="G112" s="47"/>
      <c r="H112" s="48"/>
      <c r="I112" s="48"/>
      <c r="J112" s="48"/>
      <c r="K112" s="48"/>
    </row>
    <row r="113" customFormat="false" ht="15.75" hidden="false" customHeight="false" outlineLevel="0" collapsed="false">
      <c r="B113" s="46"/>
      <c r="C113" s="47" t="str">
        <f aca="false">PROPER(TEXT((WEEKDAY(B113)),"dddd"))</f>
        <v>Sábado</v>
      </c>
      <c r="D113" s="48"/>
      <c r="E113" s="48"/>
      <c r="F113" s="48"/>
      <c r="G113" s="47"/>
      <c r="H113" s="48"/>
      <c r="I113" s="48"/>
      <c r="J113" s="48"/>
      <c r="K113" s="48"/>
    </row>
    <row r="114" customFormat="false" ht="15.75" hidden="false" customHeight="false" outlineLevel="0" collapsed="false">
      <c r="B114" s="46"/>
      <c r="C114" s="47" t="str">
        <f aca="false">PROPER(TEXT((WEEKDAY(B114)),"dddd"))</f>
        <v>Sábado</v>
      </c>
      <c r="D114" s="48"/>
      <c r="E114" s="48"/>
      <c r="F114" s="48"/>
      <c r="G114" s="47"/>
      <c r="H114" s="48"/>
      <c r="I114" s="48"/>
      <c r="J114" s="48"/>
      <c r="K114" s="48"/>
    </row>
    <row r="115" customFormat="false" ht="15.75" hidden="false" customHeight="false" outlineLevel="0" collapsed="false">
      <c r="B115" s="46"/>
      <c r="C115" s="47" t="str">
        <f aca="false">PROPER(TEXT((WEEKDAY(B115)),"dddd"))</f>
        <v>Sábado</v>
      </c>
      <c r="D115" s="48"/>
      <c r="E115" s="48"/>
      <c r="F115" s="48"/>
      <c r="G115" s="47"/>
      <c r="H115" s="48"/>
      <c r="I115" s="48"/>
      <c r="J115" s="48"/>
      <c r="K115" s="48"/>
    </row>
    <row r="116" customFormat="false" ht="15.75" hidden="false" customHeight="false" outlineLevel="0" collapsed="false">
      <c r="B116" s="46"/>
      <c r="C116" s="47" t="str">
        <f aca="false">PROPER(TEXT((WEEKDAY(B116)),"dddd"))</f>
        <v>Sábado</v>
      </c>
      <c r="D116" s="48"/>
      <c r="E116" s="48"/>
      <c r="F116" s="48"/>
      <c r="G116" s="47"/>
      <c r="H116" s="48"/>
      <c r="I116" s="48"/>
      <c r="J116" s="48"/>
      <c r="K116" s="48"/>
    </row>
    <row r="117" customFormat="false" ht="15.75" hidden="false" customHeight="false" outlineLevel="0" collapsed="false">
      <c r="B117" s="46"/>
      <c r="C117" s="47" t="str">
        <f aca="false">PROPER(TEXT((WEEKDAY(B117)),"dddd"))</f>
        <v>Sábado</v>
      </c>
      <c r="D117" s="48"/>
      <c r="E117" s="48"/>
      <c r="F117" s="48"/>
      <c r="G117" s="47"/>
      <c r="H117" s="48"/>
      <c r="I117" s="48"/>
      <c r="J117" s="48"/>
      <c r="K117" s="48"/>
    </row>
    <row r="118" customFormat="false" ht="15.75" hidden="false" customHeight="false" outlineLevel="0" collapsed="false">
      <c r="B118" s="46"/>
      <c r="C118" s="47" t="str">
        <f aca="false">PROPER(TEXT((WEEKDAY(B118)),"dddd"))</f>
        <v>Sábado</v>
      </c>
      <c r="D118" s="48"/>
      <c r="E118" s="48"/>
      <c r="F118" s="48"/>
      <c r="G118" s="47"/>
      <c r="H118" s="48"/>
      <c r="I118" s="48"/>
      <c r="J118" s="48"/>
      <c r="K118" s="48"/>
    </row>
    <row r="119" customFormat="false" ht="15.75" hidden="false" customHeight="false" outlineLevel="0" collapsed="false">
      <c r="B119" s="46"/>
      <c r="C119" s="47" t="str">
        <f aca="false">PROPER(TEXT((WEEKDAY(B119)),"dddd"))</f>
        <v>Sábado</v>
      </c>
      <c r="D119" s="48"/>
      <c r="E119" s="48"/>
      <c r="F119" s="48"/>
      <c r="G119" s="47"/>
      <c r="H119" s="48"/>
      <c r="I119" s="48"/>
      <c r="J119" s="48"/>
      <c r="K119" s="48"/>
    </row>
    <row r="120" customFormat="false" ht="15.75" hidden="false" customHeight="false" outlineLevel="0" collapsed="false">
      <c r="B120" s="46"/>
      <c r="C120" s="47" t="str">
        <f aca="false">PROPER(TEXT((WEEKDAY(B120)),"dddd"))</f>
        <v>Sábado</v>
      </c>
      <c r="D120" s="48"/>
      <c r="E120" s="48"/>
      <c r="F120" s="48"/>
      <c r="G120" s="47"/>
      <c r="H120" s="48"/>
      <c r="I120" s="48"/>
      <c r="J120" s="48"/>
      <c r="K120" s="48"/>
    </row>
    <row r="121" customFormat="false" ht="15.75" hidden="false" customHeight="false" outlineLevel="0" collapsed="false">
      <c r="B121" s="46"/>
      <c r="C121" s="47" t="str">
        <f aca="false">PROPER(TEXT((WEEKDAY(B121)),"dddd"))</f>
        <v>Sábado</v>
      </c>
      <c r="D121" s="48"/>
      <c r="E121" s="48"/>
      <c r="F121" s="48"/>
      <c r="G121" s="47"/>
      <c r="H121" s="48"/>
      <c r="I121" s="48"/>
      <c r="J121" s="48"/>
      <c r="K121" s="48"/>
    </row>
    <row r="122" customFormat="false" ht="15.75" hidden="false" customHeight="false" outlineLevel="0" collapsed="false">
      <c r="B122" s="46"/>
      <c r="C122" s="47" t="str">
        <f aca="false">PROPER(TEXT((WEEKDAY(B122)),"dddd"))</f>
        <v>Sábado</v>
      </c>
      <c r="D122" s="48"/>
      <c r="E122" s="48"/>
      <c r="F122" s="48"/>
      <c r="G122" s="47"/>
      <c r="H122" s="48"/>
      <c r="I122" s="48"/>
      <c r="J122" s="48"/>
      <c r="K122" s="48"/>
    </row>
    <row r="123" customFormat="false" ht="15.75" hidden="false" customHeight="false" outlineLevel="0" collapsed="false">
      <c r="B123" s="46"/>
      <c r="C123" s="47" t="str">
        <f aca="false">PROPER(TEXT((WEEKDAY(B123)),"dddd"))</f>
        <v>Sábado</v>
      </c>
      <c r="D123" s="48"/>
      <c r="E123" s="48"/>
      <c r="F123" s="48"/>
      <c r="G123" s="47"/>
      <c r="H123" s="48"/>
      <c r="I123" s="48"/>
      <c r="J123" s="48"/>
      <c r="K123" s="48"/>
    </row>
    <row r="124" customFormat="false" ht="15.75" hidden="false" customHeight="false" outlineLevel="0" collapsed="false">
      <c r="B124" s="46"/>
      <c r="C124" s="47" t="str">
        <f aca="false">PROPER(TEXT((WEEKDAY(B124)),"dddd"))</f>
        <v>Sábado</v>
      </c>
      <c r="D124" s="48"/>
      <c r="E124" s="48"/>
      <c r="F124" s="48"/>
      <c r="G124" s="47"/>
      <c r="H124" s="48"/>
      <c r="I124" s="48"/>
      <c r="J124" s="48"/>
      <c r="K124" s="48"/>
    </row>
    <row r="125" customFormat="false" ht="15.75" hidden="false" customHeight="false" outlineLevel="0" collapsed="false">
      <c r="B125" s="50"/>
      <c r="C125" s="51"/>
      <c r="D125" s="52"/>
      <c r="E125" s="52"/>
      <c r="F125" s="52"/>
      <c r="G125" s="51"/>
      <c r="H125" s="52"/>
      <c r="I125" s="52"/>
      <c r="J125" s="52"/>
      <c r="K125" s="52"/>
    </row>
    <row r="126" customFormat="false" ht="15.75" hidden="false" customHeight="false" outlineLevel="0" collapsed="false">
      <c r="B126" s="50"/>
      <c r="C126" s="51"/>
      <c r="D126" s="52"/>
      <c r="E126" s="52"/>
      <c r="F126" s="52"/>
      <c r="G126" s="51"/>
      <c r="H126" s="52"/>
      <c r="I126" s="52"/>
      <c r="J126" s="52"/>
      <c r="K126" s="52"/>
    </row>
    <row r="127" customFormat="false" ht="15.75" hidden="false" customHeight="false" outlineLevel="0" collapsed="false">
      <c r="B127" s="50"/>
      <c r="C127" s="51"/>
      <c r="D127" s="52"/>
      <c r="E127" s="52"/>
      <c r="F127" s="52"/>
      <c r="G127" s="51"/>
      <c r="H127" s="52"/>
      <c r="I127" s="52"/>
      <c r="J127" s="52"/>
      <c r="K127" s="52"/>
    </row>
    <row r="128" customFormat="false" ht="15.75" hidden="false" customHeight="false" outlineLevel="0" collapsed="false">
      <c r="B128" s="50"/>
      <c r="C128" s="51"/>
      <c r="D128" s="52"/>
      <c r="E128" s="52"/>
      <c r="F128" s="52"/>
      <c r="G128" s="51"/>
      <c r="H128" s="52"/>
      <c r="I128" s="52"/>
      <c r="J128" s="52"/>
      <c r="K128" s="52"/>
    </row>
    <row r="129" customFormat="false" ht="15.75" hidden="false" customHeight="false" outlineLevel="0" collapsed="false">
      <c r="B129" s="50"/>
      <c r="C129" s="51"/>
      <c r="D129" s="52"/>
      <c r="E129" s="52"/>
      <c r="F129" s="52"/>
      <c r="G129" s="51"/>
      <c r="H129" s="52"/>
      <c r="I129" s="52"/>
      <c r="J129" s="52"/>
      <c r="K129" s="52"/>
    </row>
    <row r="130" customFormat="false" ht="15.75" hidden="false" customHeight="false" outlineLevel="0" collapsed="false">
      <c r="B130" s="50"/>
      <c r="C130" s="51"/>
      <c r="D130" s="52"/>
      <c r="E130" s="52"/>
      <c r="F130" s="52"/>
      <c r="G130" s="51"/>
      <c r="H130" s="52"/>
      <c r="I130" s="52"/>
      <c r="J130" s="52"/>
      <c r="K130" s="52"/>
    </row>
    <row r="131" customFormat="false" ht="15.75" hidden="false" customHeight="false" outlineLevel="0" collapsed="false">
      <c r="B131" s="50"/>
      <c r="C131" s="51"/>
      <c r="D131" s="52"/>
      <c r="E131" s="52"/>
      <c r="F131" s="52"/>
      <c r="G131" s="51"/>
      <c r="H131" s="52"/>
      <c r="I131" s="52"/>
      <c r="J131" s="52"/>
      <c r="K131" s="52"/>
    </row>
    <row r="132" customFormat="false" ht="15.75" hidden="false" customHeight="false" outlineLevel="0" collapsed="false">
      <c r="B132" s="50"/>
      <c r="C132" s="51"/>
      <c r="D132" s="52"/>
      <c r="E132" s="52"/>
      <c r="F132" s="52"/>
      <c r="G132" s="51"/>
      <c r="H132" s="52"/>
      <c r="I132" s="52"/>
      <c r="J132" s="52"/>
      <c r="K132" s="52"/>
    </row>
    <row r="133" customFormat="false" ht="15.75" hidden="false" customHeight="false" outlineLevel="0" collapsed="false">
      <c r="B133" s="50"/>
      <c r="C133" s="51"/>
      <c r="D133" s="52"/>
      <c r="E133" s="52"/>
      <c r="F133" s="52"/>
      <c r="G133" s="51"/>
      <c r="H133" s="52"/>
      <c r="I133" s="52"/>
      <c r="J133" s="52"/>
      <c r="K133" s="52"/>
    </row>
    <row r="134" customFormat="false" ht="15.75" hidden="false" customHeight="false" outlineLevel="0" collapsed="false">
      <c r="B134" s="50"/>
      <c r="C134" s="51"/>
      <c r="D134" s="52"/>
      <c r="E134" s="52"/>
      <c r="F134" s="52"/>
      <c r="G134" s="51"/>
      <c r="H134" s="52"/>
      <c r="I134" s="52"/>
      <c r="J134" s="52"/>
      <c r="K134" s="52"/>
    </row>
    <row r="135" customFormat="false" ht="15.75" hidden="false" customHeight="false" outlineLevel="0" collapsed="false">
      <c r="B135" s="50"/>
      <c r="C135" s="51"/>
      <c r="D135" s="52"/>
      <c r="E135" s="52"/>
      <c r="F135" s="52"/>
      <c r="G135" s="51"/>
      <c r="H135" s="52"/>
      <c r="I135" s="52"/>
      <c r="J135" s="52"/>
      <c r="K135" s="52"/>
    </row>
    <row r="136" customFormat="false" ht="15.75" hidden="false" customHeight="false" outlineLevel="0" collapsed="false">
      <c r="B136" s="50"/>
      <c r="C136" s="51"/>
      <c r="D136" s="52"/>
      <c r="E136" s="52"/>
      <c r="F136" s="52"/>
      <c r="G136" s="51"/>
      <c r="H136" s="52"/>
      <c r="I136" s="52"/>
      <c r="J136" s="52"/>
      <c r="K136" s="52"/>
    </row>
    <row r="137" customFormat="false" ht="15.75" hidden="false" customHeight="false" outlineLevel="0" collapsed="false">
      <c r="B137" s="50"/>
      <c r="C137" s="51"/>
      <c r="D137" s="52"/>
      <c r="E137" s="52"/>
      <c r="F137" s="52"/>
      <c r="G137" s="51"/>
      <c r="H137" s="52"/>
      <c r="I137" s="52"/>
      <c r="J137" s="52"/>
      <c r="K137" s="52"/>
    </row>
    <row r="138" customFormat="false" ht="15.75" hidden="false" customHeight="false" outlineLevel="0" collapsed="false">
      <c r="B138" s="50"/>
      <c r="C138" s="51"/>
      <c r="D138" s="52"/>
      <c r="E138" s="52"/>
      <c r="F138" s="52"/>
      <c r="G138" s="51"/>
      <c r="H138" s="52"/>
      <c r="I138" s="52"/>
      <c r="J138" s="52"/>
      <c r="K138" s="52"/>
    </row>
    <row r="139" customFormat="false" ht="15.75" hidden="false" customHeight="false" outlineLevel="0" collapsed="false">
      <c r="B139" s="50"/>
      <c r="C139" s="51"/>
      <c r="D139" s="52"/>
      <c r="E139" s="52"/>
      <c r="F139" s="52"/>
      <c r="G139" s="51"/>
      <c r="H139" s="52"/>
      <c r="I139" s="52"/>
      <c r="J139" s="52"/>
      <c r="K139" s="52"/>
    </row>
    <row r="140" customFormat="false" ht="15.75" hidden="false" customHeight="false" outlineLevel="0" collapsed="false">
      <c r="B140" s="50"/>
      <c r="C140" s="51"/>
      <c r="D140" s="52"/>
      <c r="E140" s="52"/>
      <c r="F140" s="52"/>
      <c r="G140" s="51"/>
      <c r="H140" s="52"/>
      <c r="I140" s="52"/>
      <c r="J140" s="52"/>
      <c r="K140" s="52"/>
    </row>
    <row r="141" customFormat="false" ht="15.75" hidden="false" customHeight="false" outlineLevel="0" collapsed="false">
      <c r="B141" s="50"/>
      <c r="C141" s="51"/>
      <c r="D141" s="52"/>
      <c r="E141" s="52"/>
      <c r="F141" s="52"/>
      <c r="G141" s="51"/>
      <c r="H141" s="52"/>
      <c r="I141" s="52"/>
      <c r="J141" s="52"/>
      <c r="K141" s="52"/>
    </row>
    <row r="142" customFormat="false" ht="15.75" hidden="false" customHeight="false" outlineLevel="0" collapsed="false">
      <c r="B142" s="50"/>
      <c r="C142" s="51"/>
      <c r="D142" s="52"/>
      <c r="E142" s="52"/>
      <c r="F142" s="52"/>
      <c r="G142" s="51"/>
      <c r="H142" s="52"/>
      <c r="I142" s="52"/>
      <c r="J142" s="52"/>
      <c r="K142" s="52"/>
    </row>
    <row r="143" customFormat="false" ht="15.75" hidden="false" customHeight="false" outlineLevel="0" collapsed="false">
      <c r="B143" s="50"/>
      <c r="C143" s="51"/>
      <c r="D143" s="52"/>
      <c r="E143" s="52"/>
      <c r="F143" s="52"/>
      <c r="G143" s="51"/>
      <c r="H143" s="52"/>
      <c r="I143" s="52"/>
      <c r="J143" s="52"/>
      <c r="K143" s="52"/>
    </row>
    <row r="144" customFormat="false" ht="15.75" hidden="false" customHeight="false" outlineLevel="0" collapsed="false">
      <c r="B144" s="50"/>
      <c r="C144" s="51"/>
      <c r="D144" s="52"/>
      <c r="E144" s="52"/>
      <c r="F144" s="52"/>
      <c r="G144" s="51"/>
      <c r="H144" s="52"/>
      <c r="I144" s="52"/>
      <c r="J144" s="52"/>
      <c r="K144" s="52"/>
    </row>
    <row r="145" customFormat="false" ht="15.75" hidden="false" customHeight="false" outlineLevel="0" collapsed="false">
      <c r="B145" s="50"/>
      <c r="C145" s="51"/>
      <c r="D145" s="52"/>
      <c r="E145" s="52"/>
      <c r="F145" s="52"/>
      <c r="G145" s="51"/>
      <c r="H145" s="52"/>
      <c r="I145" s="52"/>
      <c r="J145" s="52"/>
      <c r="K145" s="52"/>
    </row>
    <row r="146" customFormat="false" ht="15.75" hidden="false" customHeight="false" outlineLevel="0" collapsed="false">
      <c r="B146" s="50"/>
      <c r="C146" s="51"/>
      <c r="D146" s="52"/>
      <c r="E146" s="52"/>
      <c r="F146" s="52"/>
      <c r="G146" s="51"/>
      <c r="H146" s="52"/>
      <c r="I146" s="52"/>
      <c r="J146" s="52"/>
      <c r="K146" s="52"/>
    </row>
    <row r="147" customFormat="false" ht="15.75" hidden="false" customHeight="false" outlineLevel="0" collapsed="false">
      <c r="B147" s="50"/>
      <c r="C147" s="51"/>
      <c r="D147" s="52"/>
      <c r="E147" s="52"/>
      <c r="F147" s="52"/>
      <c r="G147" s="51"/>
      <c r="H147" s="52"/>
      <c r="I147" s="52"/>
      <c r="J147" s="52"/>
      <c r="K147" s="52"/>
    </row>
    <row r="148" customFormat="false" ht="15.75" hidden="false" customHeight="false" outlineLevel="0" collapsed="false">
      <c r="B148" s="50"/>
      <c r="C148" s="51"/>
      <c r="D148" s="52"/>
      <c r="E148" s="52"/>
      <c r="F148" s="52"/>
      <c r="G148" s="51"/>
      <c r="H148" s="52"/>
      <c r="I148" s="52"/>
      <c r="J148" s="52"/>
      <c r="K148" s="52"/>
    </row>
    <row r="149" customFormat="false" ht="15.75" hidden="false" customHeight="false" outlineLevel="0" collapsed="false">
      <c r="B149" s="50"/>
      <c r="C149" s="51"/>
      <c r="D149" s="52"/>
      <c r="E149" s="52"/>
      <c r="F149" s="52"/>
      <c r="G149" s="51"/>
      <c r="H149" s="52"/>
      <c r="I149" s="52"/>
      <c r="J149" s="52"/>
      <c r="K149" s="52"/>
    </row>
    <row r="150" customFormat="false" ht="15.75" hidden="false" customHeight="false" outlineLevel="0" collapsed="false">
      <c r="B150" s="50"/>
      <c r="C150" s="51"/>
      <c r="D150" s="52"/>
      <c r="E150" s="52"/>
      <c r="F150" s="52"/>
      <c r="G150" s="51"/>
      <c r="H150" s="52"/>
      <c r="I150" s="52"/>
      <c r="J150" s="52"/>
      <c r="K150" s="52"/>
    </row>
    <row r="151" customFormat="false" ht="15.75" hidden="false" customHeight="false" outlineLevel="0" collapsed="false">
      <c r="B151" s="50"/>
      <c r="C151" s="51"/>
      <c r="D151" s="52"/>
      <c r="E151" s="52"/>
      <c r="F151" s="52"/>
      <c r="G151" s="51"/>
      <c r="H151" s="52"/>
      <c r="I151" s="52"/>
      <c r="J151" s="52"/>
      <c r="K151" s="52"/>
    </row>
    <row r="152" customFormat="false" ht="15.75" hidden="false" customHeight="false" outlineLevel="0" collapsed="false">
      <c r="B152" s="50"/>
      <c r="C152" s="51"/>
      <c r="D152" s="52"/>
      <c r="E152" s="52"/>
      <c r="F152" s="52"/>
      <c r="G152" s="51"/>
      <c r="H152" s="52"/>
      <c r="I152" s="52"/>
      <c r="J152" s="52"/>
      <c r="K152" s="52"/>
    </row>
    <row r="153" customFormat="false" ht="15.75" hidden="false" customHeight="false" outlineLevel="0" collapsed="false">
      <c r="B153" s="50"/>
      <c r="C153" s="51"/>
      <c r="D153" s="52"/>
      <c r="E153" s="52"/>
      <c r="F153" s="52"/>
      <c r="G153" s="51"/>
      <c r="H153" s="52"/>
      <c r="I153" s="52"/>
      <c r="J153" s="52"/>
      <c r="K153" s="52"/>
    </row>
    <row r="154" customFormat="false" ht="15.75" hidden="false" customHeight="false" outlineLevel="0" collapsed="false">
      <c r="B154" s="50"/>
      <c r="C154" s="51"/>
      <c r="D154" s="52"/>
      <c r="E154" s="52"/>
      <c r="F154" s="52"/>
      <c r="G154" s="51"/>
      <c r="H154" s="52"/>
      <c r="I154" s="52"/>
      <c r="J154" s="52"/>
      <c r="K154" s="52"/>
    </row>
    <row r="155" customFormat="false" ht="15.75" hidden="false" customHeight="false" outlineLevel="0" collapsed="false">
      <c r="B155" s="50"/>
      <c r="C155" s="51"/>
      <c r="D155" s="52"/>
      <c r="E155" s="52"/>
      <c r="F155" s="52"/>
      <c r="G155" s="51"/>
      <c r="H155" s="52"/>
      <c r="I155" s="52"/>
      <c r="J155" s="52"/>
      <c r="K155" s="52"/>
    </row>
    <row r="156" customFormat="false" ht="15.75" hidden="false" customHeight="false" outlineLevel="0" collapsed="false">
      <c r="B156" s="50"/>
      <c r="C156" s="51"/>
      <c r="D156" s="52"/>
      <c r="E156" s="52"/>
      <c r="F156" s="52"/>
      <c r="G156" s="51"/>
      <c r="H156" s="52"/>
      <c r="I156" s="52"/>
      <c r="J156" s="52"/>
      <c r="K156" s="52"/>
    </row>
    <row r="157" customFormat="false" ht="15.75" hidden="false" customHeight="false" outlineLevel="0" collapsed="false">
      <c r="B157" s="50"/>
      <c r="C157" s="51"/>
      <c r="D157" s="52"/>
      <c r="E157" s="52"/>
      <c r="F157" s="52"/>
      <c r="G157" s="51"/>
      <c r="H157" s="52"/>
      <c r="I157" s="52"/>
      <c r="J157" s="52"/>
      <c r="K157" s="52"/>
    </row>
    <row r="158" customFormat="false" ht="15.75" hidden="false" customHeight="false" outlineLevel="0" collapsed="false">
      <c r="B158" s="50"/>
      <c r="C158" s="51"/>
      <c r="D158" s="52"/>
      <c r="E158" s="52"/>
      <c r="F158" s="52"/>
      <c r="G158" s="51"/>
      <c r="H158" s="52"/>
      <c r="I158" s="52"/>
      <c r="J158" s="52"/>
      <c r="K158" s="52"/>
    </row>
    <row r="159" customFormat="false" ht="15.75" hidden="false" customHeight="false" outlineLevel="0" collapsed="false">
      <c r="B159" s="50"/>
      <c r="C159" s="51"/>
      <c r="D159" s="52"/>
      <c r="E159" s="52"/>
      <c r="F159" s="52"/>
      <c r="G159" s="51"/>
      <c r="H159" s="52"/>
      <c r="I159" s="52"/>
      <c r="J159" s="52"/>
      <c r="K159" s="52"/>
    </row>
    <row r="160" customFormat="false" ht="15.75" hidden="false" customHeight="false" outlineLevel="0" collapsed="false">
      <c r="B160" s="50"/>
      <c r="C160" s="51"/>
      <c r="D160" s="52"/>
      <c r="E160" s="52"/>
      <c r="F160" s="52"/>
      <c r="G160" s="51"/>
      <c r="H160" s="52"/>
      <c r="I160" s="52"/>
      <c r="J160" s="52"/>
      <c r="K160" s="52"/>
    </row>
    <row r="161" customFormat="false" ht="15.75" hidden="false" customHeight="false" outlineLevel="0" collapsed="false">
      <c r="B161" s="50"/>
      <c r="C161" s="51"/>
      <c r="D161" s="52"/>
      <c r="E161" s="52"/>
      <c r="F161" s="52"/>
      <c r="G161" s="51"/>
      <c r="H161" s="52"/>
      <c r="I161" s="52"/>
      <c r="J161" s="52"/>
      <c r="K161" s="52"/>
    </row>
    <row r="162" customFormat="false" ht="15.75" hidden="false" customHeight="false" outlineLevel="0" collapsed="false">
      <c r="B162" s="50"/>
      <c r="C162" s="51"/>
      <c r="D162" s="52"/>
      <c r="E162" s="52"/>
      <c r="F162" s="52"/>
      <c r="G162" s="51"/>
      <c r="H162" s="52"/>
      <c r="I162" s="52"/>
      <c r="J162" s="52"/>
      <c r="K162" s="52"/>
    </row>
    <row r="163" customFormat="false" ht="15.75" hidden="false" customHeight="false" outlineLevel="0" collapsed="false">
      <c r="B163" s="50"/>
      <c r="C163" s="51"/>
      <c r="D163" s="52"/>
      <c r="E163" s="52"/>
      <c r="F163" s="52"/>
      <c r="G163" s="51"/>
      <c r="H163" s="52"/>
      <c r="I163" s="52"/>
      <c r="J163" s="52"/>
      <c r="K163" s="52"/>
    </row>
    <row r="164" customFormat="false" ht="15.75" hidden="false" customHeight="false" outlineLevel="0" collapsed="false">
      <c r="B164" s="50"/>
      <c r="C164" s="51"/>
      <c r="D164" s="52"/>
      <c r="E164" s="52"/>
      <c r="F164" s="52"/>
      <c r="G164" s="51"/>
      <c r="H164" s="52"/>
      <c r="I164" s="52"/>
      <c r="J164" s="52"/>
      <c r="K164" s="52"/>
    </row>
    <row r="165" customFormat="false" ht="15.75" hidden="false" customHeight="false" outlineLevel="0" collapsed="false">
      <c r="B165" s="50"/>
      <c r="C165" s="51"/>
      <c r="D165" s="52"/>
      <c r="E165" s="52"/>
      <c r="F165" s="52"/>
      <c r="G165" s="51"/>
      <c r="H165" s="52"/>
      <c r="I165" s="52"/>
      <c r="J165" s="52"/>
      <c r="K165" s="52"/>
    </row>
    <row r="166" customFormat="false" ht="15.75" hidden="false" customHeight="false" outlineLevel="0" collapsed="false">
      <c r="B166" s="50"/>
      <c r="C166" s="51"/>
      <c r="D166" s="52"/>
      <c r="E166" s="52"/>
      <c r="F166" s="52"/>
      <c r="G166" s="51"/>
      <c r="H166" s="52"/>
      <c r="I166" s="52"/>
      <c r="J166" s="52"/>
      <c r="K166" s="52"/>
    </row>
    <row r="167" customFormat="false" ht="15.75" hidden="false" customHeight="false" outlineLevel="0" collapsed="false">
      <c r="B167" s="50"/>
      <c r="C167" s="51"/>
      <c r="D167" s="52"/>
      <c r="E167" s="52"/>
      <c r="F167" s="52"/>
      <c r="G167" s="51"/>
      <c r="H167" s="52"/>
      <c r="I167" s="52"/>
      <c r="J167" s="52"/>
      <c r="K167" s="52"/>
    </row>
    <row r="168" customFormat="false" ht="15.75" hidden="false" customHeight="false" outlineLevel="0" collapsed="false">
      <c r="B168" s="50"/>
      <c r="C168" s="51"/>
      <c r="D168" s="52"/>
      <c r="E168" s="52"/>
      <c r="F168" s="52"/>
      <c r="G168" s="51"/>
      <c r="H168" s="52"/>
      <c r="I168" s="52"/>
      <c r="J168" s="52"/>
      <c r="K168" s="52"/>
    </row>
    <row r="169" customFormat="false" ht="15.75" hidden="false" customHeight="false" outlineLevel="0" collapsed="false">
      <c r="B169" s="50"/>
      <c r="C169" s="51"/>
      <c r="D169" s="52"/>
      <c r="E169" s="52"/>
      <c r="F169" s="52"/>
      <c r="G169" s="51"/>
      <c r="H169" s="52"/>
      <c r="I169" s="52"/>
      <c r="J169" s="52"/>
      <c r="K169" s="52"/>
    </row>
    <row r="170" customFormat="false" ht="15.75" hidden="false" customHeight="false" outlineLevel="0" collapsed="false">
      <c r="B170" s="50"/>
      <c r="C170" s="51"/>
      <c r="D170" s="52"/>
      <c r="E170" s="52"/>
      <c r="F170" s="52"/>
      <c r="G170" s="51"/>
      <c r="H170" s="52"/>
      <c r="I170" s="52"/>
      <c r="J170" s="52"/>
      <c r="K170" s="52"/>
    </row>
    <row r="171" customFormat="false" ht="15.75" hidden="false" customHeight="false" outlineLevel="0" collapsed="false">
      <c r="B171" s="50"/>
      <c r="C171" s="51"/>
      <c r="D171" s="52"/>
      <c r="E171" s="52"/>
      <c r="F171" s="52"/>
      <c r="G171" s="51"/>
      <c r="H171" s="52"/>
      <c r="I171" s="52"/>
      <c r="J171" s="52"/>
      <c r="K171" s="52"/>
    </row>
    <row r="172" customFormat="false" ht="15.75" hidden="false" customHeight="false" outlineLevel="0" collapsed="false">
      <c r="B172" s="50"/>
      <c r="C172" s="51"/>
      <c r="D172" s="52"/>
      <c r="E172" s="52"/>
      <c r="F172" s="52"/>
      <c r="G172" s="51"/>
      <c r="H172" s="52"/>
      <c r="I172" s="52"/>
      <c r="J172" s="52"/>
      <c r="K172" s="52"/>
    </row>
    <row r="173" customFormat="false" ht="15.75" hidden="false" customHeight="false" outlineLevel="0" collapsed="false">
      <c r="B173" s="50"/>
      <c r="C173" s="51"/>
      <c r="D173" s="52"/>
      <c r="E173" s="52"/>
      <c r="F173" s="52"/>
      <c r="G173" s="51"/>
      <c r="H173" s="52"/>
      <c r="I173" s="52"/>
      <c r="J173" s="52"/>
      <c r="K173" s="52"/>
    </row>
    <row r="174" customFormat="false" ht="15.75" hidden="false" customHeight="false" outlineLevel="0" collapsed="false">
      <c r="B174" s="50"/>
      <c r="C174" s="51"/>
      <c r="D174" s="52"/>
      <c r="E174" s="52"/>
      <c r="F174" s="52"/>
      <c r="G174" s="51"/>
      <c r="H174" s="52"/>
      <c r="I174" s="52"/>
      <c r="J174" s="52"/>
      <c r="K174" s="52"/>
    </row>
    <row r="175" customFormat="false" ht="15.75" hidden="false" customHeight="false" outlineLevel="0" collapsed="false">
      <c r="B175" s="50"/>
      <c r="C175" s="51"/>
      <c r="D175" s="52"/>
      <c r="E175" s="52"/>
      <c r="F175" s="52"/>
      <c r="G175" s="51"/>
      <c r="H175" s="52"/>
      <c r="I175" s="52"/>
      <c r="J175" s="52"/>
      <c r="K175" s="52"/>
    </row>
    <row r="176" customFormat="false" ht="15.75" hidden="false" customHeight="false" outlineLevel="0" collapsed="false">
      <c r="B176" s="50"/>
      <c r="C176" s="51"/>
      <c r="D176" s="52"/>
      <c r="E176" s="52"/>
      <c r="F176" s="52"/>
      <c r="G176" s="51"/>
      <c r="H176" s="52"/>
      <c r="I176" s="52"/>
      <c r="J176" s="52"/>
      <c r="K176" s="52"/>
    </row>
    <row r="177" customFormat="false" ht="15.75" hidden="false" customHeight="false" outlineLevel="0" collapsed="false">
      <c r="B177" s="50"/>
      <c r="C177" s="51"/>
      <c r="D177" s="52"/>
      <c r="E177" s="52"/>
      <c r="F177" s="52"/>
      <c r="G177" s="51"/>
      <c r="H177" s="52"/>
      <c r="I177" s="52"/>
      <c r="J177" s="52"/>
      <c r="K177" s="52"/>
    </row>
    <row r="178" customFormat="false" ht="15.75" hidden="false" customHeight="false" outlineLevel="0" collapsed="false">
      <c r="B178" s="50"/>
      <c r="C178" s="51"/>
      <c r="D178" s="52"/>
      <c r="E178" s="52"/>
      <c r="F178" s="52"/>
      <c r="G178" s="51"/>
      <c r="H178" s="52"/>
      <c r="I178" s="52"/>
      <c r="J178" s="52"/>
      <c r="K178" s="52"/>
    </row>
    <row r="179" customFormat="false" ht="15.75" hidden="false" customHeight="false" outlineLevel="0" collapsed="false">
      <c r="B179" s="50"/>
      <c r="C179" s="51"/>
      <c r="D179" s="52"/>
      <c r="E179" s="52"/>
      <c r="F179" s="52"/>
      <c r="G179" s="51"/>
      <c r="H179" s="52"/>
      <c r="I179" s="52"/>
      <c r="J179" s="52"/>
      <c r="K179" s="52"/>
    </row>
    <row r="180" customFormat="false" ht="15.75" hidden="false" customHeight="false" outlineLevel="0" collapsed="false">
      <c r="B180" s="50"/>
      <c r="C180" s="51"/>
      <c r="D180" s="52"/>
      <c r="E180" s="52"/>
      <c r="F180" s="52"/>
      <c r="G180" s="51"/>
      <c r="H180" s="52"/>
      <c r="I180" s="52"/>
      <c r="J180" s="52"/>
      <c r="K180" s="52"/>
    </row>
    <row r="181" customFormat="false" ht="15.75" hidden="false" customHeight="false" outlineLevel="0" collapsed="false">
      <c r="B181" s="50"/>
      <c r="C181" s="51"/>
      <c r="D181" s="52"/>
      <c r="E181" s="52"/>
      <c r="F181" s="52"/>
      <c r="G181" s="51"/>
      <c r="H181" s="52"/>
      <c r="I181" s="52"/>
      <c r="J181" s="52"/>
      <c r="K181" s="52"/>
    </row>
    <row r="182" customFormat="false" ht="15.75" hidden="false" customHeight="false" outlineLevel="0" collapsed="false">
      <c r="B182" s="50"/>
      <c r="C182" s="51"/>
      <c r="D182" s="52"/>
      <c r="E182" s="52"/>
      <c r="F182" s="52"/>
      <c r="G182" s="51"/>
      <c r="H182" s="52"/>
      <c r="I182" s="52"/>
      <c r="J182" s="52"/>
      <c r="K182" s="52"/>
    </row>
    <row r="183" customFormat="false" ht="15.75" hidden="false" customHeight="false" outlineLevel="0" collapsed="false">
      <c r="B183" s="50"/>
      <c r="C183" s="51"/>
      <c r="D183" s="52"/>
      <c r="E183" s="52"/>
      <c r="F183" s="52"/>
      <c r="G183" s="51"/>
      <c r="H183" s="52"/>
      <c r="I183" s="52"/>
      <c r="J183" s="52"/>
      <c r="K183" s="52"/>
    </row>
    <row r="184" customFormat="false" ht="15.75" hidden="false" customHeight="false" outlineLevel="0" collapsed="false">
      <c r="B184" s="50"/>
      <c r="C184" s="51"/>
      <c r="D184" s="52"/>
      <c r="E184" s="52"/>
      <c r="F184" s="52"/>
      <c r="G184" s="51"/>
      <c r="H184" s="52"/>
      <c r="I184" s="52"/>
      <c r="J184" s="52"/>
      <c r="K184" s="52"/>
    </row>
    <row r="185" customFormat="false" ht="15.75" hidden="false" customHeight="false" outlineLevel="0" collapsed="false">
      <c r="B185" s="50"/>
      <c r="C185" s="51"/>
      <c r="D185" s="52"/>
      <c r="E185" s="52"/>
      <c r="F185" s="52"/>
      <c r="G185" s="51"/>
      <c r="H185" s="52"/>
      <c r="I185" s="52"/>
      <c r="J185" s="52"/>
      <c r="K185" s="52"/>
    </row>
    <row r="186" customFormat="false" ht="15.75" hidden="false" customHeight="false" outlineLevel="0" collapsed="false">
      <c r="B186" s="50"/>
      <c r="C186" s="51"/>
      <c r="D186" s="52"/>
      <c r="E186" s="52"/>
      <c r="F186" s="52"/>
      <c r="G186" s="51"/>
      <c r="H186" s="52"/>
      <c r="I186" s="52"/>
      <c r="J186" s="52"/>
      <c r="K186" s="52"/>
    </row>
    <row r="187" customFormat="false" ht="15.75" hidden="false" customHeight="false" outlineLevel="0" collapsed="false">
      <c r="B187" s="50"/>
      <c r="C187" s="51"/>
      <c r="D187" s="52"/>
      <c r="E187" s="52"/>
      <c r="F187" s="52"/>
      <c r="G187" s="51"/>
      <c r="H187" s="52"/>
      <c r="I187" s="52"/>
      <c r="J187" s="52"/>
      <c r="K187" s="52"/>
    </row>
    <row r="188" customFormat="false" ht="15.75" hidden="false" customHeight="false" outlineLevel="0" collapsed="false">
      <c r="B188" s="50"/>
      <c r="C188" s="51"/>
      <c r="D188" s="52"/>
      <c r="E188" s="52"/>
      <c r="F188" s="52"/>
      <c r="G188" s="51"/>
      <c r="H188" s="52"/>
      <c r="I188" s="52"/>
      <c r="J188" s="52"/>
      <c r="K188" s="52"/>
    </row>
    <row r="189" customFormat="false" ht="15.75" hidden="false" customHeight="false" outlineLevel="0" collapsed="false">
      <c r="B189" s="50"/>
      <c r="C189" s="51"/>
      <c r="D189" s="52"/>
      <c r="E189" s="52"/>
      <c r="F189" s="52"/>
      <c r="G189" s="51"/>
      <c r="H189" s="52"/>
      <c r="I189" s="52"/>
      <c r="J189" s="52"/>
      <c r="K189" s="52"/>
    </row>
    <row r="190" customFormat="false" ht="15.75" hidden="false" customHeight="false" outlineLevel="0" collapsed="false">
      <c r="B190" s="50"/>
      <c r="C190" s="51"/>
      <c r="D190" s="52"/>
      <c r="E190" s="52"/>
      <c r="F190" s="52"/>
      <c r="G190" s="51"/>
      <c r="H190" s="52"/>
      <c r="I190" s="52"/>
      <c r="J190" s="52"/>
      <c r="K190" s="52"/>
    </row>
    <row r="191" customFormat="false" ht="15.75" hidden="false" customHeight="false" outlineLevel="0" collapsed="false">
      <c r="B191" s="50"/>
      <c r="C191" s="51"/>
      <c r="D191" s="52"/>
      <c r="E191" s="52"/>
      <c r="F191" s="52"/>
      <c r="G191" s="51"/>
      <c r="H191" s="52"/>
      <c r="I191" s="52"/>
      <c r="J191" s="52"/>
      <c r="K191" s="52"/>
    </row>
    <row r="192" customFormat="false" ht="15.75" hidden="false" customHeight="false" outlineLevel="0" collapsed="false">
      <c r="B192" s="50"/>
      <c r="C192" s="51"/>
      <c r="D192" s="52"/>
      <c r="E192" s="52"/>
      <c r="F192" s="52"/>
      <c r="G192" s="51"/>
      <c r="H192" s="52"/>
      <c r="I192" s="52"/>
      <c r="J192" s="52"/>
      <c r="K192" s="52"/>
    </row>
    <row r="193" customFormat="false" ht="15.75" hidden="false" customHeight="false" outlineLevel="0" collapsed="false">
      <c r="B193" s="50"/>
      <c r="C193" s="51"/>
      <c r="D193" s="52"/>
      <c r="E193" s="52"/>
      <c r="F193" s="52"/>
      <c r="G193" s="51"/>
      <c r="H193" s="52"/>
      <c r="I193" s="52"/>
      <c r="J193" s="52"/>
      <c r="K193" s="52"/>
    </row>
    <row r="194" customFormat="false" ht="15.75" hidden="false" customHeight="false" outlineLevel="0" collapsed="false">
      <c r="B194" s="50"/>
      <c r="C194" s="51"/>
      <c r="D194" s="52"/>
      <c r="E194" s="52"/>
      <c r="F194" s="52"/>
      <c r="G194" s="51"/>
      <c r="H194" s="52"/>
      <c r="I194" s="52"/>
      <c r="J194" s="52"/>
      <c r="K194" s="52"/>
    </row>
    <row r="195" customFormat="false" ht="15.75" hidden="false" customHeight="false" outlineLevel="0" collapsed="false">
      <c r="B195" s="50"/>
      <c r="C195" s="51"/>
      <c r="D195" s="52"/>
      <c r="E195" s="52"/>
      <c r="F195" s="52"/>
      <c r="G195" s="51"/>
      <c r="H195" s="52"/>
      <c r="I195" s="52"/>
      <c r="J195" s="52"/>
      <c r="K195" s="52"/>
    </row>
    <row r="196" customFormat="false" ht="15.75" hidden="false" customHeight="false" outlineLevel="0" collapsed="false">
      <c r="B196" s="50"/>
      <c r="C196" s="51"/>
      <c r="D196" s="52"/>
      <c r="E196" s="52"/>
      <c r="F196" s="52"/>
      <c r="G196" s="51"/>
      <c r="H196" s="52"/>
      <c r="I196" s="52"/>
      <c r="J196" s="52"/>
      <c r="K196" s="52"/>
    </row>
    <row r="197" customFormat="false" ht="15.75" hidden="false" customHeight="false" outlineLevel="0" collapsed="false">
      <c r="B197" s="50"/>
      <c r="C197" s="51"/>
      <c r="D197" s="52"/>
      <c r="E197" s="52"/>
      <c r="F197" s="52"/>
      <c r="G197" s="51"/>
      <c r="H197" s="52"/>
      <c r="I197" s="52"/>
      <c r="J197" s="52"/>
      <c r="K197" s="52"/>
    </row>
    <row r="198" customFormat="false" ht="15.75" hidden="false" customHeight="false" outlineLevel="0" collapsed="false">
      <c r="B198" s="50"/>
      <c r="C198" s="51"/>
      <c r="D198" s="52"/>
      <c r="E198" s="52"/>
      <c r="F198" s="52"/>
      <c r="G198" s="51"/>
      <c r="H198" s="52"/>
      <c r="I198" s="52"/>
      <c r="J198" s="52"/>
      <c r="K198" s="52"/>
    </row>
    <row r="199" customFormat="false" ht="15.75" hidden="false" customHeight="false" outlineLevel="0" collapsed="false">
      <c r="B199" s="50"/>
      <c r="C199" s="51"/>
      <c r="D199" s="52"/>
      <c r="E199" s="52"/>
      <c r="F199" s="52"/>
      <c r="G199" s="51"/>
      <c r="H199" s="52"/>
      <c r="I199" s="52"/>
      <c r="J199" s="52"/>
      <c r="K199" s="52"/>
    </row>
    <row r="200" customFormat="false" ht="15.75" hidden="false" customHeight="false" outlineLevel="0" collapsed="false">
      <c r="B200" s="50"/>
      <c r="C200" s="51"/>
      <c r="D200" s="52"/>
      <c r="E200" s="52"/>
      <c r="F200" s="52"/>
      <c r="G200" s="51"/>
      <c r="H200" s="52"/>
      <c r="I200" s="52"/>
      <c r="J200" s="52"/>
      <c r="K200" s="52"/>
    </row>
    <row r="201" customFormat="false" ht="15.75" hidden="false" customHeight="false" outlineLevel="0" collapsed="false">
      <c r="B201" s="50"/>
      <c r="C201" s="51"/>
      <c r="D201" s="52"/>
      <c r="E201" s="52"/>
      <c r="F201" s="52"/>
      <c r="G201" s="51"/>
      <c r="H201" s="52"/>
      <c r="I201" s="52"/>
      <c r="J201" s="52"/>
      <c r="K201" s="52"/>
    </row>
    <row r="202" customFormat="false" ht="15.75" hidden="false" customHeight="false" outlineLevel="0" collapsed="false">
      <c r="B202" s="50"/>
      <c r="C202" s="51"/>
      <c r="D202" s="52"/>
      <c r="E202" s="52"/>
      <c r="F202" s="52"/>
      <c r="G202" s="51"/>
      <c r="H202" s="52"/>
      <c r="I202" s="52"/>
      <c r="J202" s="52"/>
      <c r="K202" s="52"/>
    </row>
    <row r="203" customFormat="false" ht="15.75" hidden="false" customHeight="false" outlineLevel="0" collapsed="false">
      <c r="B203" s="50"/>
      <c r="C203" s="51"/>
      <c r="D203" s="52"/>
      <c r="E203" s="52"/>
      <c r="F203" s="52"/>
      <c r="G203" s="51"/>
      <c r="H203" s="52"/>
      <c r="I203" s="52"/>
      <c r="J203" s="52"/>
      <c r="K203" s="52"/>
    </row>
    <row r="204" customFormat="false" ht="15.75" hidden="false" customHeight="false" outlineLevel="0" collapsed="false">
      <c r="B204" s="50"/>
      <c r="C204" s="51"/>
      <c r="D204" s="52"/>
      <c r="E204" s="52"/>
      <c r="F204" s="52"/>
      <c r="G204" s="51"/>
      <c r="H204" s="52"/>
      <c r="I204" s="52"/>
      <c r="J204" s="52"/>
      <c r="K204" s="52"/>
    </row>
    <row r="205" customFormat="false" ht="15.75" hidden="false" customHeight="false" outlineLevel="0" collapsed="false">
      <c r="B205" s="50"/>
      <c r="C205" s="51"/>
      <c r="D205" s="52"/>
      <c r="E205" s="52"/>
      <c r="F205" s="52"/>
      <c r="G205" s="51"/>
      <c r="H205" s="52"/>
      <c r="I205" s="52"/>
      <c r="J205" s="52"/>
      <c r="K205" s="52"/>
    </row>
    <row r="206" customFormat="false" ht="15.75" hidden="false" customHeight="false" outlineLevel="0" collapsed="false">
      <c r="B206" s="50"/>
      <c r="C206" s="51"/>
      <c r="D206" s="52"/>
      <c r="E206" s="52"/>
      <c r="F206" s="52"/>
      <c r="G206" s="51"/>
      <c r="H206" s="52"/>
      <c r="I206" s="52"/>
      <c r="J206" s="52"/>
      <c r="K206" s="52"/>
    </row>
    <row r="207" customFormat="false" ht="15.75" hidden="false" customHeight="false" outlineLevel="0" collapsed="false">
      <c r="B207" s="50"/>
      <c r="C207" s="51"/>
      <c r="D207" s="52"/>
      <c r="E207" s="52"/>
      <c r="F207" s="52"/>
      <c r="G207" s="51"/>
      <c r="H207" s="52"/>
      <c r="I207" s="52"/>
      <c r="J207" s="52"/>
      <c r="K207" s="52"/>
    </row>
    <row r="208" customFormat="false" ht="15.75" hidden="false" customHeight="false" outlineLevel="0" collapsed="false">
      <c r="B208" s="50"/>
      <c r="C208" s="51"/>
      <c r="D208" s="52"/>
      <c r="E208" s="52"/>
      <c r="F208" s="52"/>
      <c r="G208" s="51"/>
      <c r="H208" s="52"/>
      <c r="I208" s="52"/>
      <c r="J208" s="52"/>
      <c r="K208" s="52"/>
    </row>
    <row r="209" customFormat="false" ht="15.75" hidden="false" customHeight="false" outlineLevel="0" collapsed="false">
      <c r="B209" s="50"/>
      <c r="C209" s="51"/>
      <c r="D209" s="52"/>
      <c r="E209" s="52"/>
      <c r="F209" s="52"/>
      <c r="G209" s="51"/>
      <c r="H209" s="52"/>
      <c r="I209" s="52"/>
      <c r="J209" s="52"/>
      <c r="K209" s="52"/>
    </row>
    <row r="210" customFormat="false" ht="15.75" hidden="false" customHeight="false" outlineLevel="0" collapsed="false">
      <c r="B210" s="50"/>
      <c r="C210" s="51"/>
      <c r="D210" s="52"/>
      <c r="E210" s="52"/>
      <c r="F210" s="52"/>
      <c r="G210" s="51"/>
      <c r="H210" s="52"/>
      <c r="I210" s="52"/>
      <c r="J210" s="52"/>
      <c r="K210" s="52"/>
    </row>
    <row r="211" customFormat="false" ht="15.75" hidden="false" customHeight="false" outlineLevel="0" collapsed="false">
      <c r="B211" s="50"/>
      <c r="C211" s="51"/>
      <c r="D211" s="52"/>
      <c r="E211" s="52"/>
      <c r="F211" s="52"/>
      <c r="G211" s="51"/>
      <c r="H211" s="52"/>
      <c r="I211" s="52"/>
      <c r="J211" s="52"/>
      <c r="K211" s="52"/>
    </row>
    <row r="212" customFormat="false" ht="15.75" hidden="false" customHeight="false" outlineLevel="0" collapsed="false">
      <c r="B212" s="50"/>
      <c r="C212" s="51"/>
      <c r="D212" s="52"/>
      <c r="E212" s="52"/>
      <c r="F212" s="52"/>
      <c r="G212" s="51"/>
      <c r="H212" s="52"/>
      <c r="I212" s="52"/>
      <c r="J212" s="52"/>
      <c r="K212" s="52"/>
    </row>
    <row r="213" customFormat="false" ht="15.75" hidden="false" customHeight="false" outlineLevel="0" collapsed="false">
      <c r="B213" s="50"/>
      <c r="C213" s="51"/>
      <c r="D213" s="52"/>
      <c r="E213" s="52"/>
      <c r="F213" s="52"/>
      <c r="G213" s="51"/>
      <c r="H213" s="52"/>
      <c r="I213" s="52"/>
      <c r="J213" s="52"/>
      <c r="K213" s="52"/>
    </row>
    <row r="214" customFormat="false" ht="15.75" hidden="false" customHeight="false" outlineLevel="0" collapsed="false">
      <c r="B214" s="50"/>
      <c r="C214" s="51"/>
      <c r="D214" s="52"/>
      <c r="E214" s="52"/>
      <c r="F214" s="52"/>
      <c r="G214" s="51"/>
      <c r="H214" s="52"/>
      <c r="I214" s="52"/>
      <c r="J214" s="52"/>
      <c r="K214" s="52"/>
    </row>
    <row r="215" customFormat="false" ht="15.75" hidden="false" customHeight="false" outlineLevel="0" collapsed="false">
      <c r="B215" s="50"/>
      <c r="C215" s="51"/>
      <c r="D215" s="52"/>
      <c r="E215" s="52"/>
      <c r="F215" s="52"/>
      <c r="G215" s="51"/>
      <c r="H215" s="52"/>
      <c r="I215" s="52"/>
      <c r="J215" s="52"/>
      <c r="K215" s="52"/>
    </row>
    <row r="216" customFormat="false" ht="15.75" hidden="false" customHeight="false" outlineLevel="0" collapsed="false">
      <c r="B216" s="50"/>
      <c r="C216" s="51"/>
      <c r="D216" s="52"/>
      <c r="E216" s="52"/>
      <c r="F216" s="52"/>
      <c r="G216" s="51"/>
      <c r="H216" s="52"/>
      <c r="I216" s="52"/>
      <c r="J216" s="52"/>
      <c r="K216" s="52"/>
    </row>
    <row r="217" customFormat="false" ht="15.75" hidden="false" customHeight="false" outlineLevel="0" collapsed="false">
      <c r="B217" s="50"/>
      <c r="C217" s="51"/>
      <c r="D217" s="52"/>
      <c r="E217" s="52"/>
      <c r="F217" s="52"/>
      <c r="G217" s="51"/>
      <c r="H217" s="52"/>
      <c r="I217" s="52"/>
      <c r="J217" s="52"/>
      <c r="K217" s="52"/>
    </row>
    <row r="218" customFormat="false" ht="15.75" hidden="false" customHeight="false" outlineLevel="0" collapsed="false">
      <c r="B218" s="50"/>
      <c r="C218" s="51"/>
      <c r="D218" s="52"/>
      <c r="E218" s="52"/>
      <c r="F218" s="52"/>
      <c r="G218" s="51"/>
      <c r="H218" s="52"/>
      <c r="I218" s="52"/>
      <c r="J218" s="52"/>
      <c r="K218" s="52"/>
    </row>
    <row r="219" customFormat="false" ht="15.75" hidden="false" customHeight="false" outlineLevel="0" collapsed="false">
      <c r="B219" s="50"/>
      <c r="C219" s="51"/>
      <c r="D219" s="52"/>
      <c r="E219" s="52"/>
      <c r="F219" s="52"/>
      <c r="G219" s="51"/>
      <c r="H219" s="52"/>
      <c r="I219" s="52"/>
      <c r="J219" s="52"/>
      <c r="K219" s="52"/>
    </row>
    <row r="220" customFormat="false" ht="15.75" hidden="false" customHeight="false" outlineLevel="0" collapsed="false">
      <c r="B220" s="50"/>
      <c r="C220" s="51"/>
      <c r="D220" s="52"/>
      <c r="E220" s="52"/>
      <c r="F220" s="52"/>
      <c r="G220" s="51"/>
      <c r="H220" s="52"/>
      <c r="I220" s="52"/>
      <c r="J220" s="52"/>
      <c r="K220" s="52"/>
    </row>
    <row r="221" customFormat="false" ht="15.75" hidden="false" customHeight="false" outlineLevel="0" collapsed="false">
      <c r="B221" s="50"/>
      <c r="C221" s="51"/>
      <c r="D221" s="52"/>
      <c r="E221" s="52"/>
      <c r="F221" s="52"/>
      <c r="G221" s="51"/>
      <c r="H221" s="52"/>
      <c r="I221" s="52"/>
      <c r="J221" s="52"/>
      <c r="K221" s="52"/>
    </row>
    <row r="222" customFormat="false" ht="15.75" hidden="false" customHeight="false" outlineLevel="0" collapsed="false">
      <c r="B222" s="50"/>
      <c r="C222" s="51"/>
      <c r="D222" s="52"/>
      <c r="E222" s="52"/>
      <c r="F222" s="52"/>
      <c r="G222" s="51"/>
      <c r="H222" s="52"/>
      <c r="I222" s="52"/>
      <c r="J222" s="52"/>
      <c r="K222" s="52"/>
    </row>
    <row r="223" customFormat="false" ht="15.75" hidden="false" customHeight="false" outlineLevel="0" collapsed="false">
      <c r="B223" s="50"/>
      <c r="C223" s="51"/>
      <c r="D223" s="52"/>
      <c r="E223" s="52"/>
      <c r="F223" s="52"/>
      <c r="G223" s="51"/>
      <c r="H223" s="52"/>
      <c r="I223" s="52"/>
      <c r="J223" s="52"/>
      <c r="K223" s="52"/>
    </row>
    <row r="224" customFormat="false" ht="15.75" hidden="false" customHeight="false" outlineLevel="0" collapsed="false">
      <c r="B224" s="50"/>
      <c r="C224" s="51"/>
      <c r="D224" s="52"/>
      <c r="E224" s="52"/>
      <c r="F224" s="52"/>
      <c r="G224" s="51"/>
      <c r="H224" s="52"/>
      <c r="I224" s="52"/>
      <c r="J224" s="52"/>
      <c r="K224" s="52"/>
    </row>
    <row r="225" customFormat="false" ht="15.75" hidden="false" customHeight="false" outlineLevel="0" collapsed="false">
      <c r="B225" s="50"/>
      <c r="C225" s="51"/>
      <c r="D225" s="52"/>
      <c r="E225" s="52"/>
      <c r="F225" s="52"/>
      <c r="G225" s="51"/>
      <c r="H225" s="52"/>
      <c r="I225" s="52"/>
      <c r="J225" s="52"/>
      <c r="K225" s="52"/>
    </row>
    <row r="226" customFormat="false" ht="15.75" hidden="false" customHeight="false" outlineLevel="0" collapsed="false">
      <c r="B226" s="50"/>
      <c r="C226" s="51"/>
      <c r="D226" s="52"/>
      <c r="E226" s="52"/>
      <c r="F226" s="52"/>
      <c r="G226" s="51"/>
      <c r="H226" s="52"/>
      <c r="I226" s="52"/>
      <c r="J226" s="52"/>
      <c r="K226" s="52"/>
    </row>
    <row r="227" customFormat="false" ht="15.75" hidden="false" customHeight="false" outlineLevel="0" collapsed="false">
      <c r="B227" s="50"/>
      <c r="C227" s="51"/>
      <c r="D227" s="52"/>
      <c r="E227" s="52"/>
      <c r="F227" s="52"/>
      <c r="G227" s="51"/>
      <c r="H227" s="52"/>
      <c r="I227" s="52"/>
      <c r="J227" s="52"/>
      <c r="K227" s="52"/>
    </row>
    <row r="228" customFormat="false" ht="15.75" hidden="false" customHeight="false" outlineLevel="0" collapsed="false">
      <c r="B228" s="50"/>
      <c r="C228" s="51"/>
      <c r="D228" s="52"/>
      <c r="E228" s="52"/>
      <c r="F228" s="52"/>
      <c r="G228" s="51"/>
      <c r="H228" s="52"/>
      <c r="I228" s="52"/>
      <c r="J228" s="52"/>
      <c r="K228" s="52"/>
    </row>
    <row r="229" customFormat="false" ht="15.75" hidden="false" customHeight="false" outlineLevel="0" collapsed="false">
      <c r="B229" s="50"/>
      <c r="C229" s="51"/>
      <c r="D229" s="52"/>
      <c r="E229" s="52"/>
      <c r="F229" s="52"/>
      <c r="G229" s="51"/>
      <c r="H229" s="52"/>
      <c r="I229" s="52"/>
      <c r="J229" s="52"/>
      <c r="K229" s="52"/>
    </row>
    <row r="230" customFormat="false" ht="15.75" hidden="false" customHeight="false" outlineLevel="0" collapsed="false">
      <c r="B230" s="50"/>
      <c r="C230" s="51"/>
      <c r="D230" s="52"/>
      <c r="E230" s="52"/>
      <c r="F230" s="52"/>
      <c r="G230" s="51"/>
      <c r="H230" s="52"/>
      <c r="I230" s="52"/>
      <c r="J230" s="52"/>
      <c r="K230" s="52"/>
    </row>
    <row r="231" customFormat="false" ht="15.75" hidden="false" customHeight="false" outlineLevel="0" collapsed="false">
      <c r="B231" s="50"/>
      <c r="C231" s="51"/>
      <c r="D231" s="52"/>
      <c r="E231" s="52"/>
      <c r="F231" s="52"/>
      <c r="G231" s="51"/>
      <c r="H231" s="52"/>
      <c r="I231" s="52"/>
      <c r="J231" s="52"/>
      <c r="K231" s="52"/>
    </row>
    <row r="232" customFormat="false" ht="15.75" hidden="false" customHeight="false" outlineLevel="0" collapsed="false">
      <c r="B232" s="50"/>
      <c r="C232" s="51"/>
      <c r="D232" s="52"/>
      <c r="E232" s="52"/>
      <c r="F232" s="52"/>
      <c r="G232" s="51"/>
      <c r="H232" s="52"/>
      <c r="I232" s="52"/>
      <c r="J232" s="52"/>
      <c r="K232" s="52"/>
    </row>
    <row r="233" customFormat="false" ht="15.75" hidden="false" customHeight="false" outlineLevel="0" collapsed="false">
      <c r="B233" s="50"/>
      <c r="C233" s="51"/>
      <c r="D233" s="52"/>
      <c r="E233" s="52"/>
      <c r="F233" s="52"/>
      <c r="G233" s="51"/>
      <c r="H233" s="52"/>
      <c r="I233" s="52"/>
      <c r="J233" s="52"/>
      <c r="K233" s="52"/>
    </row>
    <row r="234" customFormat="false" ht="15.75" hidden="false" customHeight="false" outlineLevel="0" collapsed="false">
      <c r="B234" s="50"/>
      <c r="C234" s="51"/>
      <c r="D234" s="52"/>
      <c r="E234" s="52"/>
      <c r="F234" s="52"/>
      <c r="G234" s="51"/>
      <c r="H234" s="52"/>
      <c r="I234" s="52"/>
      <c r="J234" s="52"/>
      <c r="K234" s="52"/>
    </row>
    <row r="235" customFormat="false" ht="15.75" hidden="false" customHeight="false" outlineLevel="0" collapsed="false">
      <c r="B235" s="50"/>
      <c r="C235" s="51"/>
      <c r="D235" s="52"/>
      <c r="E235" s="52"/>
      <c r="F235" s="52"/>
      <c r="G235" s="51"/>
      <c r="H235" s="52"/>
      <c r="I235" s="52"/>
      <c r="J235" s="52"/>
      <c r="K235" s="52"/>
    </row>
    <row r="236" customFormat="false" ht="15.75" hidden="false" customHeight="false" outlineLevel="0" collapsed="false">
      <c r="B236" s="50"/>
      <c r="C236" s="51"/>
      <c r="D236" s="52"/>
      <c r="E236" s="52"/>
      <c r="F236" s="52"/>
      <c r="G236" s="51"/>
      <c r="H236" s="52"/>
      <c r="I236" s="52"/>
      <c r="J236" s="52"/>
      <c r="K236" s="52"/>
    </row>
    <row r="237" customFormat="false" ht="15.75" hidden="false" customHeight="false" outlineLevel="0" collapsed="false">
      <c r="B237" s="50"/>
      <c r="C237" s="51"/>
      <c r="D237" s="52"/>
      <c r="E237" s="52"/>
      <c r="F237" s="52"/>
      <c r="G237" s="51"/>
      <c r="H237" s="52"/>
      <c r="I237" s="52"/>
      <c r="J237" s="52"/>
      <c r="K237" s="52"/>
    </row>
    <row r="238" customFormat="false" ht="15.75" hidden="false" customHeight="false" outlineLevel="0" collapsed="false">
      <c r="B238" s="50"/>
      <c r="C238" s="51"/>
      <c r="D238" s="52"/>
      <c r="E238" s="52"/>
      <c r="F238" s="52"/>
      <c r="G238" s="51"/>
      <c r="H238" s="52"/>
      <c r="I238" s="52"/>
      <c r="J238" s="52"/>
      <c r="K238" s="52"/>
    </row>
    <row r="239" customFormat="false" ht="15.75" hidden="false" customHeight="false" outlineLevel="0" collapsed="false">
      <c r="B239" s="50"/>
      <c r="C239" s="51"/>
      <c r="D239" s="52"/>
      <c r="E239" s="52"/>
      <c r="F239" s="52"/>
      <c r="G239" s="51"/>
      <c r="H239" s="52"/>
      <c r="I239" s="52"/>
      <c r="J239" s="52"/>
      <c r="K239" s="52"/>
    </row>
    <row r="240" customFormat="false" ht="15.75" hidden="false" customHeight="false" outlineLevel="0" collapsed="false">
      <c r="B240" s="50"/>
      <c r="C240" s="51"/>
      <c r="D240" s="52"/>
      <c r="E240" s="52"/>
      <c r="F240" s="52"/>
      <c r="G240" s="51"/>
      <c r="H240" s="52"/>
      <c r="I240" s="52"/>
      <c r="J240" s="52"/>
      <c r="K240" s="52"/>
    </row>
    <row r="241" customFormat="false" ht="15.75" hidden="false" customHeight="false" outlineLevel="0" collapsed="false">
      <c r="B241" s="50"/>
      <c r="C241" s="51"/>
      <c r="D241" s="52"/>
      <c r="E241" s="52"/>
      <c r="F241" s="52"/>
      <c r="G241" s="51"/>
      <c r="H241" s="52"/>
      <c r="I241" s="52"/>
      <c r="J241" s="52"/>
      <c r="K241" s="52"/>
    </row>
    <row r="242" customFormat="false" ht="15.75" hidden="false" customHeight="false" outlineLevel="0" collapsed="false">
      <c r="B242" s="50"/>
      <c r="C242" s="51"/>
      <c r="D242" s="52"/>
      <c r="E242" s="52"/>
      <c r="F242" s="52"/>
      <c r="G242" s="51"/>
      <c r="H242" s="52"/>
      <c r="I242" s="52"/>
      <c r="J242" s="52"/>
      <c r="K242" s="52"/>
    </row>
    <row r="243" customFormat="false" ht="15.75" hidden="false" customHeight="false" outlineLevel="0" collapsed="false">
      <c r="B243" s="50"/>
      <c r="C243" s="51"/>
      <c r="D243" s="52"/>
      <c r="E243" s="52"/>
      <c r="F243" s="52"/>
      <c r="G243" s="51"/>
      <c r="H243" s="52"/>
      <c r="I243" s="52"/>
      <c r="J243" s="52"/>
      <c r="K243" s="52"/>
    </row>
    <row r="244" customFormat="false" ht="15.75" hidden="false" customHeight="false" outlineLevel="0" collapsed="false">
      <c r="B244" s="50"/>
      <c r="C244" s="51"/>
      <c r="D244" s="52"/>
      <c r="E244" s="52"/>
      <c r="F244" s="52"/>
      <c r="G244" s="51"/>
      <c r="H244" s="52"/>
      <c r="I244" s="52"/>
      <c r="J244" s="52"/>
      <c r="K244" s="52"/>
    </row>
    <row r="245" customFormat="false" ht="15.75" hidden="false" customHeight="false" outlineLevel="0" collapsed="false">
      <c r="B245" s="50"/>
      <c r="C245" s="51"/>
      <c r="D245" s="52"/>
      <c r="E245" s="52"/>
      <c r="F245" s="52"/>
      <c r="G245" s="51"/>
      <c r="H245" s="52"/>
      <c r="I245" s="52"/>
      <c r="J245" s="52"/>
      <c r="K245" s="52"/>
    </row>
    <row r="246" customFormat="false" ht="15.75" hidden="false" customHeight="false" outlineLevel="0" collapsed="false">
      <c r="B246" s="50"/>
      <c r="C246" s="51"/>
      <c r="D246" s="52"/>
      <c r="E246" s="52"/>
      <c r="F246" s="52"/>
      <c r="G246" s="51"/>
      <c r="H246" s="52"/>
      <c r="I246" s="52"/>
      <c r="J246" s="52"/>
      <c r="K246" s="52"/>
    </row>
    <row r="247" customFormat="false" ht="15.75" hidden="false" customHeight="false" outlineLevel="0" collapsed="false">
      <c r="B247" s="50"/>
      <c r="C247" s="51"/>
      <c r="D247" s="52"/>
      <c r="E247" s="52"/>
      <c r="F247" s="52"/>
      <c r="G247" s="51"/>
      <c r="H247" s="52"/>
      <c r="I247" s="52"/>
      <c r="J247" s="52"/>
      <c r="K247" s="52"/>
    </row>
    <row r="248" customFormat="false" ht="15.75" hidden="false" customHeight="false" outlineLevel="0" collapsed="false">
      <c r="B248" s="50"/>
      <c r="C248" s="51"/>
      <c r="D248" s="52"/>
      <c r="E248" s="52"/>
      <c r="F248" s="52"/>
      <c r="G248" s="51"/>
      <c r="H248" s="52"/>
      <c r="I248" s="52"/>
      <c r="J248" s="52"/>
      <c r="K248" s="52"/>
    </row>
    <row r="249" customFormat="false" ht="15.75" hidden="false" customHeight="false" outlineLevel="0" collapsed="false">
      <c r="B249" s="50"/>
      <c r="C249" s="51"/>
      <c r="D249" s="52"/>
      <c r="E249" s="52"/>
      <c r="F249" s="52"/>
      <c r="G249" s="51"/>
      <c r="H249" s="52"/>
      <c r="I249" s="52"/>
      <c r="J249" s="52"/>
      <c r="K249" s="52"/>
    </row>
    <row r="250" customFormat="false" ht="15.75" hidden="false" customHeight="false" outlineLevel="0" collapsed="false">
      <c r="B250" s="50"/>
      <c r="C250" s="51"/>
      <c r="D250" s="52"/>
      <c r="E250" s="52"/>
      <c r="F250" s="52"/>
      <c r="G250" s="51"/>
      <c r="H250" s="52"/>
      <c r="I250" s="52"/>
      <c r="J250" s="52"/>
      <c r="K250" s="52"/>
    </row>
    <row r="251" customFormat="false" ht="15.75" hidden="false" customHeight="false" outlineLevel="0" collapsed="false">
      <c r="B251" s="50"/>
      <c r="C251" s="51"/>
      <c r="D251" s="52"/>
      <c r="E251" s="52"/>
      <c r="F251" s="52"/>
      <c r="G251" s="51"/>
      <c r="H251" s="52"/>
      <c r="I251" s="52"/>
      <c r="J251" s="52"/>
      <c r="K251" s="52"/>
    </row>
    <row r="252" customFormat="false" ht="15.75" hidden="false" customHeight="false" outlineLevel="0" collapsed="false">
      <c r="B252" s="50"/>
      <c r="C252" s="51"/>
      <c r="D252" s="52"/>
      <c r="E252" s="52"/>
      <c r="F252" s="52"/>
      <c r="G252" s="51"/>
      <c r="H252" s="52"/>
      <c r="I252" s="52"/>
      <c r="J252" s="52"/>
      <c r="K252" s="52"/>
    </row>
    <row r="253" customFormat="false" ht="15.75" hidden="false" customHeight="false" outlineLevel="0" collapsed="false">
      <c r="B253" s="50"/>
      <c r="C253" s="51"/>
      <c r="D253" s="52"/>
      <c r="E253" s="52"/>
      <c r="F253" s="52"/>
      <c r="G253" s="51"/>
      <c r="H253" s="52"/>
      <c r="I253" s="52"/>
      <c r="J253" s="52"/>
      <c r="K253" s="52"/>
    </row>
    <row r="254" customFormat="false" ht="15.75" hidden="false" customHeight="false" outlineLevel="0" collapsed="false">
      <c r="B254" s="50"/>
      <c r="C254" s="51"/>
      <c r="D254" s="52"/>
      <c r="E254" s="52"/>
      <c r="F254" s="52"/>
      <c r="G254" s="51"/>
      <c r="H254" s="52"/>
      <c r="I254" s="52"/>
      <c r="J254" s="52"/>
      <c r="K254" s="52"/>
    </row>
    <row r="255" customFormat="false" ht="15.75" hidden="false" customHeight="false" outlineLevel="0" collapsed="false">
      <c r="B255" s="50"/>
      <c r="C255" s="51"/>
      <c r="D255" s="52"/>
      <c r="E255" s="52"/>
      <c r="F255" s="52"/>
      <c r="G255" s="51"/>
      <c r="H255" s="52"/>
      <c r="I255" s="52"/>
      <c r="J255" s="52"/>
      <c r="K255" s="52"/>
    </row>
    <row r="256" customFormat="false" ht="15.75" hidden="false" customHeight="false" outlineLevel="0" collapsed="false">
      <c r="B256" s="50"/>
      <c r="C256" s="51"/>
      <c r="D256" s="52"/>
      <c r="E256" s="52"/>
      <c r="F256" s="52"/>
      <c r="G256" s="51"/>
      <c r="H256" s="52"/>
      <c r="I256" s="52"/>
      <c r="J256" s="52"/>
      <c r="K256" s="52"/>
    </row>
    <row r="257" customFormat="false" ht="15.75" hidden="false" customHeight="false" outlineLevel="0" collapsed="false">
      <c r="B257" s="50"/>
      <c r="C257" s="51"/>
      <c r="D257" s="52"/>
      <c r="E257" s="52"/>
      <c r="F257" s="52"/>
      <c r="G257" s="51"/>
      <c r="H257" s="52"/>
      <c r="I257" s="52"/>
      <c r="J257" s="52"/>
      <c r="K257" s="52"/>
    </row>
    <row r="258" customFormat="false" ht="15.75" hidden="false" customHeight="false" outlineLevel="0" collapsed="false">
      <c r="B258" s="50"/>
      <c r="C258" s="51"/>
      <c r="D258" s="52"/>
      <c r="E258" s="52"/>
      <c r="F258" s="52"/>
      <c r="G258" s="51"/>
      <c r="H258" s="52"/>
      <c r="I258" s="52"/>
      <c r="J258" s="52"/>
      <c r="K258" s="52"/>
    </row>
    <row r="259" customFormat="false" ht="15.75" hidden="false" customHeight="false" outlineLevel="0" collapsed="false">
      <c r="B259" s="50"/>
      <c r="C259" s="51"/>
      <c r="D259" s="52"/>
      <c r="E259" s="52"/>
      <c r="F259" s="52"/>
      <c r="G259" s="51"/>
      <c r="H259" s="52"/>
      <c r="I259" s="52"/>
      <c r="J259" s="52"/>
      <c r="K259" s="52"/>
    </row>
    <row r="260" customFormat="false" ht="15.75" hidden="false" customHeight="false" outlineLevel="0" collapsed="false">
      <c r="B260" s="50"/>
      <c r="C260" s="51"/>
      <c r="D260" s="52"/>
      <c r="E260" s="52"/>
      <c r="F260" s="52"/>
      <c r="G260" s="51"/>
      <c r="H260" s="52"/>
      <c r="I260" s="52"/>
      <c r="J260" s="52"/>
      <c r="K260" s="52"/>
    </row>
    <row r="261" customFormat="false" ht="15.75" hidden="false" customHeight="false" outlineLevel="0" collapsed="false">
      <c r="B261" s="50"/>
      <c r="C261" s="51"/>
      <c r="D261" s="52"/>
      <c r="E261" s="52"/>
      <c r="F261" s="52"/>
      <c r="G261" s="51"/>
      <c r="H261" s="52"/>
      <c r="I261" s="52"/>
      <c r="J261" s="52"/>
      <c r="K261" s="52"/>
    </row>
    <row r="262" customFormat="false" ht="15.75" hidden="false" customHeight="false" outlineLevel="0" collapsed="false">
      <c r="B262" s="50"/>
      <c r="C262" s="51"/>
      <c r="D262" s="52"/>
      <c r="E262" s="52"/>
      <c r="F262" s="52"/>
      <c r="G262" s="51"/>
      <c r="H262" s="52"/>
      <c r="I262" s="52"/>
      <c r="J262" s="52"/>
      <c r="K262" s="52"/>
    </row>
    <row r="263" customFormat="false" ht="15.75" hidden="false" customHeight="false" outlineLevel="0" collapsed="false">
      <c r="B263" s="50"/>
      <c r="C263" s="51"/>
      <c r="D263" s="52"/>
      <c r="E263" s="52"/>
      <c r="F263" s="52"/>
      <c r="G263" s="51"/>
      <c r="H263" s="52"/>
      <c r="I263" s="52"/>
      <c r="J263" s="52"/>
      <c r="K263" s="52"/>
    </row>
    <row r="264" customFormat="false" ht="15.75" hidden="false" customHeight="false" outlineLevel="0" collapsed="false">
      <c r="B264" s="50"/>
      <c r="C264" s="51"/>
      <c r="D264" s="52"/>
      <c r="E264" s="52"/>
      <c r="F264" s="52"/>
      <c r="G264" s="51"/>
      <c r="H264" s="52"/>
      <c r="I264" s="52"/>
      <c r="J264" s="52"/>
      <c r="K264" s="52"/>
    </row>
    <row r="265" customFormat="false" ht="15.75" hidden="false" customHeight="false" outlineLevel="0" collapsed="false">
      <c r="B265" s="50"/>
      <c r="C265" s="51"/>
      <c r="D265" s="52"/>
      <c r="E265" s="52"/>
      <c r="F265" s="52"/>
      <c r="G265" s="51"/>
      <c r="H265" s="52"/>
      <c r="I265" s="52"/>
      <c r="J265" s="52"/>
      <c r="K265" s="52"/>
    </row>
    <row r="266" customFormat="false" ht="15.75" hidden="false" customHeight="false" outlineLevel="0" collapsed="false">
      <c r="B266" s="50"/>
      <c r="C266" s="51"/>
      <c r="D266" s="52"/>
      <c r="E266" s="52"/>
      <c r="F266" s="52"/>
      <c r="G266" s="51"/>
      <c r="H266" s="52"/>
      <c r="I266" s="52"/>
      <c r="J266" s="52"/>
      <c r="K266" s="52"/>
    </row>
    <row r="267" customFormat="false" ht="15.75" hidden="false" customHeight="false" outlineLevel="0" collapsed="false">
      <c r="B267" s="50"/>
      <c r="C267" s="51"/>
      <c r="D267" s="52"/>
      <c r="E267" s="52"/>
      <c r="F267" s="52"/>
      <c r="G267" s="51"/>
      <c r="H267" s="52"/>
      <c r="I267" s="52"/>
      <c r="J267" s="52"/>
      <c r="K267" s="52"/>
    </row>
    <row r="268" customFormat="false" ht="15.75" hidden="false" customHeight="false" outlineLevel="0" collapsed="false">
      <c r="B268" s="50"/>
      <c r="C268" s="51"/>
      <c r="D268" s="52"/>
      <c r="E268" s="52"/>
      <c r="F268" s="52"/>
      <c r="G268" s="51"/>
      <c r="H268" s="52"/>
      <c r="I268" s="52"/>
      <c r="J268" s="52"/>
      <c r="K268" s="52"/>
    </row>
    <row r="269" customFormat="false" ht="15.75" hidden="false" customHeight="false" outlineLevel="0" collapsed="false">
      <c r="B269" s="50"/>
      <c r="C269" s="51"/>
      <c r="D269" s="52"/>
      <c r="E269" s="52"/>
      <c r="F269" s="52"/>
      <c r="G269" s="51"/>
      <c r="H269" s="52"/>
      <c r="I269" s="52"/>
      <c r="J269" s="52"/>
      <c r="K269" s="52"/>
    </row>
    <row r="270" customFormat="false" ht="15.75" hidden="false" customHeight="false" outlineLevel="0" collapsed="false">
      <c r="B270" s="50"/>
      <c r="C270" s="51"/>
      <c r="D270" s="52"/>
      <c r="E270" s="52"/>
      <c r="F270" s="52"/>
      <c r="G270" s="51"/>
      <c r="H270" s="52"/>
      <c r="I270" s="52"/>
      <c r="J270" s="52"/>
      <c r="K270" s="52"/>
    </row>
    <row r="271" customFormat="false" ht="15.75" hidden="false" customHeight="false" outlineLevel="0" collapsed="false">
      <c r="B271" s="50"/>
      <c r="C271" s="51"/>
      <c r="D271" s="52"/>
      <c r="E271" s="52"/>
      <c r="F271" s="52"/>
      <c r="G271" s="51"/>
      <c r="H271" s="52"/>
      <c r="I271" s="52"/>
      <c r="J271" s="52"/>
      <c r="K271" s="52"/>
    </row>
    <row r="272" customFormat="false" ht="15.75" hidden="false" customHeight="false" outlineLevel="0" collapsed="false">
      <c r="B272" s="50"/>
      <c r="C272" s="51"/>
      <c r="D272" s="52"/>
      <c r="E272" s="52"/>
      <c r="F272" s="52"/>
      <c r="G272" s="51"/>
      <c r="H272" s="52"/>
      <c r="I272" s="52"/>
      <c r="J272" s="52"/>
      <c r="K272" s="52"/>
    </row>
    <row r="273" customFormat="false" ht="15.75" hidden="false" customHeight="false" outlineLevel="0" collapsed="false">
      <c r="B273" s="50"/>
      <c r="C273" s="51"/>
      <c r="D273" s="52"/>
      <c r="E273" s="52"/>
      <c r="F273" s="52"/>
      <c r="G273" s="51"/>
      <c r="H273" s="52"/>
      <c r="I273" s="52"/>
      <c r="J273" s="52"/>
      <c r="K273" s="52"/>
    </row>
    <row r="274" customFormat="false" ht="15.75" hidden="false" customHeight="false" outlineLevel="0" collapsed="false">
      <c r="B274" s="50"/>
      <c r="C274" s="51"/>
      <c r="D274" s="52"/>
      <c r="E274" s="52"/>
      <c r="F274" s="52"/>
      <c r="G274" s="51"/>
      <c r="H274" s="52"/>
      <c r="I274" s="52"/>
      <c r="J274" s="52"/>
      <c r="K274" s="52"/>
    </row>
    <row r="275" customFormat="false" ht="15.75" hidden="false" customHeight="false" outlineLevel="0" collapsed="false">
      <c r="B275" s="50"/>
      <c r="C275" s="51"/>
      <c r="D275" s="52"/>
      <c r="E275" s="52"/>
      <c r="F275" s="52"/>
      <c r="G275" s="51"/>
      <c r="H275" s="52"/>
      <c r="I275" s="52"/>
      <c r="J275" s="52"/>
      <c r="K275" s="52"/>
    </row>
    <row r="276" customFormat="false" ht="15.75" hidden="false" customHeight="false" outlineLevel="0" collapsed="false">
      <c r="B276" s="50"/>
      <c r="C276" s="51"/>
      <c r="D276" s="52"/>
      <c r="E276" s="52"/>
      <c r="F276" s="52"/>
      <c r="G276" s="51"/>
      <c r="H276" s="52"/>
      <c r="I276" s="52"/>
      <c r="J276" s="52"/>
      <c r="K276" s="52"/>
    </row>
    <row r="277" customFormat="false" ht="15.75" hidden="false" customHeight="false" outlineLevel="0" collapsed="false">
      <c r="B277" s="50"/>
      <c r="C277" s="51"/>
      <c r="D277" s="52"/>
      <c r="E277" s="52"/>
      <c r="F277" s="52"/>
      <c r="G277" s="51"/>
      <c r="H277" s="52"/>
      <c r="I277" s="52"/>
      <c r="J277" s="52"/>
      <c r="K277" s="52"/>
    </row>
    <row r="278" customFormat="false" ht="15.75" hidden="false" customHeight="false" outlineLevel="0" collapsed="false">
      <c r="B278" s="50"/>
      <c r="C278" s="51"/>
      <c r="D278" s="52"/>
      <c r="E278" s="52"/>
      <c r="F278" s="52"/>
      <c r="G278" s="51"/>
      <c r="H278" s="52"/>
      <c r="I278" s="52"/>
      <c r="J278" s="52"/>
      <c r="K278" s="52"/>
    </row>
    <row r="279" customFormat="false" ht="15.75" hidden="false" customHeight="false" outlineLevel="0" collapsed="false">
      <c r="B279" s="50"/>
      <c r="C279" s="51"/>
      <c r="D279" s="52"/>
      <c r="E279" s="52"/>
      <c r="F279" s="52"/>
      <c r="G279" s="51"/>
      <c r="H279" s="52"/>
      <c r="I279" s="52"/>
      <c r="J279" s="52"/>
      <c r="K279" s="52"/>
    </row>
    <row r="280" customFormat="false" ht="15.75" hidden="false" customHeight="false" outlineLevel="0" collapsed="false">
      <c r="B280" s="50"/>
      <c r="C280" s="51"/>
      <c r="D280" s="52"/>
      <c r="E280" s="52"/>
      <c r="F280" s="52"/>
      <c r="G280" s="51"/>
      <c r="H280" s="52"/>
      <c r="I280" s="52"/>
      <c r="J280" s="52"/>
      <c r="K280" s="52"/>
    </row>
    <row r="281" customFormat="false" ht="15.75" hidden="false" customHeight="false" outlineLevel="0" collapsed="false">
      <c r="B281" s="50"/>
      <c r="C281" s="51"/>
      <c r="D281" s="52"/>
      <c r="E281" s="52"/>
      <c r="F281" s="52"/>
      <c r="G281" s="51"/>
      <c r="H281" s="52"/>
      <c r="I281" s="52"/>
      <c r="J281" s="52"/>
      <c r="K281" s="52"/>
    </row>
    <row r="282" customFormat="false" ht="15.75" hidden="false" customHeight="false" outlineLevel="0" collapsed="false">
      <c r="B282" s="50"/>
      <c r="C282" s="51"/>
      <c r="D282" s="52"/>
      <c r="E282" s="52"/>
      <c r="F282" s="52"/>
      <c r="G282" s="51"/>
      <c r="H282" s="52"/>
      <c r="I282" s="52"/>
      <c r="J282" s="52"/>
      <c r="K282" s="52"/>
    </row>
    <row r="283" customFormat="false" ht="15.75" hidden="false" customHeight="false" outlineLevel="0" collapsed="false">
      <c r="B283" s="50"/>
      <c r="C283" s="51"/>
      <c r="D283" s="52"/>
      <c r="E283" s="52"/>
      <c r="F283" s="52"/>
      <c r="G283" s="51"/>
      <c r="H283" s="52"/>
      <c r="I283" s="52"/>
      <c r="J283" s="52"/>
      <c r="K283" s="52"/>
    </row>
    <row r="284" customFormat="false" ht="15.75" hidden="false" customHeight="false" outlineLevel="0" collapsed="false">
      <c r="B284" s="50"/>
      <c r="C284" s="51"/>
      <c r="D284" s="52"/>
      <c r="E284" s="52"/>
      <c r="F284" s="52"/>
      <c r="G284" s="51"/>
      <c r="H284" s="52"/>
      <c r="I284" s="52"/>
      <c r="J284" s="52"/>
      <c r="K284" s="52"/>
    </row>
    <row r="285" customFormat="false" ht="15.75" hidden="false" customHeight="false" outlineLevel="0" collapsed="false">
      <c r="B285" s="50"/>
      <c r="C285" s="51"/>
      <c r="D285" s="52"/>
      <c r="E285" s="52"/>
      <c r="F285" s="52"/>
      <c r="G285" s="51"/>
      <c r="H285" s="52"/>
      <c r="I285" s="52"/>
      <c r="J285" s="52"/>
      <c r="K285" s="52"/>
    </row>
    <row r="286" customFormat="false" ht="15.75" hidden="false" customHeight="false" outlineLevel="0" collapsed="false">
      <c r="B286" s="50"/>
      <c r="C286" s="51"/>
      <c r="D286" s="52"/>
      <c r="E286" s="52"/>
      <c r="F286" s="52"/>
      <c r="G286" s="51"/>
      <c r="H286" s="52"/>
      <c r="I286" s="52"/>
      <c r="J286" s="52"/>
      <c r="K286" s="52"/>
    </row>
    <row r="287" customFormat="false" ht="15.75" hidden="false" customHeight="false" outlineLevel="0" collapsed="false">
      <c r="B287" s="50"/>
      <c r="C287" s="51"/>
      <c r="D287" s="52"/>
      <c r="E287" s="52"/>
      <c r="F287" s="52"/>
      <c r="G287" s="51"/>
      <c r="H287" s="52"/>
      <c r="I287" s="52"/>
      <c r="J287" s="52"/>
      <c r="K287" s="52"/>
    </row>
    <row r="288" customFormat="false" ht="15.75" hidden="false" customHeight="false" outlineLevel="0" collapsed="false">
      <c r="B288" s="50"/>
      <c r="C288" s="51"/>
      <c r="D288" s="52"/>
      <c r="E288" s="52"/>
      <c r="F288" s="52"/>
      <c r="G288" s="51"/>
      <c r="H288" s="52"/>
      <c r="I288" s="52"/>
      <c r="J288" s="52"/>
      <c r="K288" s="52"/>
    </row>
    <row r="289" customFormat="false" ht="15.75" hidden="false" customHeight="false" outlineLevel="0" collapsed="false">
      <c r="B289" s="50"/>
      <c r="C289" s="51"/>
      <c r="D289" s="52"/>
      <c r="E289" s="52"/>
      <c r="F289" s="52"/>
      <c r="G289" s="51"/>
      <c r="H289" s="52"/>
      <c r="I289" s="52"/>
      <c r="J289" s="52"/>
      <c r="K289" s="52"/>
    </row>
    <row r="290" customFormat="false" ht="15.75" hidden="false" customHeight="false" outlineLevel="0" collapsed="false">
      <c r="B290" s="50"/>
      <c r="C290" s="51"/>
      <c r="D290" s="52"/>
      <c r="E290" s="52"/>
      <c r="F290" s="52"/>
      <c r="G290" s="51"/>
      <c r="H290" s="52"/>
      <c r="I290" s="52"/>
      <c r="J290" s="52"/>
      <c r="K290" s="52"/>
    </row>
    <row r="291" customFormat="false" ht="15.75" hidden="false" customHeight="false" outlineLevel="0" collapsed="false">
      <c r="B291" s="50"/>
      <c r="C291" s="51"/>
      <c r="D291" s="52"/>
      <c r="E291" s="52"/>
      <c r="F291" s="52"/>
      <c r="G291" s="51"/>
      <c r="H291" s="52"/>
      <c r="I291" s="52"/>
      <c r="J291" s="52"/>
      <c r="K291" s="52"/>
    </row>
    <row r="292" customFormat="false" ht="15.75" hidden="false" customHeight="false" outlineLevel="0" collapsed="false">
      <c r="B292" s="50"/>
      <c r="C292" s="51"/>
      <c r="D292" s="52"/>
      <c r="E292" s="52"/>
      <c r="F292" s="52"/>
      <c r="G292" s="51"/>
      <c r="H292" s="52"/>
      <c r="I292" s="52"/>
      <c r="J292" s="52"/>
      <c r="K292" s="52"/>
    </row>
    <row r="293" customFormat="false" ht="15.75" hidden="false" customHeight="false" outlineLevel="0" collapsed="false">
      <c r="B293" s="50"/>
      <c r="C293" s="51"/>
      <c r="D293" s="52"/>
      <c r="E293" s="52"/>
      <c r="F293" s="52"/>
      <c r="G293" s="51"/>
      <c r="H293" s="52"/>
      <c r="I293" s="52"/>
      <c r="J293" s="52"/>
      <c r="K293" s="52"/>
    </row>
    <row r="294" customFormat="false" ht="15.75" hidden="false" customHeight="false" outlineLevel="0" collapsed="false">
      <c r="B294" s="50"/>
      <c r="C294" s="51"/>
      <c r="D294" s="52"/>
      <c r="E294" s="52"/>
      <c r="F294" s="52"/>
      <c r="G294" s="51"/>
      <c r="H294" s="52"/>
      <c r="I294" s="52"/>
      <c r="J294" s="52"/>
      <c r="K294" s="52"/>
    </row>
    <row r="295" customFormat="false" ht="15.75" hidden="false" customHeight="false" outlineLevel="0" collapsed="false">
      <c r="B295" s="50"/>
      <c r="C295" s="51"/>
      <c r="D295" s="52"/>
      <c r="E295" s="52"/>
      <c r="F295" s="52"/>
      <c r="G295" s="51"/>
      <c r="H295" s="52"/>
      <c r="I295" s="52"/>
      <c r="J295" s="52"/>
      <c r="K295" s="52"/>
    </row>
    <row r="296" customFormat="false" ht="15.75" hidden="false" customHeight="false" outlineLevel="0" collapsed="false">
      <c r="B296" s="50"/>
      <c r="C296" s="51"/>
      <c r="D296" s="52"/>
      <c r="E296" s="52"/>
      <c r="F296" s="52"/>
      <c r="G296" s="51"/>
      <c r="H296" s="52"/>
      <c r="I296" s="52"/>
      <c r="J296" s="52"/>
      <c r="K296" s="52"/>
    </row>
    <row r="297" customFormat="false" ht="15.75" hidden="false" customHeight="false" outlineLevel="0" collapsed="false">
      <c r="B297" s="50"/>
      <c r="C297" s="51"/>
      <c r="D297" s="52"/>
      <c r="E297" s="52"/>
      <c r="F297" s="52"/>
      <c r="G297" s="51"/>
      <c r="H297" s="52"/>
      <c r="I297" s="52"/>
      <c r="J297" s="52"/>
      <c r="K297" s="52"/>
    </row>
    <row r="298" customFormat="false" ht="15.75" hidden="false" customHeight="false" outlineLevel="0" collapsed="false">
      <c r="B298" s="50"/>
      <c r="C298" s="51"/>
      <c r="D298" s="52"/>
      <c r="E298" s="52"/>
      <c r="F298" s="52"/>
      <c r="G298" s="51"/>
      <c r="H298" s="52"/>
      <c r="I298" s="52"/>
      <c r="J298" s="52"/>
      <c r="K298" s="52"/>
    </row>
    <row r="299" customFormat="false" ht="15.75" hidden="false" customHeight="false" outlineLevel="0" collapsed="false">
      <c r="B299" s="50"/>
      <c r="C299" s="51"/>
      <c r="D299" s="52"/>
      <c r="E299" s="52"/>
      <c r="F299" s="52"/>
      <c r="G299" s="51"/>
      <c r="H299" s="52"/>
      <c r="I299" s="52"/>
      <c r="J299" s="52"/>
      <c r="K299" s="52"/>
    </row>
    <row r="300" customFormat="false" ht="15.75" hidden="false" customHeight="false" outlineLevel="0" collapsed="false">
      <c r="B300" s="50"/>
      <c r="C300" s="51"/>
      <c r="D300" s="52"/>
      <c r="E300" s="52"/>
      <c r="F300" s="52"/>
      <c r="G300" s="51"/>
      <c r="H300" s="52"/>
      <c r="I300" s="52"/>
      <c r="J300" s="52"/>
      <c r="K300" s="52"/>
    </row>
    <row r="301" customFormat="false" ht="15.75" hidden="false" customHeight="false" outlineLevel="0" collapsed="false">
      <c r="B301" s="50"/>
      <c r="C301" s="51"/>
      <c r="D301" s="52"/>
      <c r="E301" s="52"/>
      <c r="F301" s="52"/>
      <c r="G301" s="51"/>
      <c r="H301" s="52"/>
      <c r="I301" s="52"/>
      <c r="J301" s="52"/>
      <c r="K301" s="52"/>
    </row>
    <row r="302" customFormat="false" ht="15.75" hidden="false" customHeight="false" outlineLevel="0" collapsed="false">
      <c r="B302" s="50"/>
      <c r="C302" s="51"/>
      <c r="D302" s="52"/>
      <c r="E302" s="52"/>
      <c r="F302" s="52"/>
      <c r="G302" s="51"/>
      <c r="H302" s="52"/>
      <c r="I302" s="52"/>
      <c r="J302" s="52"/>
      <c r="K302" s="52"/>
    </row>
    <row r="303" customFormat="false" ht="15.75" hidden="false" customHeight="false" outlineLevel="0" collapsed="false">
      <c r="B303" s="50"/>
      <c r="C303" s="51"/>
      <c r="D303" s="52"/>
      <c r="E303" s="52"/>
      <c r="F303" s="52"/>
      <c r="G303" s="51"/>
      <c r="H303" s="52"/>
      <c r="I303" s="52"/>
      <c r="J303" s="52"/>
      <c r="K303" s="52"/>
    </row>
    <row r="304" customFormat="false" ht="15.75" hidden="false" customHeight="false" outlineLevel="0" collapsed="false">
      <c r="B304" s="50"/>
      <c r="C304" s="51"/>
      <c r="D304" s="52"/>
      <c r="E304" s="52"/>
      <c r="F304" s="52"/>
      <c r="G304" s="51"/>
      <c r="H304" s="52"/>
      <c r="I304" s="52"/>
      <c r="J304" s="52"/>
      <c r="K304" s="52"/>
    </row>
    <row r="305" customFormat="false" ht="15.75" hidden="false" customHeight="false" outlineLevel="0" collapsed="false">
      <c r="B305" s="50"/>
      <c r="C305" s="51"/>
      <c r="D305" s="52"/>
      <c r="E305" s="52"/>
      <c r="F305" s="52"/>
      <c r="G305" s="51"/>
      <c r="H305" s="52"/>
      <c r="I305" s="52"/>
      <c r="J305" s="52"/>
      <c r="K305" s="52"/>
    </row>
    <row r="306" customFormat="false" ht="15.75" hidden="false" customHeight="false" outlineLevel="0" collapsed="false">
      <c r="B306" s="50"/>
      <c r="C306" s="51"/>
      <c r="D306" s="52"/>
      <c r="E306" s="52"/>
      <c r="F306" s="52"/>
      <c r="G306" s="51"/>
      <c r="H306" s="52"/>
      <c r="I306" s="52"/>
      <c r="J306" s="52"/>
      <c r="K306" s="52"/>
    </row>
    <row r="307" customFormat="false" ht="15.75" hidden="false" customHeight="false" outlineLevel="0" collapsed="false">
      <c r="B307" s="50"/>
      <c r="C307" s="51"/>
      <c r="D307" s="52"/>
      <c r="E307" s="52"/>
      <c r="F307" s="52"/>
      <c r="G307" s="51"/>
      <c r="H307" s="52"/>
      <c r="I307" s="52"/>
      <c r="J307" s="52"/>
      <c r="K307" s="52"/>
    </row>
    <row r="308" customFormat="false" ht="15.75" hidden="false" customHeight="false" outlineLevel="0" collapsed="false">
      <c r="B308" s="50"/>
      <c r="C308" s="51"/>
      <c r="D308" s="52"/>
      <c r="E308" s="52"/>
      <c r="F308" s="52"/>
      <c r="G308" s="51"/>
      <c r="H308" s="52"/>
      <c r="I308" s="52"/>
      <c r="J308" s="52"/>
      <c r="K308" s="52"/>
    </row>
    <row r="309" customFormat="false" ht="15.75" hidden="false" customHeight="false" outlineLevel="0" collapsed="false">
      <c r="B309" s="50"/>
      <c r="C309" s="51"/>
      <c r="D309" s="52"/>
      <c r="E309" s="52"/>
      <c r="F309" s="52"/>
      <c r="G309" s="51"/>
      <c r="H309" s="52"/>
      <c r="I309" s="52"/>
      <c r="J309" s="52"/>
      <c r="K309" s="52"/>
    </row>
    <row r="310" customFormat="false" ht="15.75" hidden="false" customHeight="false" outlineLevel="0" collapsed="false">
      <c r="B310" s="50"/>
      <c r="C310" s="51"/>
      <c r="D310" s="52"/>
      <c r="E310" s="52"/>
      <c r="F310" s="52"/>
      <c r="G310" s="51"/>
      <c r="H310" s="52"/>
      <c r="I310" s="52"/>
      <c r="J310" s="52"/>
      <c r="K310" s="52"/>
    </row>
    <row r="311" customFormat="false" ht="15.75" hidden="false" customHeight="false" outlineLevel="0" collapsed="false">
      <c r="B311" s="50"/>
      <c r="C311" s="51"/>
      <c r="D311" s="52"/>
      <c r="E311" s="52"/>
      <c r="F311" s="52"/>
      <c r="G311" s="51"/>
      <c r="H311" s="52"/>
      <c r="I311" s="52"/>
      <c r="J311" s="52"/>
      <c r="K311" s="52"/>
    </row>
    <row r="312" customFormat="false" ht="15.75" hidden="false" customHeight="false" outlineLevel="0" collapsed="false">
      <c r="B312" s="50"/>
      <c r="C312" s="51"/>
      <c r="D312" s="52"/>
      <c r="E312" s="52"/>
      <c r="F312" s="52"/>
      <c r="G312" s="51"/>
      <c r="H312" s="52"/>
      <c r="I312" s="52"/>
      <c r="J312" s="52"/>
      <c r="K312" s="52"/>
    </row>
    <row r="313" customFormat="false" ht="15.75" hidden="false" customHeight="false" outlineLevel="0" collapsed="false">
      <c r="B313" s="50"/>
      <c r="C313" s="51"/>
      <c r="D313" s="52"/>
      <c r="E313" s="52"/>
      <c r="F313" s="52"/>
      <c r="G313" s="51"/>
      <c r="H313" s="52"/>
      <c r="I313" s="52"/>
      <c r="J313" s="52"/>
      <c r="K313" s="52"/>
    </row>
    <row r="314" customFormat="false" ht="15.75" hidden="false" customHeight="false" outlineLevel="0" collapsed="false">
      <c r="B314" s="50"/>
      <c r="C314" s="51"/>
      <c r="D314" s="52"/>
      <c r="E314" s="52"/>
      <c r="F314" s="52"/>
      <c r="G314" s="51"/>
      <c r="H314" s="52"/>
      <c r="I314" s="52"/>
      <c r="J314" s="52"/>
      <c r="K314" s="52"/>
    </row>
    <row r="315" customFormat="false" ht="15.75" hidden="false" customHeight="false" outlineLevel="0" collapsed="false">
      <c r="B315" s="50"/>
      <c r="C315" s="51"/>
      <c r="D315" s="52"/>
      <c r="E315" s="52"/>
      <c r="F315" s="52"/>
      <c r="G315" s="51"/>
      <c r="H315" s="52"/>
      <c r="I315" s="52"/>
      <c r="J315" s="52"/>
      <c r="K315" s="52"/>
    </row>
    <row r="316" customFormat="false" ht="15.75" hidden="false" customHeight="false" outlineLevel="0" collapsed="false">
      <c r="B316" s="50"/>
      <c r="C316" s="51"/>
      <c r="D316" s="52"/>
      <c r="E316" s="52"/>
      <c r="F316" s="52"/>
      <c r="G316" s="51"/>
      <c r="H316" s="52"/>
      <c r="I316" s="52"/>
      <c r="J316" s="52"/>
      <c r="K316" s="52"/>
    </row>
    <row r="317" customFormat="false" ht="15.75" hidden="false" customHeight="false" outlineLevel="0" collapsed="false">
      <c r="B317" s="50"/>
      <c r="C317" s="51"/>
      <c r="D317" s="52"/>
      <c r="E317" s="52"/>
      <c r="F317" s="52"/>
      <c r="G317" s="51"/>
      <c r="H317" s="52"/>
      <c r="I317" s="52"/>
      <c r="J317" s="52"/>
      <c r="K317" s="52"/>
    </row>
    <row r="318" customFormat="false" ht="15.75" hidden="false" customHeight="false" outlineLevel="0" collapsed="false">
      <c r="B318" s="50"/>
      <c r="C318" s="51"/>
      <c r="D318" s="52"/>
      <c r="E318" s="52"/>
      <c r="F318" s="52"/>
      <c r="G318" s="51"/>
      <c r="H318" s="52"/>
      <c r="I318" s="52"/>
      <c r="J318" s="52"/>
      <c r="K318" s="52"/>
    </row>
    <row r="319" customFormat="false" ht="15.75" hidden="false" customHeight="false" outlineLevel="0" collapsed="false">
      <c r="B319" s="50"/>
      <c r="C319" s="51"/>
      <c r="D319" s="52"/>
      <c r="E319" s="52"/>
      <c r="F319" s="52"/>
      <c r="G319" s="51"/>
      <c r="H319" s="52"/>
      <c r="I319" s="52"/>
      <c r="J319" s="52"/>
      <c r="K319" s="52"/>
    </row>
    <row r="320" customFormat="false" ht="15.75" hidden="false" customHeight="false" outlineLevel="0" collapsed="false">
      <c r="B320" s="50"/>
      <c r="C320" s="51"/>
      <c r="D320" s="52"/>
      <c r="E320" s="52"/>
      <c r="F320" s="52"/>
      <c r="G320" s="51"/>
      <c r="H320" s="52"/>
      <c r="I320" s="52"/>
      <c r="J320" s="52"/>
      <c r="K320" s="52"/>
    </row>
    <row r="321" customFormat="false" ht="15.75" hidden="false" customHeight="false" outlineLevel="0" collapsed="false">
      <c r="B321" s="50"/>
      <c r="C321" s="51"/>
      <c r="D321" s="52"/>
      <c r="E321" s="52"/>
      <c r="F321" s="52"/>
      <c r="G321" s="51"/>
      <c r="H321" s="52"/>
      <c r="I321" s="52"/>
      <c r="J321" s="52"/>
      <c r="K321" s="52"/>
    </row>
    <row r="322" customFormat="false" ht="15.75" hidden="false" customHeight="false" outlineLevel="0" collapsed="false">
      <c r="B322" s="50"/>
      <c r="C322" s="51"/>
      <c r="D322" s="52"/>
      <c r="E322" s="52"/>
      <c r="F322" s="52"/>
      <c r="G322" s="51"/>
      <c r="H322" s="52"/>
      <c r="I322" s="52"/>
      <c r="J322" s="52"/>
      <c r="K322" s="52"/>
    </row>
    <row r="323" customFormat="false" ht="15.75" hidden="false" customHeight="false" outlineLevel="0" collapsed="false">
      <c r="B323" s="50"/>
      <c r="C323" s="51"/>
      <c r="D323" s="52"/>
      <c r="E323" s="52"/>
      <c r="F323" s="52"/>
      <c r="G323" s="51"/>
      <c r="H323" s="52"/>
      <c r="I323" s="52"/>
      <c r="J323" s="52"/>
      <c r="K323" s="52"/>
    </row>
    <row r="324" customFormat="false" ht="15.75" hidden="false" customHeight="false" outlineLevel="0" collapsed="false">
      <c r="B324" s="50"/>
      <c r="C324" s="51"/>
      <c r="D324" s="52"/>
      <c r="E324" s="52"/>
      <c r="F324" s="52"/>
      <c r="G324" s="51"/>
      <c r="H324" s="52"/>
      <c r="I324" s="52"/>
      <c r="J324" s="52"/>
      <c r="K324" s="52"/>
    </row>
    <row r="325" customFormat="false" ht="15.75" hidden="false" customHeight="false" outlineLevel="0" collapsed="false">
      <c r="B325" s="50"/>
      <c r="C325" s="51"/>
      <c r="D325" s="52"/>
      <c r="E325" s="52"/>
      <c r="F325" s="52"/>
      <c r="G325" s="51"/>
      <c r="H325" s="52"/>
      <c r="I325" s="52"/>
      <c r="J325" s="52"/>
      <c r="K325" s="52"/>
    </row>
    <row r="326" customFormat="false" ht="15.75" hidden="false" customHeight="false" outlineLevel="0" collapsed="false">
      <c r="B326" s="50"/>
      <c r="C326" s="51"/>
      <c r="D326" s="52"/>
      <c r="E326" s="52"/>
      <c r="F326" s="52"/>
      <c r="G326" s="51"/>
      <c r="H326" s="52"/>
      <c r="I326" s="52"/>
      <c r="J326" s="52"/>
      <c r="K326" s="52"/>
    </row>
    <row r="327" customFormat="false" ht="15.75" hidden="false" customHeight="false" outlineLevel="0" collapsed="false">
      <c r="B327" s="50"/>
      <c r="C327" s="51"/>
      <c r="D327" s="52"/>
      <c r="E327" s="52"/>
      <c r="F327" s="52"/>
      <c r="G327" s="51"/>
      <c r="H327" s="52"/>
      <c r="I327" s="52"/>
      <c r="J327" s="52"/>
      <c r="K327" s="52"/>
    </row>
    <row r="328" customFormat="false" ht="15.75" hidden="false" customHeight="false" outlineLevel="0" collapsed="false">
      <c r="B328" s="50"/>
      <c r="C328" s="51"/>
      <c r="D328" s="52"/>
      <c r="E328" s="52"/>
      <c r="F328" s="52"/>
      <c r="G328" s="51"/>
      <c r="H328" s="52"/>
      <c r="I328" s="52"/>
      <c r="J328" s="52"/>
      <c r="K328" s="52"/>
    </row>
    <row r="329" customFormat="false" ht="15.75" hidden="false" customHeight="false" outlineLevel="0" collapsed="false">
      <c r="B329" s="50"/>
      <c r="C329" s="51"/>
      <c r="D329" s="52"/>
      <c r="E329" s="52"/>
      <c r="F329" s="52"/>
      <c r="G329" s="51"/>
      <c r="H329" s="52"/>
      <c r="I329" s="52"/>
      <c r="J329" s="52"/>
      <c r="K329" s="52"/>
    </row>
    <row r="330" customFormat="false" ht="15.75" hidden="false" customHeight="false" outlineLevel="0" collapsed="false">
      <c r="B330" s="50"/>
      <c r="C330" s="51"/>
      <c r="D330" s="52"/>
      <c r="E330" s="52"/>
      <c r="F330" s="52"/>
      <c r="G330" s="51"/>
      <c r="H330" s="52"/>
      <c r="I330" s="52"/>
      <c r="J330" s="52"/>
      <c r="K330" s="52"/>
    </row>
    <row r="331" customFormat="false" ht="15.75" hidden="false" customHeight="false" outlineLevel="0" collapsed="false">
      <c r="B331" s="50"/>
      <c r="C331" s="51"/>
      <c r="D331" s="52"/>
      <c r="E331" s="52"/>
      <c r="F331" s="52"/>
      <c r="G331" s="51"/>
      <c r="H331" s="52"/>
      <c r="I331" s="52"/>
      <c r="J331" s="52"/>
      <c r="K331" s="52"/>
    </row>
    <row r="332" customFormat="false" ht="15.75" hidden="false" customHeight="false" outlineLevel="0" collapsed="false">
      <c r="B332" s="50"/>
      <c r="C332" s="51"/>
      <c r="D332" s="52"/>
      <c r="E332" s="52"/>
      <c r="F332" s="52"/>
      <c r="G332" s="51"/>
      <c r="H332" s="52"/>
      <c r="I332" s="52"/>
      <c r="J332" s="52"/>
      <c r="K332" s="52"/>
    </row>
    <row r="333" customFormat="false" ht="15.75" hidden="false" customHeight="false" outlineLevel="0" collapsed="false">
      <c r="B333" s="50"/>
      <c r="C333" s="51"/>
      <c r="D333" s="52"/>
      <c r="E333" s="52"/>
      <c r="F333" s="52"/>
      <c r="G333" s="51"/>
      <c r="H333" s="52"/>
      <c r="I333" s="52"/>
      <c r="J333" s="52"/>
      <c r="K333" s="52"/>
    </row>
    <row r="334" customFormat="false" ht="15.75" hidden="false" customHeight="false" outlineLevel="0" collapsed="false">
      <c r="B334" s="50"/>
      <c r="C334" s="51"/>
      <c r="D334" s="52"/>
      <c r="E334" s="52"/>
      <c r="F334" s="52"/>
      <c r="G334" s="51"/>
      <c r="H334" s="52"/>
      <c r="I334" s="52"/>
      <c r="J334" s="52"/>
      <c r="K334" s="52"/>
    </row>
    <row r="335" customFormat="false" ht="15.75" hidden="false" customHeight="false" outlineLevel="0" collapsed="false">
      <c r="B335" s="50"/>
      <c r="C335" s="51"/>
      <c r="D335" s="52"/>
      <c r="E335" s="52"/>
      <c r="F335" s="52"/>
      <c r="G335" s="51"/>
      <c r="H335" s="52"/>
      <c r="I335" s="52"/>
      <c r="J335" s="52"/>
      <c r="K335" s="52"/>
    </row>
    <row r="336" customFormat="false" ht="15.75" hidden="false" customHeight="false" outlineLevel="0" collapsed="false">
      <c r="B336" s="50"/>
      <c r="C336" s="51"/>
      <c r="D336" s="52"/>
      <c r="E336" s="52"/>
      <c r="F336" s="52"/>
      <c r="G336" s="51"/>
      <c r="H336" s="52"/>
      <c r="I336" s="52"/>
      <c r="J336" s="52"/>
      <c r="K336" s="52"/>
    </row>
    <row r="337" customFormat="false" ht="15.75" hidden="false" customHeight="false" outlineLevel="0" collapsed="false">
      <c r="B337" s="50"/>
      <c r="C337" s="51"/>
      <c r="D337" s="52"/>
      <c r="E337" s="52"/>
      <c r="F337" s="52"/>
      <c r="G337" s="51"/>
      <c r="H337" s="52"/>
      <c r="I337" s="52"/>
      <c r="J337" s="52"/>
      <c r="K337" s="52"/>
    </row>
    <row r="338" customFormat="false" ht="15.75" hidden="false" customHeight="false" outlineLevel="0" collapsed="false">
      <c r="B338" s="50"/>
      <c r="C338" s="51"/>
      <c r="D338" s="52"/>
      <c r="E338" s="52"/>
      <c r="F338" s="52"/>
      <c r="G338" s="51"/>
      <c r="H338" s="52"/>
      <c r="I338" s="52"/>
      <c r="J338" s="52"/>
      <c r="K338" s="52"/>
    </row>
    <row r="339" customFormat="false" ht="15.75" hidden="false" customHeight="false" outlineLevel="0" collapsed="false">
      <c r="B339" s="50"/>
      <c r="C339" s="51"/>
      <c r="D339" s="52"/>
      <c r="E339" s="52"/>
      <c r="F339" s="52"/>
      <c r="G339" s="51"/>
      <c r="H339" s="52"/>
      <c r="I339" s="52"/>
      <c r="J339" s="52"/>
      <c r="K339" s="52"/>
    </row>
    <row r="340" customFormat="false" ht="15.75" hidden="false" customHeight="false" outlineLevel="0" collapsed="false">
      <c r="B340" s="50"/>
      <c r="C340" s="51"/>
      <c r="D340" s="52"/>
      <c r="E340" s="52"/>
      <c r="F340" s="52"/>
      <c r="G340" s="51"/>
      <c r="H340" s="52"/>
      <c r="I340" s="52"/>
      <c r="J340" s="52"/>
      <c r="K340" s="52"/>
    </row>
    <row r="341" customFormat="false" ht="15.75" hidden="false" customHeight="false" outlineLevel="0" collapsed="false">
      <c r="B341" s="50"/>
      <c r="C341" s="51"/>
      <c r="D341" s="52"/>
      <c r="E341" s="52"/>
      <c r="F341" s="52"/>
      <c r="G341" s="51"/>
      <c r="H341" s="52"/>
      <c r="I341" s="52"/>
      <c r="J341" s="52"/>
      <c r="K341" s="52"/>
    </row>
    <row r="342" customFormat="false" ht="15.75" hidden="false" customHeight="false" outlineLevel="0" collapsed="false">
      <c r="B342" s="50"/>
      <c r="C342" s="51"/>
      <c r="D342" s="52"/>
      <c r="E342" s="52"/>
      <c r="F342" s="52"/>
      <c r="G342" s="51"/>
      <c r="H342" s="52"/>
      <c r="I342" s="52"/>
      <c r="J342" s="52"/>
      <c r="K342" s="52"/>
    </row>
    <row r="343" customFormat="false" ht="15.75" hidden="false" customHeight="false" outlineLevel="0" collapsed="false">
      <c r="B343" s="50"/>
      <c r="C343" s="51"/>
      <c r="D343" s="52"/>
      <c r="E343" s="52"/>
      <c r="F343" s="52"/>
      <c r="G343" s="51"/>
      <c r="H343" s="52"/>
      <c r="I343" s="52"/>
      <c r="J343" s="52"/>
      <c r="K343" s="52"/>
    </row>
    <row r="344" customFormat="false" ht="15.75" hidden="false" customHeight="false" outlineLevel="0" collapsed="false">
      <c r="B344" s="50"/>
      <c r="C344" s="51"/>
      <c r="D344" s="52"/>
      <c r="E344" s="52"/>
      <c r="F344" s="52"/>
      <c r="G344" s="51"/>
      <c r="H344" s="52"/>
      <c r="I344" s="52"/>
      <c r="J344" s="52"/>
      <c r="K344" s="52"/>
    </row>
    <row r="345" customFormat="false" ht="15.75" hidden="false" customHeight="false" outlineLevel="0" collapsed="false">
      <c r="B345" s="50"/>
      <c r="C345" s="51"/>
      <c r="D345" s="52"/>
      <c r="E345" s="52"/>
      <c r="F345" s="52"/>
      <c r="G345" s="51"/>
      <c r="H345" s="52"/>
      <c r="I345" s="52"/>
      <c r="J345" s="52"/>
      <c r="K345" s="52"/>
    </row>
    <row r="346" customFormat="false" ht="15.75" hidden="false" customHeight="false" outlineLevel="0" collapsed="false">
      <c r="B346" s="50"/>
      <c r="C346" s="51"/>
      <c r="D346" s="52"/>
      <c r="E346" s="52"/>
      <c r="F346" s="52"/>
      <c r="G346" s="51"/>
      <c r="H346" s="52"/>
      <c r="I346" s="52"/>
      <c r="J346" s="52"/>
      <c r="K346" s="52"/>
    </row>
    <row r="347" customFormat="false" ht="15.75" hidden="false" customHeight="false" outlineLevel="0" collapsed="false">
      <c r="B347" s="50"/>
      <c r="C347" s="51"/>
      <c r="D347" s="52"/>
      <c r="E347" s="52"/>
      <c r="F347" s="52"/>
      <c r="G347" s="51"/>
      <c r="H347" s="52"/>
      <c r="I347" s="52"/>
      <c r="J347" s="52"/>
      <c r="K347" s="52"/>
    </row>
    <row r="348" customFormat="false" ht="15.75" hidden="false" customHeight="false" outlineLevel="0" collapsed="false">
      <c r="B348" s="50"/>
      <c r="C348" s="51"/>
      <c r="D348" s="52"/>
      <c r="E348" s="52"/>
      <c r="F348" s="52"/>
      <c r="G348" s="51"/>
      <c r="H348" s="52"/>
      <c r="I348" s="52"/>
      <c r="J348" s="52"/>
      <c r="K348" s="52"/>
    </row>
    <row r="349" customFormat="false" ht="15.75" hidden="false" customHeight="false" outlineLevel="0" collapsed="false">
      <c r="B349" s="50"/>
      <c r="C349" s="51"/>
      <c r="D349" s="52"/>
      <c r="E349" s="52"/>
      <c r="F349" s="52"/>
      <c r="G349" s="51"/>
      <c r="H349" s="52"/>
      <c r="I349" s="52"/>
      <c r="J349" s="52"/>
      <c r="K349" s="52"/>
    </row>
    <row r="350" customFormat="false" ht="15.75" hidden="false" customHeight="false" outlineLevel="0" collapsed="false">
      <c r="B350" s="50"/>
      <c r="C350" s="51"/>
      <c r="D350" s="52"/>
      <c r="E350" s="52"/>
      <c r="F350" s="52"/>
      <c r="G350" s="51"/>
      <c r="H350" s="52"/>
      <c r="I350" s="52"/>
      <c r="J350" s="52"/>
      <c r="K350" s="52"/>
    </row>
    <row r="351" customFormat="false" ht="15.75" hidden="false" customHeight="false" outlineLevel="0" collapsed="false">
      <c r="B351" s="50"/>
      <c r="C351" s="51"/>
      <c r="D351" s="52"/>
      <c r="E351" s="52"/>
      <c r="F351" s="52"/>
      <c r="G351" s="51"/>
      <c r="H351" s="52"/>
      <c r="I351" s="52"/>
      <c r="J351" s="52"/>
      <c r="K351" s="52"/>
    </row>
    <row r="352" customFormat="false" ht="15.75" hidden="false" customHeight="false" outlineLevel="0" collapsed="false">
      <c r="B352" s="50"/>
      <c r="C352" s="51"/>
      <c r="D352" s="52"/>
      <c r="E352" s="52"/>
      <c r="F352" s="52"/>
      <c r="G352" s="51"/>
      <c r="H352" s="52"/>
      <c r="I352" s="52"/>
      <c r="J352" s="52"/>
      <c r="K352" s="52"/>
    </row>
    <row r="353" customFormat="false" ht="15.75" hidden="false" customHeight="false" outlineLevel="0" collapsed="false">
      <c r="B353" s="50"/>
      <c r="C353" s="51"/>
      <c r="D353" s="52"/>
      <c r="E353" s="52"/>
      <c r="F353" s="52"/>
      <c r="G353" s="51"/>
      <c r="H353" s="52"/>
      <c r="I353" s="52"/>
      <c r="J353" s="52"/>
      <c r="K353" s="52"/>
    </row>
    <row r="354" customFormat="false" ht="15.75" hidden="false" customHeight="false" outlineLevel="0" collapsed="false">
      <c r="B354" s="50"/>
      <c r="C354" s="51"/>
      <c r="D354" s="52"/>
      <c r="E354" s="52"/>
      <c r="F354" s="52"/>
      <c r="G354" s="51"/>
      <c r="H354" s="52"/>
      <c r="I354" s="52"/>
      <c r="J354" s="52"/>
      <c r="K354" s="52"/>
    </row>
    <row r="355" customFormat="false" ht="15.75" hidden="false" customHeight="false" outlineLevel="0" collapsed="false">
      <c r="B355" s="50"/>
      <c r="C355" s="51"/>
      <c r="D355" s="52"/>
      <c r="E355" s="52"/>
      <c r="F355" s="52"/>
      <c r="G355" s="51"/>
      <c r="H355" s="52"/>
      <c r="I355" s="52"/>
      <c r="J355" s="52"/>
      <c r="K355" s="52"/>
    </row>
    <row r="356" customFormat="false" ht="15.75" hidden="false" customHeight="false" outlineLevel="0" collapsed="false">
      <c r="B356" s="50"/>
      <c r="C356" s="51"/>
      <c r="D356" s="52"/>
      <c r="E356" s="52"/>
      <c r="F356" s="52"/>
      <c r="G356" s="51"/>
      <c r="H356" s="52"/>
      <c r="I356" s="52"/>
      <c r="J356" s="52"/>
      <c r="K356" s="52"/>
    </row>
    <row r="357" customFormat="false" ht="15.75" hidden="false" customHeight="false" outlineLevel="0" collapsed="false">
      <c r="B357" s="50"/>
      <c r="C357" s="51"/>
      <c r="D357" s="52"/>
      <c r="E357" s="52"/>
      <c r="F357" s="52"/>
      <c r="G357" s="51"/>
      <c r="H357" s="52"/>
      <c r="I357" s="52"/>
      <c r="J357" s="52"/>
      <c r="K357" s="52"/>
    </row>
    <row r="358" customFormat="false" ht="15.75" hidden="false" customHeight="false" outlineLevel="0" collapsed="false">
      <c r="B358" s="50"/>
      <c r="C358" s="51"/>
      <c r="D358" s="52"/>
      <c r="E358" s="52"/>
      <c r="F358" s="52"/>
      <c r="G358" s="51"/>
      <c r="H358" s="52"/>
      <c r="I358" s="52"/>
      <c r="J358" s="52"/>
      <c r="K358" s="52"/>
    </row>
    <row r="359" customFormat="false" ht="15.75" hidden="false" customHeight="false" outlineLevel="0" collapsed="false">
      <c r="B359" s="50"/>
      <c r="C359" s="51"/>
      <c r="D359" s="52"/>
      <c r="E359" s="52"/>
      <c r="F359" s="52"/>
      <c r="G359" s="51"/>
      <c r="H359" s="52"/>
      <c r="I359" s="52"/>
      <c r="J359" s="52"/>
      <c r="K359" s="52"/>
    </row>
    <row r="360" customFormat="false" ht="15.75" hidden="false" customHeight="false" outlineLevel="0" collapsed="false">
      <c r="B360" s="50"/>
      <c r="C360" s="51"/>
      <c r="D360" s="52"/>
      <c r="E360" s="52"/>
      <c r="F360" s="52"/>
      <c r="G360" s="51"/>
      <c r="H360" s="52"/>
      <c r="I360" s="52"/>
      <c r="J360" s="52"/>
      <c r="K360" s="52"/>
    </row>
    <row r="361" customFormat="false" ht="15.75" hidden="false" customHeight="false" outlineLevel="0" collapsed="false">
      <c r="B361" s="50"/>
      <c r="C361" s="51"/>
      <c r="D361" s="52"/>
      <c r="E361" s="52"/>
      <c r="F361" s="52"/>
      <c r="G361" s="51"/>
      <c r="H361" s="52"/>
      <c r="I361" s="52"/>
      <c r="J361" s="52"/>
      <c r="K361" s="52"/>
    </row>
    <row r="362" customFormat="false" ht="15.75" hidden="false" customHeight="false" outlineLevel="0" collapsed="false">
      <c r="B362" s="50"/>
      <c r="C362" s="51"/>
      <c r="D362" s="52"/>
      <c r="E362" s="52"/>
      <c r="F362" s="52"/>
      <c r="G362" s="51"/>
      <c r="H362" s="52"/>
      <c r="I362" s="52"/>
      <c r="J362" s="52"/>
      <c r="K362" s="52"/>
    </row>
    <row r="363" customFormat="false" ht="15.75" hidden="false" customHeight="false" outlineLevel="0" collapsed="false">
      <c r="B363" s="50"/>
      <c r="C363" s="51"/>
      <c r="D363" s="52"/>
      <c r="E363" s="52"/>
      <c r="F363" s="52"/>
      <c r="G363" s="51"/>
      <c r="H363" s="52"/>
      <c r="I363" s="52"/>
      <c r="J363" s="52"/>
      <c r="K363" s="52"/>
    </row>
    <row r="364" customFormat="false" ht="15.75" hidden="false" customHeight="false" outlineLevel="0" collapsed="false">
      <c r="B364" s="50"/>
      <c r="C364" s="51"/>
      <c r="D364" s="52"/>
      <c r="E364" s="52"/>
      <c r="F364" s="52"/>
      <c r="G364" s="51"/>
      <c r="H364" s="52"/>
      <c r="I364" s="52"/>
      <c r="J364" s="52"/>
      <c r="K364" s="52"/>
    </row>
    <row r="365" customFormat="false" ht="15.75" hidden="false" customHeight="false" outlineLevel="0" collapsed="false">
      <c r="B365" s="50"/>
      <c r="C365" s="51"/>
      <c r="D365" s="52"/>
      <c r="E365" s="52"/>
      <c r="F365" s="52"/>
      <c r="G365" s="51"/>
      <c r="H365" s="52"/>
      <c r="I365" s="52"/>
      <c r="J365" s="52"/>
      <c r="K365" s="52"/>
    </row>
    <row r="366" customFormat="false" ht="15.75" hidden="false" customHeight="false" outlineLevel="0" collapsed="false">
      <c r="B366" s="50"/>
      <c r="C366" s="51"/>
      <c r="D366" s="52"/>
      <c r="E366" s="52"/>
      <c r="F366" s="52"/>
      <c r="G366" s="51"/>
      <c r="H366" s="52"/>
      <c r="I366" s="52"/>
      <c r="J366" s="52"/>
      <c r="K366" s="52"/>
    </row>
    <row r="367" customFormat="false" ht="15.75" hidden="false" customHeight="false" outlineLevel="0" collapsed="false">
      <c r="B367" s="50"/>
      <c r="C367" s="51"/>
      <c r="D367" s="52"/>
      <c r="E367" s="52"/>
      <c r="F367" s="52"/>
      <c r="G367" s="51"/>
      <c r="H367" s="52"/>
      <c r="I367" s="52"/>
      <c r="J367" s="52"/>
      <c r="K367" s="52"/>
    </row>
    <row r="368" customFormat="false" ht="15.75" hidden="false" customHeight="false" outlineLevel="0" collapsed="false">
      <c r="B368" s="50"/>
      <c r="C368" s="51"/>
      <c r="D368" s="52"/>
      <c r="E368" s="52"/>
      <c r="F368" s="52"/>
      <c r="G368" s="51"/>
      <c r="H368" s="52"/>
      <c r="I368" s="52"/>
      <c r="J368" s="52"/>
      <c r="K368" s="52"/>
    </row>
    <row r="369" customFormat="false" ht="15.75" hidden="false" customHeight="false" outlineLevel="0" collapsed="false">
      <c r="B369" s="50"/>
      <c r="C369" s="51"/>
      <c r="D369" s="52"/>
      <c r="E369" s="52"/>
      <c r="F369" s="52"/>
      <c r="G369" s="51"/>
      <c r="H369" s="52"/>
      <c r="I369" s="52"/>
      <c r="J369" s="52"/>
      <c r="K369" s="52"/>
    </row>
    <row r="370" customFormat="false" ht="15.75" hidden="false" customHeight="false" outlineLevel="0" collapsed="false">
      <c r="B370" s="50"/>
      <c r="C370" s="51"/>
      <c r="D370" s="52"/>
      <c r="E370" s="52"/>
      <c r="F370" s="52"/>
      <c r="G370" s="51"/>
      <c r="H370" s="52"/>
      <c r="I370" s="52"/>
      <c r="J370" s="52"/>
      <c r="K370" s="52"/>
    </row>
    <row r="371" customFormat="false" ht="15.75" hidden="false" customHeight="false" outlineLevel="0" collapsed="false">
      <c r="B371" s="50"/>
      <c r="C371" s="51"/>
      <c r="D371" s="52"/>
      <c r="E371" s="52"/>
      <c r="F371" s="52"/>
      <c r="G371" s="51"/>
      <c r="H371" s="52"/>
      <c r="I371" s="52"/>
      <c r="J371" s="52"/>
      <c r="K371" s="52"/>
    </row>
    <row r="372" customFormat="false" ht="15.75" hidden="false" customHeight="false" outlineLevel="0" collapsed="false">
      <c r="B372" s="50"/>
      <c r="C372" s="51"/>
      <c r="D372" s="52"/>
      <c r="E372" s="52"/>
      <c r="F372" s="52"/>
      <c r="G372" s="51"/>
      <c r="H372" s="52"/>
      <c r="I372" s="52"/>
      <c r="J372" s="52"/>
      <c r="K372" s="52"/>
    </row>
    <row r="373" customFormat="false" ht="15.75" hidden="false" customHeight="false" outlineLevel="0" collapsed="false">
      <c r="B373" s="50"/>
      <c r="C373" s="51"/>
      <c r="D373" s="52"/>
      <c r="E373" s="52"/>
      <c r="F373" s="52"/>
      <c r="G373" s="51"/>
      <c r="H373" s="52"/>
      <c r="I373" s="52"/>
      <c r="J373" s="52"/>
      <c r="K373" s="52"/>
    </row>
    <row r="374" customFormat="false" ht="15.75" hidden="false" customHeight="false" outlineLevel="0" collapsed="false">
      <c r="B374" s="50"/>
      <c r="C374" s="51"/>
      <c r="D374" s="52"/>
      <c r="E374" s="52"/>
      <c r="F374" s="52"/>
      <c r="G374" s="51"/>
      <c r="H374" s="52"/>
      <c r="I374" s="52"/>
      <c r="J374" s="52"/>
      <c r="K374" s="52"/>
    </row>
    <row r="375" customFormat="false" ht="15.75" hidden="false" customHeight="false" outlineLevel="0" collapsed="false">
      <c r="B375" s="50"/>
      <c r="C375" s="51"/>
      <c r="D375" s="52"/>
      <c r="E375" s="52"/>
      <c r="F375" s="52"/>
      <c r="G375" s="51"/>
      <c r="H375" s="52"/>
      <c r="I375" s="52"/>
      <c r="J375" s="52"/>
      <c r="K375" s="52"/>
    </row>
    <row r="376" customFormat="false" ht="15.75" hidden="false" customHeight="false" outlineLevel="0" collapsed="false">
      <c r="B376" s="50"/>
      <c r="C376" s="51"/>
      <c r="D376" s="52"/>
      <c r="E376" s="52"/>
      <c r="F376" s="52"/>
      <c r="G376" s="51"/>
      <c r="H376" s="52"/>
      <c r="I376" s="52"/>
      <c r="J376" s="52"/>
      <c r="K376" s="52"/>
    </row>
    <row r="377" customFormat="false" ht="15.75" hidden="false" customHeight="false" outlineLevel="0" collapsed="false">
      <c r="B377" s="50"/>
      <c r="C377" s="51"/>
      <c r="D377" s="52"/>
      <c r="E377" s="52"/>
      <c r="F377" s="52"/>
      <c r="G377" s="51"/>
      <c r="H377" s="52"/>
      <c r="I377" s="52"/>
      <c r="J377" s="52"/>
      <c r="K377" s="52"/>
    </row>
    <row r="378" customFormat="false" ht="15.75" hidden="false" customHeight="false" outlineLevel="0" collapsed="false">
      <c r="B378" s="50"/>
      <c r="C378" s="51"/>
      <c r="D378" s="52"/>
      <c r="E378" s="52"/>
      <c r="F378" s="52"/>
      <c r="G378" s="51"/>
      <c r="H378" s="52"/>
      <c r="I378" s="52"/>
      <c r="J378" s="52"/>
      <c r="K378" s="52"/>
    </row>
    <row r="379" customFormat="false" ht="15.75" hidden="false" customHeight="false" outlineLevel="0" collapsed="false">
      <c r="B379" s="50"/>
      <c r="C379" s="51"/>
      <c r="D379" s="52"/>
      <c r="E379" s="52"/>
      <c r="F379" s="52"/>
      <c r="G379" s="51"/>
      <c r="H379" s="52"/>
      <c r="I379" s="52"/>
      <c r="J379" s="52"/>
      <c r="K379" s="52"/>
    </row>
    <row r="380" customFormat="false" ht="15.75" hidden="false" customHeight="false" outlineLevel="0" collapsed="false">
      <c r="B380" s="50"/>
      <c r="C380" s="51"/>
      <c r="D380" s="52"/>
      <c r="E380" s="52"/>
      <c r="F380" s="52"/>
      <c r="G380" s="51"/>
      <c r="H380" s="52"/>
      <c r="I380" s="52"/>
      <c r="J380" s="52"/>
      <c r="K380" s="52"/>
    </row>
    <row r="381" customFormat="false" ht="15.75" hidden="false" customHeight="false" outlineLevel="0" collapsed="false">
      <c r="B381" s="50"/>
      <c r="C381" s="51"/>
      <c r="D381" s="52"/>
      <c r="E381" s="52"/>
      <c r="F381" s="52"/>
      <c r="G381" s="51"/>
      <c r="H381" s="52"/>
      <c r="I381" s="52"/>
      <c r="J381" s="52"/>
      <c r="K381" s="52"/>
    </row>
    <row r="382" customFormat="false" ht="15.75" hidden="false" customHeight="false" outlineLevel="0" collapsed="false">
      <c r="B382" s="50"/>
      <c r="C382" s="51"/>
      <c r="D382" s="52"/>
      <c r="E382" s="52"/>
      <c r="F382" s="52"/>
      <c r="G382" s="51"/>
      <c r="H382" s="52"/>
      <c r="I382" s="52"/>
      <c r="J382" s="52"/>
      <c r="K382" s="52"/>
    </row>
    <row r="383" customFormat="false" ht="15.75" hidden="false" customHeight="false" outlineLevel="0" collapsed="false">
      <c r="B383" s="50"/>
      <c r="C383" s="51"/>
      <c r="D383" s="52"/>
      <c r="E383" s="52"/>
      <c r="F383" s="52"/>
      <c r="G383" s="51"/>
      <c r="H383" s="52"/>
      <c r="I383" s="52"/>
      <c r="J383" s="52"/>
      <c r="K383" s="52"/>
    </row>
    <row r="384" customFormat="false" ht="15.75" hidden="false" customHeight="false" outlineLevel="0" collapsed="false">
      <c r="B384" s="50"/>
      <c r="C384" s="51"/>
      <c r="D384" s="52"/>
      <c r="E384" s="52"/>
      <c r="F384" s="52"/>
      <c r="G384" s="51"/>
      <c r="H384" s="52"/>
      <c r="I384" s="52"/>
      <c r="J384" s="52"/>
      <c r="K384" s="52"/>
    </row>
    <row r="385" customFormat="false" ht="15.75" hidden="false" customHeight="false" outlineLevel="0" collapsed="false">
      <c r="B385" s="50"/>
      <c r="C385" s="51"/>
      <c r="D385" s="52"/>
      <c r="E385" s="52"/>
      <c r="F385" s="52"/>
      <c r="G385" s="51"/>
      <c r="H385" s="52"/>
      <c r="I385" s="52"/>
      <c r="J385" s="52"/>
      <c r="K385" s="52"/>
    </row>
    <row r="386" customFormat="false" ht="15.75" hidden="false" customHeight="false" outlineLevel="0" collapsed="false">
      <c r="B386" s="50"/>
      <c r="C386" s="51"/>
      <c r="D386" s="52"/>
      <c r="E386" s="52"/>
      <c r="F386" s="52"/>
      <c r="G386" s="51"/>
      <c r="H386" s="52"/>
      <c r="I386" s="52"/>
      <c r="J386" s="52"/>
      <c r="K386" s="52"/>
    </row>
    <row r="387" customFormat="false" ht="15.75" hidden="false" customHeight="false" outlineLevel="0" collapsed="false">
      <c r="B387" s="50"/>
      <c r="C387" s="51"/>
      <c r="D387" s="52"/>
      <c r="E387" s="52"/>
      <c r="F387" s="52"/>
      <c r="G387" s="51"/>
      <c r="H387" s="52"/>
      <c r="I387" s="52"/>
      <c r="J387" s="52"/>
      <c r="K387" s="52"/>
    </row>
    <row r="388" customFormat="false" ht="15.75" hidden="false" customHeight="false" outlineLevel="0" collapsed="false">
      <c r="B388" s="50"/>
      <c r="C388" s="51"/>
      <c r="D388" s="52"/>
      <c r="E388" s="52"/>
      <c r="F388" s="52"/>
      <c r="G388" s="51"/>
      <c r="H388" s="52"/>
      <c r="I388" s="52"/>
      <c r="J388" s="52"/>
      <c r="K388" s="52"/>
    </row>
    <row r="389" customFormat="false" ht="15.75" hidden="false" customHeight="false" outlineLevel="0" collapsed="false">
      <c r="B389" s="50"/>
      <c r="C389" s="51"/>
      <c r="D389" s="52"/>
      <c r="E389" s="52"/>
      <c r="F389" s="52"/>
      <c r="G389" s="51"/>
      <c r="H389" s="52"/>
      <c r="I389" s="52"/>
      <c r="J389" s="52"/>
      <c r="K389" s="52"/>
    </row>
    <row r="390" customFormat="false" ht="15.75" hidden="false" customHeight="false" outlineLevel="0" collapsed="false">
      <c r="B390" s="50"/>
      <c r="C390" s="51"/>
      <c r="D390" s="52"/>
      <c r="E390" s="52"/>
      <c r="F390" s="52"/>
      <c r="G390" s="51"/>
      <c r="H390" s="52"/>
      <c r="I390" s="52"/>
      <c r="J390" s="52"/>
      <c r="K390" s="52"/>
    </row>
    <row r="391" customFormat="false" ht="15.75" hidden="false" customHeight="false" outlineLevel="0" collapsed="false">
      <c r="B391" s="50"/>
      <c r="C391" s="51"/>
      <c r="D391" s="52"/>
      <c r="E391" s="52"/>
      <c r="F391" s="52"/>
      <c r="G391" s="51"/>
      <c r="H391" s="52"/>
      <c r="I391" s="52"/>
      <c r="J391" s="52"/>
      <c r="K391" s="52"/>
    </row>
    <row r="392" customFormat="false" ht="15.75" hidden="false" customHeight="false" outlineLevel="0" collapsed="false">
      <c r="B392" s="50"/>
      <c r="C392" s="51"/>
      <c r="D392" s="52"/>
      <c r="E392" s="52"/>
      <c r="F392" s="52"/>
      <c r="G392" s="51"/>
      <c r="H392" s="52"/>
      <c r="I392" s="52"/>
      <c r="J392" s="52"/>
      <c r="K392" s="52"/>
    </row>
    <row r="393" customFormat="false" ht="15.75" hidden="false" customHeight="false" outlineLevel="0" collapsed="false">
      <c r="B393" s="50"/>
      <c r="C393" s="51"/>
      <c r="D393" s="52"/>
      <c r="E393" s="52"/>
      <c r="F393" s="52"/>
      <c r="G393" s="51"/>
      <c r="H393" s="52"/>
      <c r="I393" s="52"/>
      <c r="J393" s="52"/>
      <c r="K393" s="52"/>
    </row>
    <row r="394" customFormat="false" ht="15.75" hidden="false" customHeight="false" outlineLevel="0" collapsed="false">
      <c r="B394" s="50"/>
      <c r="C394" s="51"/>
      <c r="D394" s="52"/>
      <c r="E394" s="52"/>
      <c r="F394" s="52"/>
      <c r="G394" s="51"/>
      <c r="H394" s="52"/>
      <c r="I394" s="52"/>
      <c r="J394" s="52"/>
      <c r="K394" s="52"/>
    </row>
    <row r="395" customFormat="false" ht="15.75" hidden="false" customHeight="false" outlineLevel="0" collapsed="false">
      <c r="B395" s="50"/>
      <c r="C395" s="51"/>
      <c r="D395" s="52"/>
      <c r="E395" s="52"/>
      <c r="F395" s="52"/>
      <c r="G395" s="51"/>
      <c r="H395" s="52"/>
      <c r="I395" s="52"/>
      <c r="J395" s="52"/>
      <c r="K395" s="52"/>
    </row>
    <row r="396" customFormat="false" ht="15.75" hidden="false" customHeight="false" outlineLevel="0" collapsed="false">
      <c r="B396" s="50"/>
      <c r="C396" s="51"/>
      <c r="D396" s="52"/>
      <c r="E396" s="52"/>
      <c r="F396" s="52"/>
      <c r="G396" s="51"/>
      <c r="H396" s="52"/>
      <c r="I396" s="52"/>
      <c r="J396" s="52"/>
      <c r="K396" s="52"/>
    </row>
    <row r="397" customFormat="false" ht="15.75" hidden="false" customHeight="false" outlineLevel="0" collapsed="false">
      <c r="B397" s="50"/>
      <c r="C397" s="51"/>
      <c r="D397" s="52"/>
      <c r="E397" s="52"/>
      <c r="F397" s="52"/>
      <c r="G397" s="51"/>
      <c r="H397" s="52"/>
      <c r="I397" s="52"/>
      <c r="J397" s="52"/>
      <c r="K397" s="52"/>
    </row>
    <row r="398" customFormat="false" ht="15.75" hidden="false" customHeight="false" outlineLevel="0" collapsed="false">
      <c r="B398" s="50"/>
      <c r="C398" s="51"/>
      <c r="D398" s="52"/>
      <c r="E398" s="52"/>
      <c r="F398" s="52"/>
      <c r="G398" s="51"/>
      <c r="H398" s="52"/>
      <c r="I398" s="52"/>
      <c r="J398" s="52"/>
      <c r="K398" s="52"/>
    </row>
    <row r="399" customFormat="false" ht="15.75" hidden="false" customHeight="false" outlineLevel="0" collapsed="false">
      <c r="B399" s="50"/>
      <c r="C399" s="51"/>
      <c r="D399" s="52"/>
      <c r="E399" s="52"/>
      <c r="F399" s="52"/>
      <c r="G399" s="51"/>
      <c r="H399" s="52"/>
      <c r="I399" s="52"/>
      <c r="J399" s="52"/>
      <c r="K399" s="52"/>
    </row>
    <row r="400" customFormat="false" ht="15.75" hidden="false" customHeight="false" outlineLevel="0" collapsed="false">
      <c r="B400" s="50"/>
      <c r="C400" s="51"/>
      <c r="D400" s="52"/>
      <c r="E400" s="52"/>
      <c r="F400" s="52"/>
      <c r="G400" s="51"/>
      <c r="H400" s="52"/>
      <c r="I400" s="52"/>
      <c r="J400" s="52"/>
      <c r="K400" s="52"/>
    </row>
    <row r="401" customFormat="false" ht="15.75" hidden="false" customHeight="false" outlineLevel="0" collapsed="false">
      <c r="B401" s="50"/>
      <c r="C401" s="51"/>
      <c r="D401" s="52"/>
      <c r="E401" s="52"/>
      <c r="F401" s="52"/>
      <c r="G401" s="51"/>
      <c r="H401" s="52"/>
      <c r="I401" s="52"/>
      <c r="J401" s="52"/>
      <c r="K401" s="52"/>
    </row>
    <row r="402" customFormat="false" ht="15.75" hidden="false" customHeight="false" outlineLevel="0" collapsed="false">
      <c r="B402" s="50"/>
      <c r="C402" s="51"/>
      <c r="D402" s="52"/>
      <c r="E402" s="52"/>
      <c r="F402" s="52"/>
      <c r="G402" s="51"/>
      <c r="H402" s="52"/>
      <c r="I402" s="52"/>
      <c r="J402" s="52"/>
      <c r="K402" s="52"/>
    </row>
    <row r="403" customFormat="false" ht="15.75" hidden="false" customHeight="false" outlineLevel="0" collapsed="false">
      <c r="B403" s="50"/>
      <c r="C403" s="51"/>
      <c r="D403" s="52"/>
      <c r="E403" s="52"/>
      <c r="F403" s="52"/>
      <c r="G403" s="51"/>
      <c r="H403" s="52"/>
      <c r="I403" s="52"/>
      <c r="J403" s="52"/>
      <c r="K403" s="52"/>
    </row>
    <row r="404" customFormat="false" ht="15.75" hidden="false" customHeight="false" outlineLevel="0" collapsed="false">
      <c r="B404" s="50"/>
      <c r="C404" s="51"/>
      <c r="D404" s="52"/>
      <c r="E404" s="52"/>
      <c r="F404" s="52"/>
      <c r="G404" s="51"/>
      <c r="H404" s="52"/>
      <c r="I404" s="52"/>
      <c r="J404" s="52"/>
      <c r="K404" s="52"/>
    </row>
    <row r="405" customFormat="false" ht="15.75" hidden="false" customHeight="false" outlineLevel="0" collapsed="false">
      <c r="B405" s="50"/>
      <c r="C405" s="51"/>
      <c r="D405" s="52"/>
      <c r="E405" s="52"/>
      <c r="F405" s="52"/>
      <c r="G405" s="51"/>
      <c r="H405" s="52"/>
      <c r="I405" s="52"/>
      <c r="J405" s="52"/>
      <c r="K405" s="52"/>
    </row>
    <row r="406" customFormat="false" ht="15.75" hidden="false" customHeight="false" outlineLevel="0" collapsed="false">
      <c r="B406" s="50"/>
      <c r="C406" s="51"/>
      <c r="D406" s="52"/>
      <c r="E406" s="52"/>
      <c r="F406" s="52"/>
      <c r="G406" s="51"/>
      <c r="H406" s="52"/>
      <c r="I406" s="52"/>
      <c r="J406" s="52"/>
      <c r="K406" s="52"/>
    </row>
    <row r="407" customFormat="false" ht="15.75" hidden="false" customHeight="false" outlineLevel="0" collapsed="false">
      <c r="B407" s="50"/>
      <c r="C407" s="51"/>
      <c r="D407" s="52"/>
      <c r="E407" s="52"/>
      <c r="F407" s="52"/>
      <c r="G407" s="51"/>
      <c r="H407" s="52"/>
      <c r="I407" s="52"/>
      <c r="J407" s="52"/>
      <c r="K407" s="52"/>
    </row>
    <row r="408" customFormat="false" ht="15.75" hidden="false" customHeight="false" outlineLevel="0" collapsed="false">
      <c r="B408" s="50"/>
      <c r="C408" s="51"/>
      <c r="D408" s="52"/>
      <c r="E408" s="52"/>
      <c r="F408" s="52"/>
      <c r="G408" s="51"/>
      <c r="H408" s="52"/>
      <c r="I408" s="52"/>
      <c r="J408" s="52"/>
      <c r="K408" s="52"/>
    </row>
    <row r="409" customFormat="false" ht="15.75" hidden="false" customHeight="false" outlineLevel="0" collapsed="false">
      <c r="B409" s="50"/>
      <c r="C409" s="51"/>
      <c r="D409" s="52"/>
      <c r="E409" s="52"/>
      <c r="F409" s="52"/>
      <c r="G409" s="51"/>
      <c r="H409" s="52"/>
      <c r="I409" s="52"/>
      <c r="J409" s="52"/>
      <c r="K409" s="52"/>
    </row>
    <row r="410" customFormat="false" ht="15.75" hidden="false" customHeight="false" outlineLevel="0" collapsed="false">
      <c r="B410" s="50"/>
      <c r="C410" s="51"/>
      <c r="D410" s="52"/>
      <c r="E410" s="52"/>
      <c r="F410" s="52"/>
      <c r="G410" s="51"/>
      <c r="H410" s="52"/>
      <c r="I410" s="52"/>
      <c r="J410" s="52"/>
      <c r="K410" s="52"/>
    </row>
    <row r="411" customFormat="false" ht="15.75" hidden="false" customHeight="false" outlineLevel="0" collapsed="false">
      <c r="B411" s="50"/>
      <c r="C411" s="51"/>
      <c r="D411" s="52"/>
      <c r="E411" s="52"/>
      <c r="F411" s="52"/>
      <c r="G411" s="51"/>
      <c r="H411" s="52"/>
      <c r="I411" s="52"/>
      <c r="J411" s="52"/>
      <c r="K411" s="52"/>
    </row>
    <row r="412" customFormat="false" ht="15.75" hidden="false" customHeight="false" outlineLevel="0" collapsed="false">
      <c r="B412" s="50"/>
      <c r="C412" s="51"/>
      <c r="D412" s="52"/>
      <c r="E412" s="52"/>
      <c r="F412" s="52"/>
      <c r="G412" s="51"/>
      <c r="H412" s="52"/>
      <c r="I412" s="52"/>
      <c r="J412" s="52"/>
      <c r="K412" s="52"/>
    </row>
    <row r="413" customFormat="false" ht="15.75" hidden="false" customHeight="false" outlineLevel="0" collapsed="false">
      <c r="B413" s="50"/>
      <c r="C413" s="51"/>
      <c r="D413" s="52"/>
      <c r="E413" s="52"/>
      <c r="F413" s="52"/>
      <c r="G413" s="51"/>
      <c r="H413" s="52"/>
      <c r="I413" s="52"/>
      <c r="J413" s="52"/>
      <c r="K413" s="52"/>
    </row>
    <row r="414" customFormat="false" ht="15.75" hidden="false" customHeight="false" outlineLevel="0" collapsed="false">
      <c r="B414" s="50"/>
      <c r="C414" s="51"/>
      <c r="D414" s="52"/>
      <c r="E414" s="52"/>
      <c r="F414" s="52"/>
      <c r="G414" s="51"/>
      <c r="H414" s="52"/>
      <c r="I414" s="52"/>
      <c r="J414" s="52"/>
      <c r="K414" s="52"/>
    </row>
    <row r="415" customFormat="false" ht="15.75" hidden="false" customHeight="false" outlineLevel="0" collapsed="false">
      <c r="B415" s="50"/>
      <c r="C415" s="51"/>
      <c r="D415" s="52"/>
      <c r="E415" s="52"/>
      <c r="F415" s="52"/>
      <c r="G415" s="51"/>
      <c r="H415" s="52"/>
      <c r="I415" s="52"/>
      <c r="J415" s="52"/>
      <c r="K415" s="52"/>
    </row>
    <row r="416" customFormat="false" ht="15.75" hidden="false" customHeight="false" outlineLevel="0" collapsed="false">
      <c r="B416" s="50"/>
      <c r="C416" s="51"/>
      <c r="D416" s="52"/>
      <c r="E416" s="52"/>
      <c r="F416" s="52"/>
      <c r="G416" s="51"/>
      <c r="H416" s="52"/>
      <c r="I416" s="52"/>
      <c r="J416" s="52"/>
      <c r="K416" s="52"/>
    </row>
    <row r="417" customFormat="false" ht="15.75" hidden="false" customHeight="false" outlineLevel="0" collapsed="false">
      <c r="B417" s="50"/>
      <c r="C417" s="51"/>
      <c r="D417" s="52"/>
      <c r="E417" s="52"/>
      <c r="F417" s="52"/>
      <c r="G417" s="51"/>
      <c r="H417" s="52"/>
      <c r="I417" s="52"/>
      <c r="J417" s="52"/>
      <c r="K417" s="52"/>
    </row>
    <row r="418" customFormat="false" ht="15.75" hidden="false" customHeight="false" outlineLevel="0" collapsed="false">
      <c r="B418" s="50"/>
      <c r="C418" s="51"/>
      <c r="D418" s="52"/>
      <c r="E418" s="52"/>
      <c r="F418" s="52"/>
      <c r="G418" s="51"/>
      <c r="H418" s="52"/>
      <c r="I418" s="52"/>
      <c r="J418" s="52"/>
      <c r="K418" s="52"/>
    </row>
    <row r="419" customFormat="false" ht="15.75" hidden="false" customHeight="false" outlineLevel="0" collapsed="false">
      <c r="B419" s="50"/>
      <c r="C419" s="51"/>
      <c r="D419" s="52"/>
      <c r="E419" s="52"/>
      <c r="F419" s="52"/>
      <c r="G419" s="51"/>
      <c r="H419" s="52"/>
      <c r="I419" s="52"/>
      <c r="J419" s="52"/>
      <c r="K419" s="52"/>
    </row>
    <row r="420" customFormat="false" ht="15.75" hidden="false" customHeight="false" outlineLevel="0" collapsed="false">
      <c r="B420" s="50"/>
      <c r="C420" s="51"/>
      <c r="D420" s="52"/>
      <c r="E420" s="52"/>
      <c r="F420" s="52"/>
      <c r="G420" s="51"/>
      <c r="H420" s="52"/>
      <c r="I420" s="52"/>
      <c r="J420" s="52"/>
      <c r="K420" s="52"/>
    </row>
    <row r="421" customFormat="false" ht="15.75" hidden="false" customHeight="false" outlineLevel="0" collapsed="false">
      <c r="B421" s="50"/>
      <c r="C421" s="51"/>
      <c r="D421" s="52"/>
      <c r="E421" s="52"/>
      <c r="F421" s="52"/>
      <c r="G421" s="51"/>
      <c r="H421" s="52"/>
      <c r="I421" s="52"/>
      <c r="J421" s="52"/>
      <c r="K421" s="52"/>
    </row>
    <row r="422" customFormat="false" ht="15.75" hidden="false" customHeight="false" outlineLevel="0" collapsed="false">
      <c r="B422" s="50"/>
      <c r="C422" s="51"/>
      <c r="D422" s="52"/>
      <c r="E422" s="52"/>
      <c r="F422" s="52"/>
      <c r="G422" s="51"/>
      <c r="H422" s="52"/>
      <c r="I422" s="52"/>
      <c r="J422" s="52"/>
      <c r="K422" s="52"/>
    </row>
    <row r="423" customFormat="false" ht="15.75" hidden="false" customHeight="false" outlineLevel="0" collapsed="false">
      <c r="B423" s="50"/>
      <c r="C423" s="51"/>
      <c r="D423" s="52"/>
      <c r="E423" s="52"/>
      <c r="F423" s="52"/>
      <c r="G423" s="51"/>
      <c r="H423" s="52"/>
      <c r="I423" s="52"/>
      <c r="J423" s="52"/>
      <c r="K423" s="52"/>
    </row>
    <row r="424" customFormat="false" ht="15.75" hidden="false" customHeight="false" outlineLevel="0" collapsed="false">
      <c r="B424" s="50"/>
      <c r="C424" s="51"/>
      <c r="D424" s="52"/>
      <c r="E424" s="52"/>
      <c r="F424" s="52"/>
      <c r="G424" s="51"/>
      <c r="H424" s="52"/>
      <c r="I424" s="52"/>
      <c r="J424" s="52"/>
      <c r="K424" s="52"/>
    </row>
    <row r="425" customFormat="false" ht="15.75" hidden="false" customHeight="false" outlineLevel="0" collapsed="false">
      <c r="B425" s="50"/>
      <c r="C425" s="51"/>
      <c r="D425" s="52"/>
      <c r="E425" s="52"/>
      <c r="F425" s="52"/>
      <c r="G425" s="51"/>
      <c r="H425" s="52"/>
      <c r="I425" s="52"/>
      <c r="J425" s="52"/>
      <c r="K425" s="52"/>
    </row>
    <row r="426" customFormat="false" ht="15.75" hidden="false" customHeight="false" outlineLevel="0" collapsed="false">
      <c r="B426" s="50"/>
      <c r="C426" s="51"/>
      <c r="D426" s="52"/>
      <c r="E426" s="52"/>
      <c r="F426" s="52"/>
      <c r="G426" s="51"/>
      <c r="H426" s="52"/>
      <c r="I426" s="52"/>
      <c r="J426" s="52"/>
      <c r="K426" s="52"/>
    </row>
    <row r="427" customFormat="false" ht="15.75" hidden="false" customHeight="false" outlineLevel="0" collapsed="false">
      <c r="B427" s="50"/>
      <c r="C427" s="51"/>
      <c r="D427" s="52"/>
      <c r="E427" s="52"/>
      <c r="F427" s="52"/>
      <c r="G427" s="51"/>
      <c r="H427" s="52"/>
      <c r="I427" s="52"/>
      <c r="J427" s="52"/>
      <c r="K427" s="52"/>
    </row>
    <row r="428" customFormat="false" ht="15.75" hidden="false" customHeight="false" outlineLevel="0" collapsed="false">
      <c r="B428" s="50"/>
      <c r="C428" s="51"/>
      <c r="D428" s="52"/>
      <c r="E428" s="52"/>
      <c r="F428" s="52"/>
      <c r="G428" s="51"/>
      <c r="H428" s="52"/>
      <c r="I428" s="52"/>
      <c r="J428" s="52"/>
      <c r="K428" s="52"/>
    </row>
    <row r="429" customFormat="false" ht="15.75" hidden="false" customHeight="false" outlineLevel="0" collapsed="false">
      <c r="B429" s="50"/>
      <c r="C429" s="51"/>
      <c r="D429" s="52"/>
      <c r="E429" s="52"/>
      <c r="F429" s="52"/>
      <c r="G429" s="51"/>
      <c r="H429" s="52"/>
      <c r="I429" s="52"/>
      <c r="J429" s="52"/>
      <c r="K429" s="52"/>
    </row>
    <row r="430" customFormat="false" ht="15.75" hidden="false" customHeight="false" outlineLevel="0" collapsed="false">
      <c r="B430" s="50"/>
      <c r="C430" s="51"/>
      <c r="D430" s="52"/>
      <c r="E430" s="52"/>
      <c r="F430" s="52"/>
      <c r="G430" s="51"/>
      <c r="H430" s="52"/>
      <c r="I430" s="52"/>
      <c r="J430" s="52"/>
      <c r="K430" s="52"/>
    </row>
    <row r="431" customFormat="false" ht="15.75" hidden="false" customHeight="false" outlineLevel="0" collapsed="false">
      <c r="B431" s="50"/>
      <c r="C431" s="51"/>
      <c r="D431" s="52"/>
      <c r="E431" s="52"/>
      <c r="F431" s="52"/>
      <c r="G431" s="51"/>
      <c r="H431" s="52"/>
      <c r="I431" s="52"/>
      <c r="J431" s="52"/>
      <c r="K431" s="52"/>
    </row>
    <row r="432" customFormat="false" ht="15.75" hidden="false" customHeight="false" outlineLevel="0" collapsed="false">
      <c r="B432" s="50"/>
      <c r="C432" s="51"/>
      <c r="D432" s="52"/>
      <c r="E432" s="52"/>
      <c r="F432" s="52"/>
      <c r="G432" s="51"/>
      <c r="H432" s="52"/>
      <c r="I432" s="52"/>
      <c r="J432" s="52"/>
      <c r="K432" s="52"/>
    </row>
    <row r="433" customFormat="false" ht="15.75" hidden="false" customHeight="false" outlineLevel="0" collapsed="false">
      <c r="B433" s="50"/>
      <c r="C433" s="51"/>
      <c r="D433" s="52"/>
      <c r="E433" s="52"/>
      <c r="F433" s="52"/>
      <c r="G433" s="51"/>
      <c r="H433" s="52"/>
      <c r="I433" s="52"/>
      <c r="J433" s="52"/>
      <c r="K433" s="52"/>
    </row>
    <row r="434" customFormat="false" ht="15.75" hidden="false" customHeight="false" outlineLevel="0" collapsed="false">
      <c r="B434" s="50"/>
      <c r="C434" s="51"/>
      <c r="D434" s="52"/>
      <c r="E434" s="52"/>
      <c r="F434" s="52"/>
      <c r="G434" s="51"/>
      <c r="H434" s="52"/>
      <c r="I434" s="52"/>
      <c r="J434" s="52"/>
      <c r="K434" s="52"/>
    </row>
    <row r="435" customFormat="false" ht="15.75" hidden="false" customHeight="false" outlineLevel="0" collapsed="false">
      <c r="B435" s="50"/>
      <c r="C435" s="51"/>
      <c r="D435" s="52"/>
      <c r="E435" s="52"/>
      <c r="F435" s="52"/>
      <c r="G435" s="51"/>
      <c r="H435" s="52"/>
      <c r="I435" s="52"/>
      <c r="J435" s="52"/>
      <c r="K435" s="52"/>
    </row>
    <row r="436" customFormat="false" ht="15.75" hidden="false" customHeight="false" outlineLevel="0" collapsed="false">
      <c r="B436" s="50"/>
      <c r="C436" s="51"/>
      <c r="D436" s="52"/>
      <c r="E436" s="52"/>
      <c r="F436" s="52"/>
      <c r="G436" s="51"/>
      <c r="H436" s="52"/>
      <c r="I436" s="52"/>
      <c r="J436" s="52"/>
      <c r="K436" s="52"/>
    </row>
    <row r="437" customFormat="false" ht="15.75" hidden="false" customHeight="false" outlineLevel="0" collapsed="false">
      <c r="B437" s="50"/>
      <c r="C437" s="51"/>
      <c r="D437" s="52"/>
      <c r="E437" s="52"/>
      <c r="F437" s="52"/>
      <c r="G437" s="51"/>
      <c r="H437" s="52"/>
      <c r="I437" s="52"/>
      <c r="J437" s="52"/>
      <c r="K437" s="52"/>
    </row>
    <row r="438" customFormat="false" ht="15.75" hidden="false" customHeight="false" outlineLevel="0" collapsed="false">
      <c r="B438" s="50"/>
      <c r="C438" s="51"/>
      <c r="D438" s="52"/>
      <c r="E438" s="52"/>
      <c r="F438" s="52"/>
      <c r="G438" s="51"/>
      <c r="H438" s="52"/>
      <c r="I438" s="52"/>
      <c r="J438" s="52"/>
      <c r="K438" s="52"/>
    </row>
    <row r="439" customFormat="false" ht="15.75" hidden="false" customHeight="false" outlineLevel="0" collapsed="false">
      <c r="B439" s="50"/>
      <c r="C439" s="51"/>
      <c r="D439" s="52"/>
      <c r="E439" s="52"/>
      <c r="F439" s="52"/>
      <c r="G439" s="51"/>
      <c r="H439" s="52"/>
      <c r="I439" s="52"/>
      <c r="J439" s="52"/>
      <c r="K439" s="52"/>
    </row>
    <row r="440" customFormat="false" ht="15.75" hidden="false" customHeight="false" outlineLevel="0" collapsed="false">
      <c r="B440" s="50"/>
      <c r="C440" s="51"/>
      <c r="D440" s="52"/>
      <c r="E440" s="52"/>
      <c r="F440" s="52"/>
      <c r="G440" s="51"/>
      <c r="H440" s="52"/>
      <c r="I440" s="52"/>
      <c r="J440" s="52"/>
      <c r="K440" s="52"/>
    </row>
    <row r="441" customFormat="false" ht="15.75" hidden="false" customHeight="false" outlineLevel="0" collapsed="false">
      <c r="B441" s="50"/>
      <c r="C441" s="51"/>
      <c r="D441" s="52"/>
      <c r="E441" s="52"/>
      <c r="F441" s="52"/>
      <c r="G441" s="51"/>
      <c r="H441" s="52"/>
      <c r="I441" s="52"/>
      <c r="J441" s="52"/>
      <c r="K441" s="52"/>
    </row>
    <row r="442" customFormat="false" ht="15.75" hidden="false" customHeight="false" outlineLevel="0" collapsed="false">
      <c r="B442" s="50"/>
      <c r="C442" s="51"/>
      <c r="D442" s="52"/>
      <c r="E442" s="52"/>
      <c r="F442" s="52"/>
      <c r="G442" s="51"/>
      <c r="H442" s="52"/>
      <c r="I442" s="52"/>
      <c r="J442" s="52"/>
      <c r="K442" s="52"/>
    </row>
    <row r="443" customFormat="false" ht="15.75" hidden="false" customHeight="false" outlineLevel="0" collapsed="false">
      <c r="B443" s="50"/>
      <c r="C443" s="51"/>
      <c r="D443" s="52"/>
      <c r="E443" s="52"/>
      <c r="F443" s="52"/>
      <c r="G443" s="51"/>
      <c r="H443" s="52"/>
      <c r="I443" s="52"/>
      <c r="J443" s="52"/>
      <c r="K443" s="52"/>
    </row>
    <row r="444" customFormat="false" ht="15.75" hidden="false" customHeight="false" outlineLevel="0" collapsed="false">
      <c r="B444" s="50"/>
      <c r="C444" s="51"/>
      <c r="D444" s="52"/>
      <c r="E444" s="52"/>
      <c r="F444" s="52"/>
      <c r="G444" s="51"/>
      <c r="H444" s="52"/>
      <c r="I444" s="52"/>
      <c r="J444" s="52"/>
      <c r="K444" s="52"/>
    </row>
    <row r="445" customFormat="false" ht="15.75" hidden="false" customHeight="false" outlineLevel="0" collapsed="false">
      <c r="B445" s="50"/>
      <c r="C445" s="51"/>
      <c r="D445" s="52"/>
      <c r="E445" s="52"/>
      <c r="F445" s="52"/>
      <c r="G445" s="51"/>
      <c r="H445" s="52"/>
      <c r="I445" s="52"/>
      <c r="J445" s="52"/>
      <c r="K445" s="52"/>
    </row>
    <row r="446" customFormat="false" ht="15.75" hidden="false" customHeight="false" outlineLevel="0" collapsed="false">
      <c r="B446" s="50"/>
      <c r="C446" s="51"/>
      <c r="D446" s="52"/>
      <c r="E446" s="52"/>
      <c r="F446" s="52"/>
      <c r="G446" s="51"/>
      <c r="H446" s="52"/>
      <c r="I446" s="52"/>
      <c r="J446" s="52"/>
      <c r="K446" s="52"/>
    </row>
    <row r="447" customFormat="false" ht="15.75" hidden="false" customHeight="false" outlineLevel="0" collapsed="false">
      <c r="B447" s="50"/>
      <c r="C447" s="51"/>
      <c r="D447" s="52"/>
      <c r="E447" s="52"/>
      <c r="F447" s="52"/>
      <c r="G447" s="51"/>
      <c r="H447" s="52"/>
      <c r="I447" s="52"/>
      <c r="J447" s="52"/>
      <c r="K447" s="52"/>
    </row>
    <row r="448" customFormat="false" ht="15.75" hidden="false" customHeight="false" outlineLevel="0" collapsed="false">
      <c r="B448" s="50"/>
      <c r="C448" s="51"/>
      <c r="D448" s="52"/>
      <c r="E448" s="52"/>
      <c r="F448" s="52"/>
      <c r="G448" s="51"/>
      <c r="H448" s="52"/>
      <c r="I448" s="52"/>
      <c r="J448" s="52"/>
      <c r="K448" s="52"/>
    </row>
    <row r="449" customFormat="false" ht="15.75" hidden="false" customHeight="false" outlineLevel="0" collapsed="false">
      <c r="B449" s="50"/>
      <c r="C449" s="51"/>
      <c r="D449" s="52"/>
      <c r="E449" s="52"/>
      <c r="F449" s="52"/>
      <c r="G449" s="51"/>
      <c r="H449" s="52"/>
      <c r="I449" s="52"/>
      <c r="J449" s="52"/>
      <c r="K449" s="52"/>
    </row>
    <row r="450" customFormat="false" ht="15.75" hidden="false" customHeight="false" outlineLevel="0" collapsed="false">
      <c r="B450" s="50"/>
      <c r="C450" s="51"/>
      <c r="D450" s="52"/>
      <c r="E450" s="52"/>
      <c r="F450" s="52"/>
      <c r="G450" s="51"/>
      <c r="H450" s="52"/>
      <c r="I450" s="52"/>
      <c r="J450" s="52"/>
      <c r="K450" s="52"/>
    </row>
    <row r="451" customFormat="false" ht="15.75" hidden="false" customHeight="false" outlineLevel="0" collapsed="false">
      <c r="B451" s="50"/>
      <c r="C451" s="51"/>
      <c r="D451" s="52"/>
      <c r="E451" s="52"/>
      <c r="F451" s="52"/>
      <c r="G451" s="51"/>
      <c r="H451" s="52"/>
      <c r="I451" s="52"/>
      <c r="J451" s="52"/>
      <c r="K451" s="52"/>
    </row>
    <row r="452" customFormat="false" ht="15.75" hidden="false" customHeight="false" outlineLevel="0" collapsed="false">
      <c r="B452" s="50"/>
      <c r="C452" s="51"/>
      <c r="D452" s="52"/>
      <c r="E452" s="52"/>
      <c r="F452" s="52"/>
      <c r="G452" s="51"/>
      <c r="H452" s="52"/>
      <c r="I452" s="52"/>
      <c r="J452" s="52"/>
      <c r="K452" s="52"/>
    </row>
    <row r="453" customFormat="false" ht="15.75" hidden="false" customHeight="false" outlineLevel="0" collapsed="false">
      <c r="B453" s="50"/>
      <c r="C453" s="51"/>
      <c r="D453" s="52"/>
      <c r="E453" s="52"/>
      <c r="F453" s="52"/>
      <c r="G453" s="51"/>
      <c r="H453" s="52"/>
      <c r="I453" s="52"/>
      <c r="J453" s="52"/>
      <c r="K453" s="52"/>
    </row>
    <row r="454" customFormat="false" ht="15.75" hidden="false" customHeight="false" outlineLevel="0" collapsed="false">
      <c r="B454" s="50"/>
      <c r="C454" s="51"/>
      <c r="D454" s="52"/>
      <c r="E454" s="52"/>
      <c r="F454" s="52"/>
      <c r="G454" s="51"/>
      <c r="H454" s="52"/>
      <c r="I454" s="52"/>
      <c r="J454" s="52"/>
      <c r="K454" s="52"/>
    </row>
    <row r="455" customFormat="false" ht="15.75" hidden="false" customHeight="false" outlineLevel="0" collapsed="false">
      <c r="B455" s="50"/>
      <c r="C455" s="51"/>
      <c r="D455" s="52"/>
      <c r="E455" s="52"/>
      <c r="F455" s="52"/>
      <c r="G455" s="51"/>
      <c r="H455" s="52"/>
      <c r="I455" s="52"/>
      <c r="J455" s="52"/>
      <c r="K455" s="52"/>
    </row>
    <row r="456" customFormat="false" ht="15.75" hidden="false" customHeight="false" outlineLevel="0" collapsed="false">
      <c r="B456" s="50"/>
      <c r="C456" s="51"/>
      <c r="D456" s="52"/>
      <c r="E456" s="52"/>
      <c r="F456" s="52"/>
      <c r="G456" s="51"/>
      <c r="H456" s="52"/>
      <c r="I456" s="52"/>
      <c r="J456" s="52"/>
      <c r="K456" s="52"/>
    </row>
    <row r="457" customFormat="false" ht="15.75" hidden="false" customHeight="false" outlineLevel="0" collapsed="false">
      <c r="B457" s="50"/>
      <c r="C457" s="51"/>
      <c r="D457" s="52"/>
      <c r="E457" s="52"/>
      <c r="F457" s="52"/>
      <c r="G457" s="51"/>
      <c r="H457" s="52"/>
      <c r="I457" s="52"/>
      <c r="J457" s="52"/>
      <c r="K457" s="52"/>
    </row>
    <row r="458" customFormat="false" ht="15.75" hidden="false" customHeight="false" outlineLevel="0" collapsed="false">
      <c r="B458" s="50"/>
      <c r="C458" s="51"/>
      <c r="D458" s="52"/>
      <c r="E458" s="52"/>
      <c r="F458" s="52"/>
      <c r="G458" s="51"/>
      <c r="H458" s="52"/>
      <c r="I458" s="52"/>
      <c r="J458" s="52"/>
      <c r="K458" s="52"/>
    </row>
    <row r="459" customFormat="false" ht="15.75" hidden="false" customHeight="false" outlineLevel="0" collapsed="false">
      <c r="B459" s="50"/>
      <c r="C459" s="51"/>
      <c r="D459" s="52"/>
      <c r="E459" s="52"/>
      <c r="F459" s="52"/>
      <c r="G459" s="51"/>
      <c r="H459" s="52"/>
      <c r="I459" s="52"/>
      <c r="J459" s="52"/>
      <c r="K459" s="52"/>
    </row>
    <row r="460" customFormat="false" ht="15.75" hidden="false" customHeight="false" outlineLevel="0" collapsed="false">
      <c r="B460" s="50"/>
      <c r="C460" s="51"/>
      <c r="D460" s="52"/>
      <c r="E460" s="52"/>
      <c r="F460" s="52"/>
      <c r="G460" s="51"/>
      <c r="H460" s="52"/>
      <c r="I460" s="52"/>
      <c r="J460" s="52"/>
      <c r="K460" s="52"/>
    </row>
    <row r="461" customFormat="false" ht="15.75" hidden="false" customHeight="false" outlineLevel="0" collapsed="false">
      <c r="B461" s="50"/>
      <c r="C461" s="51"/>
      <c r="D461" s="52"/>
      <c r="E461" s="52"/>
      <c r="F461" s="52"/>
      <c r="G461" s="51"/>
      <c r="H461" s="52"/>
      <c r="I461" s="52"/>
      <c r="J461" s="52"/>
      <c r="K461" s="52"/>
    </row>
    <row r="462" customFormat="false" ht="15.75" hidden="false" customHeight="false" outlineLevel="0" collapsed="false">
      <c r="B462" s="50"/>
      <c r="C462" s="51"/>
      <c r="D462" s="52"/>
      <c r="E462" s="52"/>
      <c r="F462" s="52"/>
      <c r="G462" s="51"/>
      <c r="H462" s="52"/>
      <c r="I462" s="52"/>
      <c r="J462" s="52"/>
      <c r="K462" s="52"/>
    </row>
    <row r="463" customFormat="false" ht="15.75" hidden="false" customHeight="false" outlineLevel="0" collapsed="false">
      <c r="B463" s="50"/>
      <c r="C463" s="51"/>
      <c r="D463" s="52"/>
      <c r="E463" s="52"/>
      <c r="F463" s="52"/>
      <c r="G463" s="51"/>
      <c r="H463" s="52"/>
      <c r="I463" s="52"/>
      <c r="J463" s="52"/>
      <c r="K463" s="52"/>
    </row>
    <row r="464" customFormat="false" ht="15.75" hidden="false" customHeight="false" outlineLevel="0" collapsed="false">
      <c r="B464" s="50"/>
      <c r="C464" s="51"/>
      <c r="D464" s="52"/>
      <c r="E464" s="52"/>
      <c r="F464" s="52"/>
      <c r="G464" s="51"/>
      <c r="H464" s="52"/>
      <c r="I464" s="52"/>
      <c r="J464" s="52"/>
      <c r="K464" s="52"/>
    </row>
    <row r="465" customFormat="false" ht="15.75" hidden="false" customHeight="false" outlineLevel="0" collapsed="false">
      <c r="B465" s="50"/>
      <c r="C465" s="51"/>
      <c r="D465" s="52"/>
      <c r="E465" s="52"/>
      <c r="F465" s="52"/>
      <c r="G465" s="51"/>
      <c r="H465" s="52"/>
      <c r="I465" s="52"/>
      <c r="J465" s="52"/>
      <c r="K465" s="52"/>
    </row>
    <row r="466" customFormat="false" ht="15.75" hidden="false" customHeight="false" outlineLevel="0" collapsed="false">
      <c r="B466" s="50"/>
      <c r="C466" s="51"/>
      <c r="D466" s="52"/>
      <c r="E466" s="52"/>
      <c r="F466" s="52"/>
      <c r="G466" s="51"/>
      <c r="H466" s="52"/>
      <c r="I466" s="52"/>
      <c r="J466" s="52"/>
      <c r="K466" s="52"/>
    </row>
    <row r="467" customFormat="false" ht="15.75" hidden="false" customHeight="false" outlineLevel="0" collapsed="false">
      <c r="B467" s="50"/>
      <c r="C467" s="51"/>
      <c r="D467" s="52"/>
      <c r="E467" s="52"/>
      <c r="F467" s="52"/>
      <c r="G467" s="51"/>
      <c r="H467" s="52"/>
      <c r="I467" s="52"/>
      <c r="J467" s="52"/>
      <c r="K467" s="52"/>
    </row>
    <row r="468" customFormat="false" ht="15.75" hidden="false" customHeight="false" outlineLevel="0" collapsed="false">
      <c r="B468" s="50"/>
      <c r="C468" s="51"/>
      <c r="D468" s="52"/>
      <c r="E468" s="52"/>
      <c r="F468" s="52"/>
      <c r="G468" s="51"/>
      <c r="H468" s="52"/>
      <c r="I468" s="52"/>
      <c r="J468" s="52"/>
      <c r="K468" s="52"/>
    </row>
    <row r="469" customFormat="false" ht="15.75" hidden="false" customHeight="false" outlineLevel="0" collapsed="false">
      <c r="B469" s="50"/>
      <c r="C469" s="51"/>
      <c r="D469" s="52"/>
      <c r="E469" s="52"/>
      <c r="F469" s="52"/>
      <c r="G469" s="51"/>
      <c r="H469" s="52"/>
      <c r="I469" s="52"/>
      <c r="J469" s="52"/>
      <c r="K469" s="52"/>
    </row>
    <row r="470" customFormat="false" ht="15.75" hidden="false" customHeight="false" outlineLevel="0" collapsed="false">
      <c r="B470" s="50"/>
      <c r="C470" s="51"/>
      <c r="D470" s="52"/>
      <c r="E470" s="52"/>
      <c r="F470" s="52"/>
      <c r="G470" s="51"/>
      <c r="H470" s="52"/>
      <c r="I470" s="52"/>
      <c r="J470" s="52"/>
      <c r="K470" s="52"/>
    </row>
    <row r="471" customFormat="false" ht="15.75" hidden="false" customHeight="false" outlineLevel="0" collapsed="false">
      <c r="B471" s="50"/>
      <c r="C471" s="51"/>
      <c r="D471" s="52"/>
      <c r="E471" s="52"/>
      <c r="F471" s="52"/>
      <c r="G471" s="51"/>
      <c r="H471" s="52"/>
      <c r="I471" s="52"/>
      <c r="J471" s="52"/>
      <c r="K471" s="52"/>
    </row>
    <row r="472" customFormat="false" ht="15.75" hidden="false" customHeight="false" outlineLevel="0" collapsed="false">
      <c r="B472" s="50"/>
      <c r="C472" s="51"/>
      <c r="D472" s="52"/>
      <c r="E472" s="52"/>
      <c r="F472" s="52"/>
      <c r="G472" s="51"/>
      <c r="H472" s="52"/>
      <c r="I472" s="52"/>
      <c r="J472" s="52"/>
      <c r="K472" s="52"/>
    </row>
    <row r="473" customFormat="false" ht="15.75" hidden="false" customHeight="false" outlineLevel="0" collapsed="false">
      <c r="B473" s="50"/>
      <c r="C473" s="51"/>
      <c r="D473" s="52"/>
      <c r="E473" s="52"/>
      <c r="F473" s="52"/>
      <c r="G473" s="51"/>
      <c r="H473" s="52"/>
      <c r="I473" s="52"/>
      <c r="J473" s="52"/>
      <c r="K473" s="52"/>
    </row>
    <row r="474" customFormat="false" ht="15.75" hidden="false" customHeight="false" outlineLevel="0" collapsed="false">
      <c r="B474" s="50"/>
      <c r="C474" s="51"/>
      <c r="D474" s="52"/>
      <c r="E474" s="52"/>
      <c r="F474" s="52"/>
      <c r="G474" s="51"/>
      <c r="H474" s="52"/>
      <c r="I474" s="52"/>
      <c r="J474" s="52"/>
      <c r="K474" s="52"/>
    </row>
    <row r="475" customFormat="false" ht="15.75" hidden="false" customHeight="false" outlineLevel="0" collapsed="false">
      <c r="B475" s="50"/>
      <c r="C475" s="51"/>
      <c r="D475" s="52"/>
      <c r="E475" s="52"/>
      <c r="F475" s="52"/>
      <c r="G475" s="51"/>
      <c r="H475" s="52"/>
      <c r="I475" s="52"/>
      <c r="J475" s="52"/>
      <c r="K475" s="52"/>
    </row>
    <row r="476" customFormat="false" ht="15.75" hidden="false" customHeight="false" outlineLevel="0" collapsed="false">
      <c r="B476" s="50"/>
      <c r="C476" s="51"/>
      <c r="D476" s="52"/>
      <c r="E476" s="52"/>
      <c r="F476" s="52"/>
      <c r="G476" s="51"/>
      <c r="H476" s="52"/>
      <c r="I476" s="52"/>
      <c r="J476" s="52"/>
      <c r="K476" s="52"/>
    </row>
    <row r="477" customFormat="false" ht="15.75" hidden="false" customHeight="false" outlineLevel="0" collapsed="false">
      <c r="B477" s="50"/>
      <c r="C477" s="51"/>
      <c r="D477" s="52"/>
      <c r="E477" s="52"/>
      <c r="F477" s="52"/>
      <c r="G477" s="51"/>
      <c r="H477" s="52"/>
      <c r="I477" s="52"/>
      <c r="J477" s="52"/>
      <c r="K477" s="52"/>
    </row>
    <row r="478" customFormat="false" ht="15.75" hidden="false" customHeight="false" outlineLevel="0" collapsed="false">
      <c r="B478" s="50"/>
      <c r="C478" s="51"/>
      <c r="D478" s="52"/>
      <c r="E478" s="52"/>
      <c r="F478" s="52"/>
      <c r="G478" s="51"/>
      <c r="H478" s="52"/>
      <c r="I478" s="52"/>
      <c r="J478" s="52"/>
      <c r="K478" s="52"/>
    </row>
    <row r="479" customFormat="false" ht="15.75" hidden="false" customHeight="false" outlineLevel="0" collapsed="false">
      <c r="B479" s="50"/>
      <c r="C479" s="51"/>
      <c r="D479" s="52"/>
      <c r="E479" s="52"/>
      <c r="F479" s="52"/>
      <c r="G479" s="51"/>
      <c r="H479" s="52"/>
      <c r="I479" s="52"/>
      <c r="J479" s="52"/>
      <c r="K479" s="52"/>
    </row>
    <row r="480" customFormat="false" ht="15.75" hidden="false" customHeight="false" outlineLevel="0" collapsed="false">
      <c r="B480" s="50"/>
      <c r="C480" s="51"/>
      <c r="D480" s="52"/>
      <c r="E480" s="52"/>
      <c r="F480" s="52"/>
      <c r="G480" s="51"/>
      <c r="H480" s="52"/>
      <c r="I480" s="52"/>
      <c r="J480" s="52"/>
      <c r="K480" s="52"/>
    </row>
    <row r="481" customFormat="false" ht="15.75" hidden="false" customHeight="false" outlineLevel="0" collapsed="false">
      <c r="B481" s="50"/>
      <c r="C481" s="51"/>
      <c r="D481" s="52"/>
      <c r="E481" s="52"/>
      <c r="F481" s="52"/>
      <c r="G481" s="51"/>
      <c r="H481" s="52"/>
      <c r="I481" s="52"/>
      <c r="J481" s="52"/>
      <c r="K481" s="52"/>
    </row>
    <row r="482" customFormat="false" ht="15.75" hidden="false" customHeight="false" outlineLevel="0" collapsed="false">
      <c r="B482" s="50"/>
      <c r="C482" s="51"/>
      <c r="D482" s="52"/>
      <c r="E482" s="52"/>
      <c r="F482" s="52"/>
      <c r="G482" s="51"/>
      <c r="H482" s="52"/>
      <c r="I482" s="52"/>
      <c r="J482" s="52"/>
      <c r="K482" s="52"/>
    </row>
    <row r="483" customFormat="false" ht="15.75" hidden="false" customHeight="false" outlineLevel="0" collapsed="false">
      <c r="B483" s="50"/>
      <c r="C483" s="51"/>
      <c r="D483" s="52"/>
      <c r="E483" s="52"/>
      <c r="F483" s="52"/>
      <c r="G483" s="51"/>
      <c r="H483" s="52"/>
      <c r="I483" s="52"/>
      <c r="J483" s="52"/>
      <c r="K483" s="52"/>
    </row>
    <row r="484" customFormat="false" ht="15.75" hidden="false" customHeight="false" outlineLevel="0" collapsed="false">
      <c r="B484" s="50"/>
      <c r="C484" s="51"/>
      <c r="D484" s="52"/>
      <c r="E484" s="52"/>
      <c r="F484" s="52"/>
      <c r="G484" s="51"/>
      <c r="H484" s="52"/>
      <c r="I484" s="52"/>
      <c r="J484" s="52"/>
      <c r="K484" s="52"/>
    </row>
    <row r="485" customFormat="false" ht="15.75" hidden="false" customHeight="false" outlineLevel="0" collapsed="false">
      <c r="B485" s="50"/>
      <c r="C485" s="51"/>
      <c r="D485" s="52"/>
      <c r="E485" s="52"/>
      <c r="F485" s="52"/>
      <c r="G485" s="51"/>
      <c r="H485" s="52"/>
      <c r="I485" s="52"/>
      <c r="J485" s="52"/>
      <c r="K485" s="52"/>
    </row>
    <row r="486" customFormat="false" ht="15.75" hidden="false" customHeight="false" outlineLevel="0" collapsed="false">
      <c r="B486" s="50"/>
      <c r="C486" s="51"/>
      <c r="D486" s="52"/>
      <c r="E486" s="52"/>
      <c r="F486" s="52"/>
      <c r="G486" s="51"/>
      <c r="H486" s="52"/>
      <c r="I486" s="52"/>
      <c r="J486" s="52"/>
      <c r="K486" s="52"/>
    </row>
    <row r="487" customFormat="false" ht="15.75" hidden="false" customHeight="false" outlineLevel="0" collapsed="false">
      <c r="B487" s="50"/>
      <c r="C487" s="51"/>
      <c r="D487" s="52"/>
      <c r="E487" s="52"/>
      <c r="F487" s="52"/>
      <c r="G487" s="51"/>
      <c r="H487" s="52"/>
      <c r="I487" s="52"/>
      <c r="J487" s="52"/>
      <c r="K487" s="52"/>
    </row>
    <row r="488" customFormat="false" ht="15.75" hidden="false" customHeight="false" outlineLevel="0" collapsed="false">
      <c r="B488" s="50"/>
      <c r="C488" s="51"/>
      <c r="D488" s="52"/>
      <c r="E488" s="52"/>
      <c r="F488" s="52"/>
      <c r="G488" s="51"/>
      <c r="H488" s="52"/>
      <c r="I488" s="52"/>
      <c r="J488" s="52"/>
      <c r="K488" s="52"/>
    </row>
    <row r="489" customFormat="false" ht="15.75" hidden="false" customHeight="false" outlineLevel="0" collapsed="false">
      <c r="B489" s="50"/>
      <c r="C489" s="51"/>
      <c r="D489" s="52"/>
      <c r="E489" s="52"/>
      <c r="F489" s="52"/>
      <c r="G489" s="51"/>
      <c r="H489" s="52"/>
      <c r="I489" s="52"/>
      <c r="J489" s="52"/>
      <c r="K489" s="52"/>
    </row>
    <row r="490" customFormat="false" ht="15.75" hidden="false" customHeight="false" outlineLevel="0" collapsed="false">
      <c r="B490" s="50"/>
      <c r="C490" s="51"/>
      <c r="D490" s="52"/>
      <c r="E490" s="52"/>
      <c r="F490" s="52"/>
      <c r="G490" s="51"/>
      <c r="H490" s="52"/>
      <c r="I490" s="52"/>
      <c r="J490" s="52"/>
      <c r="K490" s="52"/>
    </row>
    <row r="491" customFormat="false" ht="15.75" hidden="false" customHeight="false" outlineLevel="0" collapsed="false">
      <c r="B491" s="50"/>
      <c r="C491" s="51"/>
      <c r="D491" s="52"/>
      <c r="E491" s="52"/>
      <c r="F491" s="52"/>
      <c r="G491" s="51"/>
      <c r="H491" s="52"/>
      <c r="I491" s="52"/>
      <c r="J491" s="52"/>
      <c r="K491" s="52"/>
    </row>
    <row r="492" customFormat="false" ht="15.75" hidden="false" customHeight="false" outlineLevel="0" collapsed="false">
      <c r="B492" s="50"/>
      <c r="C492" s="51"/>
      <c r="D492" s="52"/>
      <c r="E492" s="52"/>
      <c r="F492" s="52"/>
      <c r="G492" s="51"/>
      <c r="H492" s="52"/>
      <c r="I492" s="52"/>
      <c r="J492" s="52"/>
      <c r="K492" s="52"/>
    </row>
    <row r="493" customFormat="false" ht="15.75" hidden="false" customHeight="false" outlineLevel="0" collapsed="false">
      <c r="B493" s="50"/>
      <c r="C493" s="51"/>
      <c r="D493" s="52"/>
      <c r="E493" s="52"/>
      <c r="F493" s="52"/>
      <c r="G493" s="51"/>
      <c r="H493" s="52"/>
      <c r="I493" s="52"/>
      <c r="J493" s="52"/>
      <c r="K493" s="52"/>
    </row>
    <row r="494" customFormat="false" ht="15.75" hidden="false" customHeight="false" outlineLevel="0" collapsed="false">
      <c r="B494" s="50"/>
      <c r="C494" s="51"/>
      <c r="D494" s="52"/>
      <c r="E494" s="52"/>
      <c r="F494" s="52"/>
      <c r="G494" s="51"/>
      <c r="H494" s="52"/>
      <c r="I494" s="52"/>
      <c r="J494" s="52"/>
      <c r="K494" s="52"/>
    </row>
    <row r="495" customFormat="false" ht="15.75" hidden="false" customHeight="false" outlineLevel="0" collapsed="false">
      <c r="B495" s="50"/>
      <c r="C495" s="51"/>
      <c r="D495" s="52"/>
      <c r="E495" s="52"/>
      <c r="F495" s="52"/>
      <c r="G495" s="51"/>
      <c r="H495" s="52"/>
      <c r="I495" s="52"/>
      <c r="J495" s="52"/>
      <c r="K495" s="52"/>
    </row>
    <row r="496" customFormat="false" ht="15.75" hidden="false" customHeight="false" outlineLevel="0" collapsed="false">
      <c r="B496" s="50"/>
      <c r="C496" s="51"/>
      <c r="D496" s="52"/>
      <c r="E496" s="52"/>
      <c r="F496" s="52"/>
      <c r="G496" s="51"/>
      <c r="H496" s="52"/>
      <c r="I496" s="52"/>
      <c r="J496" s="52"/>
      <c r="K496" s="52"/>
    </row>
    <row r="497" customFormat="false" ht="15.75" hidden="false" customHeight="false" outlineLevel="0" collapsed="false">
      <c r="B497" s="50"/>
      <c r="C497" s="51"/>
      <c r="D497" s="52"/>
      <c r="E497" s="52"/>
      <c r="F497" s="52"/>
      <c r="G497" s="51"/>
      <c r="H497" s="52"/>
      <c r="I497" s="52"/>
      <c r="J497" s="52"/>
      <c r="K497" s="52"/>
    </row>
    <row r="498" customFormat="false" ht="15.75" hidden="false" customHeight="false" outlineLevel="0" collapsed="false">
      <c r="B498" s="50"/>
      <c r="C498" s="51"/>
      <c r="D498" s="52"/>
      <c r="E498" s="52"/>
      <c r="F498" s="52"/>
      <c r="G498" s="51"/>
      <c r="H498" s="52"/>
      <c r="I498" s="52"/>
      <c r="J498" s="52"/>
      <c r="K498" s="52"/>
    </row>
    <row r="499" customFormat="false" ht="15.75" hidden="false" customHeight="false" outlineLevel="0" collapsed="false">
      <c r="B499" s="50"/>
      <c r="C499" s="51"/>
      <c r="D499" s="52"/>
      <c r="E499" s="52"/>
      <c r="F499" s="52"/>
      <c r="G499" s="51"/>
      <c r="H499" s="52"/>
      <c r="I499" s="52"/>
      <c r="J499" s="52"/>
      <c r="K499" s="52"/>
    </row>
    <row r="500" customFormat="false" ht="15.75" hidden="false" customHeight="false" outlineLevel="0" collapsed="false">
      <c r="B500" s="50"/>
      <c r="C500" s="51"/>
      <c r="D500" s="52"/>
      <c r="E500" s="52"/>
      <c r="F500" s="52"/>
      <c r="G500" s="51"/>
      <c r="H500" s="52"/>
      <c r="I500" s="52"/>
      <c r="J500" s="52"/>
      <c r="K500" s="52"/>
    </row>
    <row r="501" customFormat="false" ht="15.75" hidden="false" customHeight="false" outlineLevel="0" collapsed="false">
      <c r="B501" s="50"/>
      <c r="C501" s="51"/>
      <c r="D501" s="52"/>
      <c r="E501" s="52"/>
      <c r="F501" s="52"/>
      <c r="G501" s="51"/>
      <c r="H501" s="52"/>
      <c r="I501" s="52"/>
      <c r="J501" s="52"/>
      <c r="K501" s="52"/>
    </row>
    <row r="502" customFormat="false" ht="15.75" hidden="false" customHeight="false" outlineLevel="0" collapsed="false">
      <c r="B502" s="50"/>
      <c r="C502" s="51"/>
      <c r="D502" s="52"/>
      <c r="E502" s="52"/>
      <c r="F502" s="52"/>
      <c r="G502" s="51"/>
      <c r="H502" s="52"/>
      <c r="I502" s="52"/>
      <c r="J502" s="52"/>
      <c r="K502" s="52"/>
    </row>
    <row r="503" customFormat="false" ht="15.75" hidden="false" customHeight="false" outlineLevel="0" collapsed="false">
      <c r="B503" s="50"/>
      <c r="C503" s="51"/>
      <c r="D503" s="52"/>
      <c r="E503" s="52"/>
      <c r="F503" s="52"/>
      <c r="G503" s="51"/>
      <c r="H503" s="52"/>
      <c r="I503" s="52"/>
      <c r="J503" s="52"/>
      <c r="K503" s="52"/>
    </row>
    <row r="504" customFormat="false" ht="15.75" hidden="false" customHeight="false" outlineLevel="0" collapsed="false">
      <c r="B504" s="50"/>
      <c r="C504" s="51"/>
      <c r="D504" s="52"/>
      <c r="E504" s="52"/>
      <c r="F504" s="52"/>
      <c r="G504" s="51"/>
      <c r="H504" s="52"/>
      <c r="I504" s="52"/>
      <c r="J504" s="52"/>
      <c r="K504" s="52"/>
    </row>
    <row r="505" customFormat="false" ht="15.75" hidden="false" customHeight="false" outlineLevel="0" collapsed="false">
      <c r="B505" s="50"/>
      <c r="C505" s="51"/>
      <c r="D505" s="52"/>
      <c r="E505" s="52"/>
      <c r="F505" s="52"/>
      <c r="G505" s="51"/>
      <c r="H505" s="52"/>
      <c r="I505" s="52"/>
      <c r="J505" s="52"/>
      <c r="K505" s="52"/>
    </row>
    <row r="506" customFormat="false" ht="15.75" hidden="false" customHeight="false" outlineLevel="0" collapsed="false">
      <c r="B506" s="50"/>
      <c r="C506" s="51"/>
      <c r="D506" s="52"/>
      <c r="E506" s="52"/>
      <c r="F506" s="52"/>
      <c r="G506" s="51"/>
      <c r="H506" s="52"/>
      <c r="I506" s="52"/>
      <c r="J506" s="52"/>
      <c r="K506" s="52"/>
    </row>
    <row r="507" customFormat="false" ht="15.75" hidden="false" customHeight="false" outlineLevel="0" collapsed="false">
      <c r="B507" s="50"/>
      <c r="C507" s="51"/>
      <c r="D507" s="52"/>
      <c r="E507" s="52"/>
      <c r="F507" s="52"/>
      <c r="G507" s="51"/>
      <c r="H507" s="52"/>
      <c r="I507" s="52"/>
      <c r="J507" s="52"/>
      <c r="K507" s="52"/>
    </row>
    <row r="508" customFormat="false" ht="15.75" hidden="false" customHeight="false" outlineLevel="0" collapsed="false">
      <c r="B508" s="50"/>
      <c r="C508" s="51"/>
      <c r="D508" s="52"/>
      <c r="E508" s="52"/>
      <c r="F508" s="52"/>
      <c r="G508" s="51"/>
      <c r="H508" s="52"/>
      <c r="I508" s="52"/>
      <c r="J508" s="52"/>
      <c r="K508" s="52"/>
    </row>
    <row r="509" customFormat="false" ht="15.75" hidden="false" customHeight="false" outlineLevel="0" collapsed="false">
      <c r="B509" s="50"/>
      <c r="C509" s="51"/>
      <c r="D509" s="52"/>
      <c r="E509" s="52"/>
      <c r="F509" s="52"/>
      <c r="G509" s="51"/>
      <c r="H509" s="52"/>
      <c r="I509" s="52"/>
      <c r="J509" s="52"/>
      <c r="K509" s="52"/>
    </row>
    <row r="510" customFormat="false" ht="15.75" hidden="false" customHeight="false" outlineLevel="0" collapsed="false">
      <c r="B510" s="50"/>
      <c r="C510" s="51"/>
      <c r="D510" s="52"/>
      <c r="E510" s="52"/>
      <c r="F510" s="52"/>
      <c r="G510" s="51"/>
      <c r="H510" s="52"/>
      <c r="I510" s="52"/>
      <c r="J510" s="52"/>
      <c r="K510" s="52"/>
    </row>
    <row r="511" customFormat="false" ht="15.75" hidden="false" customHeight="false" outlineLevel="0" collapsed="false">
      <c r="B511" s="50"/>
      <c r="C511" s="51"/>
      <c r="D511" s="52"/>
      <c r="E511" s="52"/>
      <c r="F511" s="52"/>
      <c r="G511" s="51"/>
      <c r="H511" s="52"/>
      <c r="I511" s="52"/>
      <c r="J511" s="52"/>
      <c r="K511" s="52"/>
    </row>
    <row r="512" customFormat="false" ht="15.75" hidden="false" customHeight="false" outlineLevel="0" collapsed="false">
      <c r="B512" s="50"/>
      <c r="C512" s="51"/>
      <c r="D512" s="52"/>
      <c r="E512" s="52"/>
      <c r="F512" s="52"/>
      <c r="G512" s="51"/>
      <c r="H512" s="52"/>
      <c r="I512" s="52"/>
      <c r="J512" s="52"/>
      <c r="K512" s="52"/>
    </row>
    <row r="513" customFormat="false" ht="15.75" hidden="false" customHeight="false" outlineLevel="0" collapsed="false">
      <c r="B513" s="50"/>
      <c r="C513" s="51"/>
      <c r="D513" s="52"/>
      <c r="E513" s="52"/>
      <c r="F513" s="52"/>
      <c r="G513" s="51"/>
      <c r="H513" s="52"/>
      <c r="I513" s="52"/>
      <c r="J513" s="52"/>
      <c r="K513" s="52"/>
    </row>
    <row r="514" customFormat="false" ht="15.75" hidden="false" customHeight="false" outlineLevel="0" collapsed="false">
      <c r="B514" s="50"/>
      <c r="C514" s="51"/>
      <c r="D514" s="52"/>
      <c r="E514" s="52"/>
      <c r="F514" s="52"/>
      <c r="G514" s="51"/>
      <c r="H514" s="52"/>
      <c r="I514" s="52"/>
      <c r="J514" s="52"/>
      <c r="K514" s="52"/>
    </row>
    <row r="515" customFormat="false" ht="15.75" hidden="false" customHeight="false" outlineLevel="0" collapsed="false">
      <c r="B515" s="50"/>
      <c r="C515" s="51"/>
      <c r="D515" s="52"/>
      <c r="E515" s="52"/>
      <c r="F515" s="52"/>
      <c r="G515" s="51"/>
      <c r="H515" s="52"/>
      <c r="I515" s="52"/>
      <c r="J515" s="52"/>
      <c r="K515" s="52"/>
    </row>
    <row r="516" customFormat="false" ht="15.75" hidden="false" customHeight="false" outlineLevel="0" collapsed="false">
      <c r="B516" s="50"/>
      <c r="C516" s="51"/>
      <c r="D516" s="52"/>
      <c r="E516" s="52"/>
      <c r="F516" s="52"/>
      <c r="G516" s="51"/>
      <c r="H516" s="52"/>
      <c r="I516" s="52"/>
      <c r="J516" s="52"/>
      <c r="K516" s="52"/>
    </row>
    <row r="517" customFormat="false" ht="15.75" hidden="false" customHeight="false" outlineLevel="0" collapsed="false">
      <c r="B517" s="50"/>
      <c r="C517" s="51"/>
      <c r="D517" s="52"/>
      <c r="E517" s="52"/>
      <c r="F517" s="52"/>
      <c r="G517" s="51"/>
      <c r="H517" s="52"/>
      <c r="I517" s="52"/>
      <c r="J517" s="52"/>
      <c r="K517" s="52"/>
    </row>
    <row r="518" customFormat="false" ht="15.75" hidden="false" customHeight="false" outlineLevel="0" collapsed="false">
      <c r="B518" s="50"/>
      <c r="C518" s="51"/>
      <c r="D518" s="52"/>
      <c r="E518" s="52"/>
      <c r="F518" s="52"/>
      <c r="G518" s="51"/>
      <c r="H518" s="52"/>
      <c r="I518" s="52"/>
      <c r="J518" s="52"/>
      <c r="K518" s="52"/>
    </row>
    <row r="519" customFormat="false" ht="15.75" hidden="false" customHeight="false" outlineLevel="0" collapsed="false">
      <c r="B519" s="50"/>
      <c r="C519" s="51"/>
      <c r="D519" s="52"/>
      <c r="E519" s="52"/>
      <c r="F519" s="52"/>
      <c r="G519" s="51"/>
      <c r="H519" s="52"/>
      <c r="I519" s="52"/>
      <c r="J519" s="52"/>
      <c r="K519" s="52"/>
    </row>
    <row r="520" customFormat="false" ht="15.75" hidden="false" customHeight="false" outlineLevel="0" collapsed="false">
      <c r="B520" s="50"/>
      <c r="C520" s="51"/>
      <c r="D520" s="52"/>
      <c r="E520" s="52"/>
      <c r="F520" s="52"/>
      <c r="G520" s="51"/>
      <c r="H520" s="52"/>
      <c r="I520" s="52"/>
      <c r="J520" s="52"/>
      <c r="K520" s="52"/>
    </row>
    <row r="521" customFormat="false" ht="15.75" hidden="false" customHeight="false" outlineLevel="0" collapsed="false">
      <c r="B521" s="50"/>
      <c r="C521" s="51"/>
      <c r="D521" s="52"/>
      <c r="E521" s="52"/>
      <c r="F521" s="52"/>
      <c r="G521" s="51"/>
      <c r="H521" s="52"/>
      <c r="I521" s="52"/>
      <c r="J521" s="52"/>
      <c r="K521" s="52"/>
    </row>
    <row r="522" customFormat="false" ht="15.75" hidden="false" customHeight="false" outlineLevel="0" collapsed="false">
      <c r="B522" s="50"/>
      <c r="C522" s="51"/>
      <c r="D522" s="52"/>
      <c r="E522" s="52"/>
      <c r="F522" s="52"/>
      <c r="G522" s="51"/>
      <c r="H522" s="52"/>
      <c r="I522" s="52"/>
      <c r="J522" s="52"/>
      <c r="K522" s="52"/>
    </row>
    <row r="523" customFormat="false" ht="15.75" hidden="false" customHeight="false" outlineLevel="0" collapsed="false">
      <c r="B523" s="50"/>
      <c r="C523" s="51"/>
      <c r="D523" s="52"/>
      <c r="E523" s="52"/>
      <c r="F523" s="52"/>
      <c r="G523" s="51"/>
      <c r="H523" s="52"/>
      <c r="I523" s="52"/>
      <c r="J523" s="52"/>
      <c r="K523" s="52"/>
    </row>
    <row r="524" customFormat="false" ht="15.75" hidden="false" customHeight="false" outlineLevel="0" collapsed="false">
      <c r="B524" s="50"/>
      <c r="C524" s="51"/>
      <c r="D524" s="52"/>
      <c r="E524" s="52"/>
      <c r="F524" s="52"/>
      <c r="G524" s="51"/>
      <c r="H524" s="52"/>
      <c r="I524" s="52"/>
      <c r="J524" s="52"/>
      <c r="K524" s="52"/>
    </row>
    <row r="525" customFormat="false" ht="15.75" hidden="false" customHeight="false" outlineLevel="0" collapsed="false">
      <c r="B525" s="50"/>
      <c r="C525" s="51"/>
      <c r="D525" s="52"/>
      <c r="E525" s="52"/>
      <c r="F525" s="52"/>
      <c r="G525" s="51"/>
      <c r="H525" s="52"/>
      <c r="I525" s="52"/>
      <c r="J525" s="52"/>
      <c r="K525" s="52"/>
    </row>
    <row r="526" customFormat="false" ht="15.75" hidden="false" customHeight="false" outlineLevel="0" collapsed="false">
      <c r="B526" s="50"/>
      <c r="C526" s="51"/>
      <c r="D526" s="52"/>
      <c r="E526" s="52"/>
      <c r="F526" s="52"/>
      <c r="G526" s="51"/>
      <c r="H526" s="52"/>
      <c r="I526" s="52"/>
      <c r="J526" s="52"/>
      <c r="K526" s="52"/>
    </row>
    <row r="527" customFormat="false" ht="15.75" hidden="false" customHeight="false" outlineLevel="0" collapsed="false">
      <c r="B527" s="50"/>
      <c r="C527" s="51"/>
      <c r="D527" s="52"/>
      <c r="E527" s="52"/>
      <c r="F527" s="52"/>
      <c r="G527" s="51"/>
      <c r="H527" s="52"/>
      <c r="I527" s="52"/>
      <c r="J527" s="52"/>
      <c r="K527" s="52"/>
    </row>
    <row r="528" customFormat="false" ht="15.75" hidden="false" customHeight="false" outlineLevel="0" collapsed="false">
      <c r="B528" s="50"/>
      <c r="C528" s="51"/>
      <c r="D528" s="52"/>
      <c r="E528" s="52"/>
      <c r="F528" s="52"/>
      <c r="G528" s="51"/>
      <c r="H528" s="52"/>
      <c r="I528" s="52"/>
      <c r="J528" s="52"/>
      <c r="K528" s="52"/>
    </row>
    <row r="529" customFormat="false" ht="15.75" hidden="false" customHeight="false" outlineLevel="0" collapsed="false">
      <c r="B529" s="50"/>
      <c r="C529" s="51"/>
      <c r="D529" s="52"/>
      <c r="E529" s="52"/>
      <c r="F529" s="52"/>
      <c r="G529" s="51"/>
      <c r="H529" s="52"/>
      <c r="I529" s="52"/>
      <c r="J529" s="52"/>
      <c r="K529" s="52"/>
    </row>
    <row r="530" customFormat="false" ht="15.75" hidden="false" customHeight="false" outlineLevel="0" collapsed="false">
      <c r="B530" s="50"/>
      <c r="C530" s="51"/>
      <c r="D530" s="52"/>
      <c r="E530" s="52"/>
      <c r="F530" s="52"/>
      <c r="G530" s="51"/>
      <c r="H530" s="52"/>
      <c r="I530" s="52"/>
      <c r="J530" s="52"/>
      <c r="K530" s="52"/>
    </row>
    <row r="531" customFormat="false" ht="15.75" hidden="false" customHeight="false" outlineLevel="0" collapsed="false">
      <c r="B531" s="50"/>
      <c r="C531" s="51"/>
      <c r="D531" s="52"/>
      <c r="E531" s="52"/>
      <c r="F531" s="52"/>
      <c r="G531" s="51"/>
      <c r="H531" s="52"/>
      <c r="I531" s="52"/>
      <c r="J531" s="52"/>
      <c r="K531" s="52"/>
    </row>
    <row r="532" customFormat="false" ht="15.75" hidden="false" customHeight="false" outlineLevel="0" collapsed="false">
      <c r="B532" s="50"/>
      <c r="C532" s="51"/>
      <c r="D532" s="52"/>
      <c r="E532" s="52"/>
      <c r="F532" s="52"/>
      <c r="G532" s="51"/>
      <c r="H532" s="52"/>
      <c r="I532" s="52"/>
      <c r="J532" s="52"/>
      <c r="K532" s="52"/>
    </row>
    <row r="533" customFormat="false" ht="15.75" hidden="false" customHeight="false" outlineLevel="0" collapsed="false">
      <c r="B533" s="50"/>
      <c r="C533" s="51"/>
      <c r="D533" s="52"/>
      <c r="E533" s="52"/>
      <c r="F533" s="52"/>
      <c r="G533" s="51"/>
      <c r="H533" s="52"/>
      <c r="I533" s="52"/>
      <c r="J533" s="52"/>
      <c r="K533" s="52"/>
    </row>
    <row r="534" customFormat="false" ht="15.75" hidden="false" customHeight="false" outlineLevel="0" collapsed="false">
      <c r="B534" s="50"/>
      <c r="C534" s="51"/>
      <c r="D534" s="52"/>
      <c r="E534" s="52"/>
      <c r="F534" s="52"/>
      <c r="G534" s="51"/>
      <c r="H534" s="52"/>
      <c r="I534" s="52"/>
      <c r="J534" s="52"/>
      <c r="K534" s="52"/>
    </row>
    <row r="535" customFormat="false" ht="15.75" hidden="false" customHeight="false" outlineLevel="0" collapsed="false">
      <c r="B535" s="50"/>
      <c r="C535" s="51"/>
      <c r="D535" s="52"/>
      <c r="E535" s="52"/>
      <c r="F535" s="52"/>
      <c r="G535" s="51"/>
      <c r="H535" s="52"/>
      <c r="I535" s="52"/>
      <c r="J535" s="52"/>
      <c r="K535" s="52"/>
    </row>
    <row r="536" customFormat="false" ht="15.75" hidden="false" customHeight="false" outlineLevel="0" collapsed="false">
      <c r="B536" s="50"/>
      <c r="C536" s="51"/>
      <c r="D536" s="52"/>
      <c r="E536" s="52"/>
      <c r="F536" s="52"/>
      <c r="G536" s="51"/>
      <c r="H536" s="52"/>
      <c r="I536" s="52"/>
      <c r="J536" s="52"/>
      <c r="K536" s="52"/>
    </row>
    <row r="537" customFormat="false" ht="15.75" hidden="false" customHeight="false" outlineLevel="0" collapsed="false">
      <c r="B537" s="50"/>
      <c r="C537" s="51"/>
      <c r="D537" s="52"/>
      <c r="E537" s="52"/>
      <c r="F537" s="52"/>
      <c r="G537" s="51"/>
      <c r="H537" s="52"/>
      <c r="I537" s="52"/>
      <c r="J537" s="52"/>
      <c r="K537" s="52"/>
    </row>
    <row r="538" customFormat="false" ht="15.75" hidden="false" customHeight="false" outlineLevel="0" collapsed="false">
      <c r="B538" s="50"/>
      <c r="C538" s="51"/>
      <c r="D538" s="52"/>
      <c r="E538" s="52"/>
      <c r="F538" s="52"/>
      <c r="G538" s="51"/>
      <c r="H538" s="52"/>
      <c r="I538" s="52"/>
      <c r="J538" s="52"/>
      <c r="K538" s="52"/>
    </row>
    <row r="539" customFormat="false" ht="15.75" hidden="false" customHeight="false" outlineLevel="0" collapsed="false">
      <c r="B539" s="50"/>
      <c r="C539" s="51"/>
      <c r="D539" s="52"/>
      <c r="E539" s="52"/>
      <c r="F539" s="52"/>
      <c r="G539" s="51"/>
      <c r="H539" s="52"/>
      <c r="I539" s="52"/>
      <c r="J539" s="52"/>
      <c r="K539" s="52"/>
    </row>
    <row r="540" customFormat="false" ht="15.75" hidden="false" customHeight="false" outlineLevel="0" collapsed="false">
      <c r="B540" s="50"/>
      <c r="C540" s="51"/>
      <c r="D540" s="52"/>
      <c r="E540" s="52"/>
      <c r="F540" s="52"/>
      <c r="G540" s="51"/>
      <c r="H540" s="52"/>
      <c r="I540" s="52"/>
      <c r="J540" s="52"/>
      <c r="K540" s="52"/>
    </row>
    <row r="541" customFormat="false" ht="15.75" hidden="false" customHeight="false" outlineLevel="0" collapsed="false">
      <c r="B541" s="50"/>
      <c r="C541" s="51"/>
      <c r="D541" s="52"/>
      <c r="E541" s="52"/>
      <c r="F541" s="52"/>
      <c r="G541" s="51"/>
      <c r="H541" s="52"/>
      <c r="I541" s="52"/>
      <c r="J541" s="52"/>
      <c r="K541" s="52"/>
    </row>
    <row r="542" customFormat="false" ht="15.75" hidden="false" customHeight="false" outlineLevel="0" collapsed="false">
      <c r="B542" s="50"/>
      <c r="C542" s="51"/>
      <c r="D542" s="52"/>
      <c r="E542" s="52"/>
      <c r="F542" s="52"/>
      <c r="G542" s="51"/>
      <c r="H542" s="52"/>
      <c r="I542" s="52"/>
      <c r="J542" s="52"/>
      <c r="K542" s="52"/>
    </row>
    <row r="543" customFormat="false" ht="15.75" hidden="false" customHeight="false" outlineLevel="0" collapsed="false">
      <c r="B543" s="50"/>
      <c r="C543" s="51"/>
      <c r="D543" s="52"/>
      <c r="E543" s="52"/>
      <c r="F543" s="52"/>
      <c r="G543" s="51"/>
      <c r="H543" s="52"/>
      <c r="I543" s="52"/>
      <c r="J543" s="52"/>
      <c r="K543" s="52"/>
    </row>
    <row r="544" customFormat="false" ht="15.75" hidden="false" customHeight="false" outlineLevel="0" collapsed="false">
      <c r="B544" s="50"/>
      <c r="C544" s="51"/>
      <c r="D544" s="52"/>
      <c r="E544" s="52"/>
      <c r="F544" s="52"/>
      <c r="G544" s="51"/>
      <c r="H544" s="52"/>
      <c r="I544" s="52"/>
      <c r="J544" s="52"/>
      <c r="K544" s="52"/>
    </row>
    <row r="545" customFormat="false" ht="15.75" hidden="false" customHeight="false" outlineLevel="0" collapsed="false">
      <c r="B545" s="50"/>
      <c r="C545" s="51"/>
      <c r="D545" s="52"/>
      <c r="E545" s="52"/>
      <c r="F545" s="52"/>
      <c r="G545" s="51"/>
      <c r="H545" s="52"/>
      <c r="I545" s="52"/>
      <c r="J545" s="52"/>
      <c r="K545" s="52"/>
    </row>
    <row r="546" customFormat="false" ht="15.75" hidden="false" customHeight="false" outlineLevel="0" collapsed="false">
      <c r="B546" s="50"/>
      <c r="C546" s="51"/>
      <c r="D546" s="52"/>
      <c r="E546" s="52"/>
      <c r="F546" s="52"/>
      <c r="G546" s="51"/>
      <c r="H546" s="52"/>
      <c r="I546" s="52"/>
      <c r="J546" s="52"/>
      <c r="K546" s="52"/>
    </row>
    <row r="547" customFormat="false" ht="15.75" hidden="false" customHeight="false" outlineLevel="0" collapsed="false">
      <c r="B547" s="50"/>
      <c r="C547" s="51"/>
      <c r="D547" s="52"/>
      <c r="E547" s="52"/>
      <c r="F547" s="52"/>
      <c r="G547" s="51"/>
      <c r="H547" s="52"/>
      <c r="I547" s="52"/>
      <c r="J547" s="52"/>
      <c r="K547" s="52"/>
    </row>
    <row r="548" customFormat="false" ht="15.75" hidden="false" customHeight="false" outlineLevel="0" collapsed="false">
      <c r="B548" s="50"/>
      <c r="C548" s="51"/>
      <c r="D548" s="52"/>
      <c r="E548" s="52"/>
      <c r="F548" s="52"/>
      <c r="G548" s="51"/>
      <c r="H548" s="52"/>
      <c r="I548" s="52"/>
      <c r="J548" s="52"/>
      <c r="K548" s="52"/>
    </row>
    <row r="549" customFormat="false" ht="15.75" hidden="false" customHeight="false" outlineLevel="0" collapsed="false">
      <c r="B549" s="50"/>
      <c r="C549" s="51"/>
      <c r="D549" s="52"/>
      <c r="E549" s="52"/>
      <c r="F549" s="52"/>
      <c r="G549" s="51"/>
      <c r="H549" s="52"/>
      <c r="I549" s="52"/>
      <c r="J549" s="52"/>
      <c r="K549" s="52"/>
    </row>
    <row r="550" customFormat="false" ht="15.75" hidden="false" customHeight="false" outlineLevel="0" collapsed="false">
      <c r="B550" s="50"/>
      <c r="C550" s="51"/>
      <c r="D550" s="52"/>
      <c r="E550" s="52"/>
      <c r="F550" s="52"/>
      <c r="G550" s="51"/>
      <c r="H550" s="52"/>
      <c r="I550" s="52"/>
      <c r="J550" s="52"/>
      <c r="K550" s="52"/>
    </row>
    <row r="551" customFormat="false" ht="15.75" hidden="false" customHeight="false" outlineLevel="0" collapsed="false">
      <c r="B551" s="50"/>
      <c r="C551" s="51"/>
      <c r="D551" s="52"/>
      <c r="E551" s="52"/>
      <c r="F551" s="52"/>
      <c r="G551" s="51"/>
      <c r="H551" s="52"/>
      <c r="I551" s="52"/>
      <c r="J551" s="52"/>
      <c r="K551" s="52"/>
    </row>
    <row r="552" customFormat="false" ht="15.75" hidden="false" customHeight="false" outlineLevel="0" collapsed="false">
      <c r="B552" s="50"/>
      <c r="C552" s="51"/>
      <c r="D552" s="52"/>
      <c r="E552" s="52"/>
      <c r="F552" s="52"/>
      <c r="G552" s="51"/>
      <c r="H552" s="52"/>
      <c r="I552" s="52"/>
      <c r="J552" s="52"/>
      <c r="K552" s="52"/>
    </row>
    <row r="553" customFormat="false" ht="15.75" hidden="false" customHeight="false" outlineLevel="0" collapsed="false">
      <c r="B553" s="50"/>
      <c r="C553" s="51"/>
      <c r="D553" s="52"/>
      <c r="E553" s="52"/>
      <c r="F553" s="52"/>
      <c r="G553" s="51"/>
      <c r="H553" s="52"/>
      <c r="I553" s="52"/>
      <c r="J553" s="52"/>
      <c r="K553" s="52"/>
    </row>
    <row r="554" customFormat="false" ht="15.75" hidden="false" customHeight="false" outlineLevel="0" collapsed="false">
      <c r="B554" s="50"/>
      <c r="C554" s="51"/>
      <c r="D554" s="52"/>
      <c r="E554" s="52"/>
      <c r="F554" s="52"/>
      <c r="G554" s="51"/>
      <c r="H554" s="52"/>
      <c r="I554" s="52"/>
      <c r="J554" s="52"/>
      <c r="K554" s="52"/>
    </row>
    <row r="555" customFormat="false" ht="15.75" hidden="false" customHeight="false" outlineLevel="0" collapsed="false">
      <c r="B555" s="50"/>
      <c r="C555" s="51"/>
      <c r="D555" s="52"/>
      <c r="E555" s="52"/>
      <c r="F555" s="52"/>
      <c r="G555" s="51"/>
      <c r="H555" s="52"/>
      <c r="I555" s="52"/>
      <c r="J555" s="52"/>
      <c r="K555" s="52"/>
    </row>
    <row r="556" customFormat="false" ht="15.75" hidden="false" customHeight="false" outlineLevel="0" collapsed="false">
      <c r="B556" s="50"/>
      <c r="C556" s="51"/>
      <c r="D556" s="52"/>
      <c r="E556" s="52"/>
      <c r="F556" s="52"/>
      <c r="G556" s="51"/>
      <c r="H556" s="52"/>
      <c r="I556" s="52"/>
      <c r="J556" s="52"/>
      <c r="K556" s="52"/>
    </row>
    <row r="557" customFormat="false" ht="15.75" hidden="false" customHeight="false" outlineLevel="0" collapsed="false">
      <c r="B557" s="50"/>
      <c r="C557" s="51"/>
      <c r="D557" s="52"/>
      <c r="E557" s="52"/>
      <c r="F557" s="52"/>
      <c r="G557" s="51"/>
      <c r="H557" s="52"/>
      <c r="I557" s="52"/>
      <c r="J557" s="52"/>
      <c r="K557" s="52"/>
    </row>
    <row r="558" customFormat="false" ht="15.75" hidden="false" customHeight="false" outlineLevel="0" collapsed="false">
      <c r="B558" s="50"/>
      <c r="C558" s="51"/>
      <c r="D558" s="52"/>
      <c r="E558" s="52"/>
      <c r="F558" s="52"/>
      <c r="G558" s="51"/>
      <c r="H558" s="52"/>
      <c r="I558" s="52"/>
      <c r="J558" s="52"/>
      <c r="K558" s="52"/>
    </row>
    <row r="559" customFormat="false" ht="15.75" hidden="false" customHeight="false" outlineLevel="0" collapsed="false">
      <c r="B559" s="50"/>
      <c r="C559" s="51"/>
      <c r="D559" s="52"/>
      <c r="E559" s="52"/>
      <c r="F559" s="52"/>
      <c r="G559" s="51"/>
      <c r="H559" s="52"/>
      <c r="I559" s="52"/>
      <c r="J559" s="52"/>
      <c r="K559" s="52"/>
    </row>
    <row r="560" customFormat="false" ht="15.75" hidden="false" customHeight="false" outlineLevel="0" collapsed="false">
      <c r="B560" s="50"/>
      <c r="C560" s="51"/>
      <c r="D560" s="52"/>
      <c r="E560" s="52"/>
      <c r="F560" s="52"/>
      <c r="G560" s="51"/>
      <c r="H560" s="52"/>
      <c r="I560" s="52"/>
      <c r="J560" s="52"/>
      <c r="K560" s="52"/>
    </row>
    <row r="561" customFormat="false" ht="15.75" hidden="false" customHeight="false" outlineLevel="0" collapsed="false">
      <c r="B561" s="50"/>
      <c r="C561" s="51"/>
      <c r="D561" s="52"/>
      <c r="E561" s="52"/>
      <c r="F561" s="52"/>
      <c r="G561" s="51"/>
      <c r="H561" s="52"/>
      <c r="I561" s="52"/>
      <c r="J561" s="52"/>
      <c r="K561" s="52"/>
    </row>
    <row r="562" customFormat="false" ht="15.75" hidden="false" customHeight="false" outlineLevel="0" collapsed="false">
      <c r="B562" s="50"/>
      <c r="C562" s="51"/>
      <c r="D562" s="52"/>
      <c r="E562" s="52"/>
      <c r="F562" s="52"/>
      <c r="G562" s="51"/>
      <c r="H562" s="52"/>
      <c r="I562" s="52"/>
      <c r="J562" s="52"/>
      <c r="K562" s="52"/>
    </row>
    <row r="563" customFormat="false" ht="15.75" hidden="false" customHeight="false" outlineLevel="0" collapsed="false">
      <c r="B563" s="50"/>
      <c r="C563" s="51"/>
      <c r="D563" s="52"/>
      <c r="E563" s="52"/>
      <c r="F563" s="52"/>
      <c r="G563" s="51"/>
      <c r="H563" s="52"/>
      <c r="I563" s="52"/>
      <c r="J563" s="52"/>
      <c r="K563" s="52"/>
    </row>
    <row r="564" customFormat="false" ht="15.75" hidden="false" customHeight="false" outlineLevel="0" collapsed="false">
      <c r="B564" s="50"/>
      <c r="C564" s="51"/>
      <c r="D564" s="52"/>
      <c r="E564" s="52"/>
      <c r="F564" s="52"/>
      <c r="G564" s="51"/>
      <c r="H564" s="52"/>
      <c r="I564" s="52"/>
      <c r="J564" s="52"/>
      <c r="K564" s="52"/>
    </row>
    <row r="565" customFormat="false" ht="15.75" hidden="false" customHeight="false" outlineLevel="0" collapsed="false">
      <c r="B565" s="50"/>
      <c r="C565" s="51"/>
      <c r="D565" s="52"/>
      <c r="E565" s="52"/>
      <c r="F565" s="52"/>
      <c r="G565" s="51"/>
      <c r="H565" s="52"/>
      <c r="I565" s="52"/>
      <c r="J565" s="52"/>
      <c r="K565" s="52"/>
    </row>
    <row r="566" customFormat="false" ht="15.75" hidden="false" customHeight="false" outlineLevel="0" collapsed="false">
      <c r="B566" s="50"/>
      <c r="C566" s="51"/>
      <c r="D566" s="52"/>
      <c r="E566" s="52"/>
      <c r="F566" s="52"/>
      <c r="G566" s="51"/>
      <c r="H566" s="52"/>
      <c r="I566" s="52"/>
      <c r="J566" s="52"/>
      <c r="K566" s="52"/>
    </row>
    <row r="567" customFormat="false" ht="15.75" hidden="false" customHeight="false" outlineLevel="0" collapsed="false">
      <c r="B567" s="50"/>
      <c r="C567" s="51"/>
      <c r="D567" s="52"/>
      <c r="E567" s="52"/>
      <c r="F567" s="52"/>
      <c r="G567" s="51"/>
      <c r="H567" s="52"/>
      <c r="I567" s="52"/>
      <c r="J567" s="52"/>
      <c r="K567" s="52"/>
    </row>
    <row r="568" customFormat="false" ht="15.75" hidden="false" customHeight="false" outlineLevel="0" collapsed="false">
      <c r="B568" s="50"/>
      <c r="C568" s="51"/>
      <c r="D568" s="52"/>
      <c r="E568" s="52"/>
      <c r="F568" s="52"/>
      <c r="G568" s="51"/>
      <c r="H568" s="52"/>
      <c r="I568" s="52"/>
      <c r="J568" s="52"/>
      <c r="K568" s="52"/>
    </row>
    <row r="569" customFormat="false" ht="15.75" hidden="false" customHeight="false" outlineLevel="0" collapsed="false">
      <c r="B569" s="50"/>
      <c r="C569" s="51"/>
      <c r="D569" s="52"/>
      <c r="E569" s="52"/>
      <c r="F569" s="52"/>
      <c r="G569" s="51"/>
      <c r="H569" s="52"/>
      <c r="I569" s="52"/>
      <c r="J569" s="52"/>
      <c r="K569" s="52"/>
    </row>
    <row r="570" customFormat="false" ht="15.75" hidden="false" customHeight="false" outlineLevel="0" collapsed="false">
      <c r="B570" s="50"/>
      <c r="C570" s="51"/>
      <c r="D570" s="52"/>
      <c r="E570" s="52"/>
      <c r="F570" s="52"/>
      <c r="G570" s="51"/>
      <c r="H570" s="52"/>
      <c r="I570" s="52"/>
      <c r="J570" s="52"/>
      <c r="K570" s="52"/>
    </row>
    <row r="571" customFormat="false" ht="15.75" hidden="false" customHeight="false" outlineLevel="0" collapsed="false">
      <c r="B571" s="50"/>
      <c r="C571" s="51"/>
      <c r="D571" s="52"/>
      <c r="E571" s="52"/>
      <c r="F571" s="52"/>
      <c r="G571" s="51"/>
      <c r="H571" s="52"/>
      <c r="I571" s="52"/>
      <c r="J571" s="52"/>
      <c r="K571" s="52"/>
    </row>
    <row r="572" customFormat="false" ht="15.75" hidden="false" customHeight="false" outlineLevel="0" collapsed="false">
      <c r="B572" s="50"/>
      <c r="C572" s="51"/>
      <c r="D572" s="52"/>
      <c r="E572" s="52"/>
      <c r="F572" s="52"/>
      <c r="G572" s="51"/>
      <c r="H572" s="52"/>
      <c r="I572" s="52"/>
      <c r="J572" s="52"/>
      <c r="K572" s="52"/>
    </row>
    <row r="573" customFormat="false" ht="15.75" hidden="false" customHeight="false" outlineLevel="0" collapsed="false">
      <c r="B573" s="50"/>
      <c r="C573" s="51"/>
      <c r="D573" s="52"/>
      <c r="E573" s="52"/>
      <c r="F573" s="52"/>
      <c r="G573" s="51"/>
      <c r="H573" s="52"/>
      <c r="I573" s="52"/>
      <c r="J573" s="52"/>
      <c r="K573" s="52"/>
    </row>
    <row r="574" customFormat="false" ht="15.75" hidden="false" customHeight="false" outlineLevel="0" collapsed="false">
      <c r="B574" s="50"/>
      <c r="C574" s="51"/>
      <c r="D574" s="52"/>
      <c r="E574" s="52"/>
      <c r="F574" s="52"/>
      <c r="G574" s="51"/>
      <c r="H574" s="52"/>
      <c r="I574" s="52"/>
      <c r="J574" s="52"/>
      <c r="K574" s="52"/>
    </row>
    <row r="575" customFormat="false" ht="15.75" hidden="false" customHeight="false" outlineLevel="0" collapsed="false">
      <c r="B575" s="50"/>
      <c r="C575" s="51"/>
      <c r="D575" s="52"/>
      <c r="E575" s="52"/>
      <c r="F575" s="52"/>
      <c r="G575" s="51"/>
      <c r="H575" s="52"/>
      <c r="I575" s="52"/>
      <c r="J575" s="52"/>
      <c r="K575" s="52"/>
    </row>
    <row r="576" customFormat="false" ht="15.75" hidden="false" customHeight="false" outlineLevel="0" collapsed="false">
      <c r="B576" s="50"/>
      <c r="C576" s="51"/>
      <c r="D576" s="52"/>
      <c r="E576" s="52"/>
      <c r="F576" s="52"/>
      <c r="G576" s="51"/>
      <c r="H576" s="52"/>
      <c r="I576" s="52"/>
      <c r="J576" s="52"/>
      <c r="K576" s="52"/>
    </row>
    <row r="577" customFormat="false" ht="15.75" hidden="false" customHeight="false" outlineLevel="0" collapsed="false">
      <c r="B577" s="50"/>
      <c r="C577" s="51"/>
      <c r="D577" s="52"/>
      <c r="E577" s="52"/>
      <c r="F577" s="52"/>
      <c r="G577" s="51"/>
      <c r="H577" s="52"/>
      <c r="I577" s="52"/>
      <c r="J577" s="52"/>
      <c r="K577" s="52"/>
    </row>
    <row r="578" customFormat="false" ht="15.75" hidden="false" customHeight="false" outlineLevel="0" collapsed="false">
      <c r="B578" s="50"/>
      <c r="C578" s="51"/>
      <c r="D578" s="52"/>
      <c r="E578" s="52"/>
      <c r="F578" s="52"/>
      <c r="G578" s="51"/>
      <c r="H578" s="52"/>
      <c r="I578" s="52"/>
      <c r="J578" s="52"/>
      <c r="K578" s="52"/>
    </row>
    <row r="579" customFormat="false" ht="15.75" hidden="false" customHeight="false" outlineLevel="0" collapsed="false">
      <c r="B579" s="50"/>
      <c r="C579" s="51"/>
      <c r="D579" s="52"/>
      <c r="E579" s="52"/>
      <c r="F579" s="52"/>
      <c r="G579" s="51"/>
      <c r="H579" s="52"/>
      <c r="I579" s="52"/>
      <c r="J579" s="52"/>
      <c r="K579" s="52"/>
    </row>
    <row r="580" customFormat="false" ht="15.75" hidden="false" customHeight="false" outlineLevel="0" collapsed="false">
      <c r="B580" s="50"/>
      <c r="C580" s="51"/>
      <c r="D580" s="52"/>
      <c r="E580" s="52"/>
      <c r="F580" s="52"/>
      <c r="G580" s="51"/>
      <c r="H580" s="52"/>
      <c r="I580" s="52"/>
      <c r="J580" s="52"/>
      <c r="K580" s="52"/>
    </row>
    <row r="581" customFormat="false" ht="15.75" hidden="false" customHeight="false" outlineLevel="0" collapsed="false">
      <c r="B581" s="50"/>
      <c r="C581" s="51"/>
      <c r="D581" s="52"/>
      <c r="E581" s="52"/>
      <c r="F581" s="52"/>
      <c r="G581" s="51"/>
      <c r="H581" s="52"/>
      <c r="I581" s="52"/>
      <c r="J581" s="52"/>
      <c r="K581" s="52"/>
    </row>
    <row r="582" customFormat="false" ht="15.75" hidden="false" customHeight="false" outlineLevel="0" collapsed="false">
      <c r="B582" s="50"/>
      <c r="C582" s="51"/>
      <c r="D582" s="52"/>
      <c r="E582" s="52"/>
      <c r="F582" s="52"/>
      <c r="G582" s="51"/>
      <c r="H582" s="52"/>
      <c r="I582" s="52"/>
      <c r="J582" s="52"/>
      <c r="K582" s="52"/>
    </row>
    <row r="583" customFormat="false" ht="15.75" hidden="false" customHeight="false" outlineLevel="0" collapsed="false">
      <c r="B583" s="50"/>
      <c r="C583" s="51"/>
      <c r="D583" s="52"/>
      <c r="E583" s="52"/>
      <c r="F583" s="52"/>
      <c r="G583" s="51"/>
      <c r="H583" s="52"/>
      <c r="I583" s="52"/>
      <c r="J583" s="52"/>
      <c r="K583" s="52"/>
    </row>
    <row r="584" customFormat="false" ht="15.75" hidden="false" customHeight="false" outlineLevel="0" collapsed="false">
      <c r="B584" s="50"/>
      <c r="C584" s="51"/>
      <c r="D584" s="52"/>
      <c r="E584" s="52"/>
      <c r="F584" s="52"/>
      <c r="G584" s="51"/>
      <c r="H584" s="52"/>
      <c r="I584" s="52"/>
      <c r="J584" s="52"/>
      <c r="K584" s="52"/>
    </row>
    <row r="585" customFormat="false" ht="15.75" hidden="false" customHeight="false" outlineLevel="0" collapsed="false">
      <c r="B585" s="50"/>
      <c r="C585" s="51"/>
      <c r="D585" s="52"/>
      <c r="E585" s="52"/>
      <c r="F585" s="52"/>
      <c r="G585" s="51"/>
      <c r="H585" s="52"/>
      <c r="I585" s="52"/>
      <c r="J585" s="52"/>
      <c r="K585" s="52"/>
    </row>
    <row r="586" customFormat="false" ht="15.75" hidden="false" customHeight="false" outlineLevel="0" collapsed="false">
      <c r="B586" s="50"/>
      <c r="C586" s="51"/>
      <c r="D586" s="52"/>
      <c r="E586" s="52"/>
      <c r="F586" s="52"/>
      <c r="G586" s="51"/>
      <c r="H586" s="52"/>
      <c r="I586" s="52"/>
      <c r="J586" s="52"/>
      <c r="K586" s="52"/>
    </row>
    <row r="587" customFormat="false" ht="15.75" hidden="false" customHeight="false" outlineLevel="0" collapsed="false">
      <c r="B587" s="50"/>
      <c r="C587" s="51"/>
      <c r="D587" s="52"/>
      <c r="E587" s="52"/>
      <c r="F587" s="52"/>
      <c r="G587" s="51"/>
      <c r="H587" s="52"/>
      <c r="I587" s="52"/>
      <c r="J587" s="52"/>
      <c r="K587" s="52"/>
    </row>
    <row r="588" customFormat="false" ht="15.75" hidden="false" customHeight="false" outlineLevel="0" collapsed="false">
      <c r="B588" s="50"/>
      <c r="C588" s="51"/>
      <c r="D588" s="52"/>
      <c r="E588" s="52"/>
      <c r="F588" s="52"/>
      <c r="G588" s="51"/>
      <c r="H588" s="52"/>
      <c r="I588" s="52"/>
      <c r="J588" s="52"/>
      <c r="K588" s="52"/>
    </row>
    <row r="589" customFormat="false" ht="15.75" hidden="false" customHeight="false" outlineLevel="0" collapsed="false">
      <c r="B589" s="50"/>
      <c r="C589" s="51"/>
      <c r="D589" s="52"/>
      <c r="E589" s="52"/>
      <c r="F589" s="52"/>
      <c r="G589" s="51"/>
      <c r="H589" s="52"/>
      <c r="I589" s="52"/>
      <c r="J589" s="52"/>
      <c r="K589" s="52"/>
    </row>
    <row r="590" customFormat="false" ht="15.75" hidden="false" customHeight="false" outlineLevel="0" collapsed="false">
      <c r="B590" s="50"/>
      <c r="C590" s="51"/>
      <c r="D590" s="52"/>
      <c r="E590" s="52"/>
      <c r="F590" s="52"/>
      <c r="G590" s="51"/>
      <c r="H590" s="52"/>
      <c r="I590" s="52"/>
      <c r="J590" s="52"/>
      <c r="K590" s="52"/>
    </row>
    <row r="591" customFormat="false" ht="15.75" hidden="false" customHeight="false" outlineLevel="0" collapsed="false">
      <c r="B591" s="50"/>
      <c r="C591" s="51"/>
      <c r="D591" s="52"/>
      <c r="E591" s="52"/>
      <c r="F591" s="52"/>
      <c r="G591" s="51"/>
      <c r="H591" s="52"/>
      <c r="I591" s="52"/>
      <c r="J591" s="52"/>
      <c r="K591" s="52"/>
    </row>
    <row r="592" customFormat="false" ht="15.75" hidden="false" customHeight="false" outlineLevel="0" collapsed="false">
      <c r="B592" s="50"/>
      <c r="C592" s="51"/>
      <c r="D592" s="52"/>
      <c r="E592" s="52"/>
      <c r="F592" s="52"/>
      <c r="G592" s="51"/>
      <c r="H592" s="52"/>
      <c r="I592" s="52"/>
      <c r="J592" s="52"/>
      <c r="K592" s="52"/>
    </row>
    <row r="593" customFormat="false" ht="15.75" hidden="false" customHeight="false" outlineLevel="0" collapsed="false">
      <c r="B593" s="50"/>
      <c r="C593" s="51"/>
      <c r="D593" s="52"/>
      <c r="E593" s="52"/>
      <c r="F593" s="52"/>
      <c r="G593" s="51"/>
      <c r="H593" s="52"/>
      <c r="I593" s="52"/>
      <c r="J593" s="52"/>
      <c r="K593" s="52"/>
    </row>
    <row r="594" customFormat="false" ht="15.75" hidden="false" customHeight="false" outlineLevel="0" collapsed="false">
      <c r="B594" s="50"/>
      <c r="C594" s="51"/>
      <c r="D594" s="52"/>
      <c r="E594" s="52"/>
      <c r="F594" s="52"/>
      <c r="G594" s="51"/>
      <c r="H594" s="52"/>
      <c r="I594" s="52"/>
      <c r="J594" s="52"/>
      <c r="K594" s="52"/>
    </row>
    <row r="595" customFormat="false" ht="15.75" hidden="false" customHeight="false" outlineLevel="0" collapsed="false">
      <c r="B595" s="50"/>
      <c r="C595" s="51"/>
      <c r="D595" s="52"/>
      <c r="E595" s="52"/>
      <c r="F595" s="52"/>
      <c r="G595" s="51"/>
      <c r="H595" s="52"/>
      <c r="I595" s="52"/>
      <c r="J595" s="52"/>
      <c r="K595" s="52"/>
    </row>
    <row r="596" customFormat="false" ht="15.75" hidden="false" customHeight="false" outlineLevel="0" collapsed="false">
      <c r="B596" s="50"/>
      <c r="C596" s="51"/>
      <c r="D596" s="52"/>
      <c r="E596" s="52"/>
      <c r="F596" s="52"/>
      <c r="G596" s="51"/>
      <c r="H596" s="52"/>
      <c r="I596" s="52"/>
      <c r="J596" s="52"/>
      <c r="K596" s="52"/>
    </row>
    <row r="597" customFormat="false" ht="15.75" hidden="false" customHeight="false" outlineLevel="0" collapsed="false">
      <c r="B597" s="50"/>
      <c r="C597" s="51"/>
      <c r="D597" s="52"/>
      <c r="E597" s="52"/>
      <c r="F597" s="52"/>
      <c r="G597" s="51"/>
      <c r="H597" s="52"/>
      <c r="I597" s="52"/>
      <c r="J597" s="52"/>
      <c r="K597" s="52"/>
    </row>
    <row r="598" customFormat="false" ht="15.75" hidden="false" customHeight="false" outlineLevel="0" collapsed="false">
      <c r="B598" s="50"/>
      <c r="C598" s="51"/>
      <c r="D598" s="52"/>
      <c r="E598" s="52"/>
      <c r="F598" s="52"/>
      <c r="G598" s="51"/>
      <c r="H598" s="52"/>
      <c r="I598" s="52"/>
      <c r="J598" s="52"/>
      <c r="K598" s="52"/>
    </row>
    <row r="599" customFormat="false" ht="15.75" hidden="false" customHeight="false" outlineLevel="0" collapsed="false">
      <c r="B599" s="50"/>
      <c r="C599" s="51"/>
      <c r="D599" s="52"/>
      <c r="E599" s="52"/>
      <c r="F599" s="52"/>
      <c r="G599" s="51"/>
      <c r="H599" s="52"/>
      <c r="I599" s="52"/>
      <c r="J599" s="52"/>
      <c r="K599" s="52"/>
    </row>
    <row r="600" customFormat="false" ht="15.75" hidden="false" customHeight="false" outlineLevel="0" collapsed="false">
      <c r="B600" s="50"/>
      <c r="C600" s="51"/>
      <c r="D600" s="52"/>
      <c r="E600" s="52"/>
      <c r="F600" s="52"/>
      <c r="G600" s="51"/>
      <c r="H600" s="52"/>
      <c r="I600" s="52"/>
      <c r="J600" s="52"/>
      <c r="K600" s="52"/>
    </row>
    <row r="601" customFormat="false" ht="15.75" hidden="false" customHeight="false" outlineLevel="0" collapsed="false">
      <c r="B601" s="50"/>
      <c r="C601" s="51"/>
      <c r="D601" s="52"/>
      <c r="E601" s="52"/>
      <c r="F601" s="52"/>
      <c r="G601" s="51"/>
      <c r="H601" s="52"/>
      <c r="I601" s="52"/>
      <c r="J601" s="52"/>
      <c r="K601" s="52"/>
    </row>
    <row r="602" customFormat="false" ht="15.75" hidden="false" customHeight="false" outlineLevel="0" collapsed="false">
      <c r="B602" s="50"/>
      <c r="C602" s="51"/>
      <c r="D602" s="52"/>
      <c r="E602" s="52"/>
      <c r="F602" s="52"/>
      <c r="G602" s="51"/>
      <c r="H602" s="52"/>
      <c r="I602" s="52"/>
      <c r="J602" s="52"/>
      <c r="K602" s="52"/>
    </row>
    <row r="603" customFormat="false" ht="15.75" hidden="false" customHeight="false" outlineLevel="0" collapsed="false">
      <c r="B603" s="50"/>
      <c r="C603" s="51"/>
      <c r="D603" s="52"/>
      <c r="E603" s="52"/>
      <c r="F603" s="52"/>
      <c r="G603" s="51"/>
      <c r="H603" s="52"/>
      <c r="I603" s="52"/>
      <c r="J603" s="52"/>
      <c r="K603" s="52"/>
    </row>
    <row r="604" customFormat="false" ht="15.75" hidden="false" customHeight="false" outlineLevel="0" collapsed="false">
      <c r="B604" s="50"/>
      <c r="C604" s="51"/>
      <c r="D604" s="52"/>
      <c r="E604" s="52"/>
      <c r="F604" s="52"/>
      <c r="G604" s="51"/>
      <c r="H604" s="52"/>
      <c r="I604" s="52"/>
      <c r="J604" s="52"/>
      <c r="K604" s="52"/>
    </row>
    <row r="605" customFormat="false" ht="15.75" hidden="false" customHeight="false" outlineLevel="0" collapsed="false">
      <c r="B605" s="50"/>
      <c r="C605" s="51"/>
      <c r="D605" s="52"/>
      <c r="E605" s="52"/>
      <c r="F605" s="52"/>
      <c r="G605" s="51"/>
      <c r="H605" s="52"/>
      <c r="I605" s="52"/>
      <c r="J605" s="52"/>
      <c r="K605" s="52"/>
    </row>
    <row r="606" customFormat="false" ht="15.75" hidden="false" customHeight="false" outlineLevel="0" collapsed="false">
      <c r="B606" s="50"/>
      <c r="C606" s="51"/>
      <c r="D606" s="52"/>
      <c r="E606" s="52"/>
      <c r="F606" s="52"/>
      <c r="G606" s="51"/>
      <c r="H606" s="52"/>
      <c r="I606" s="52"/>
      <c r="J606" s="52"/>
      <c r="K606" s="52"/>
    </row>
    <row r="607" customFormat="false" ht="15.75" hidden="false" customHeight="false" outlineLevel="0" collapsed="false">
      <c r="B607" s="50"/>
      <c r="C607" s="51"/>
      <c r="D607" s="52"/>
      <c r="E607" s="52"/>
      <c r="F607" s="52"/>
      <c r="G607" s="51"/>
      <c r="H607" s="52"/>
      <c r="I607" s="52"/>
      <c r="J607" s="52"/>
      <c r="K607" s="52"/>
    </row>
    <row r="608" customFormat="false" ht="15.75" hidden="false" customHeight="false" outlineLevel="0" collapsed="false">
      <c r="B608" s="50"/>
      <c r="C608" s="51"/>
      <c r="D608" s="52"/>
      <c r="E608" s="52"/>
      <c r="F608" s="52"/>
      <c r="G608" s="51"/>
      <c r="H608" s="52"/>
      <c r="I608" s="52"/>
      <c r="J608" s="52"/>
      <c r="K608" s="52"/>
    </row>
    <row r="609" customFormat="false" ht="15.75" hidden="false" customHeight="false" outlineLevel="0" collapsed="false">
      <c r="B609" s="50"/>
      <c r="C609" s="51"/>
      <c r="D609" s="52"/>
      <c r="E609" s="52"/>
      <c r="F609" s="52"/>
      <c r="G609" s="51"/>
      <c r="H609" s="52"/>
      <c r="I609" s="52"/>
      <c r="J609" s="52"/>
      <c r="K609" s="52"/>
    </row>
    <row r="610" customFormat="false" ht="15.75" hidden="false" customHeight="false" outlineLevel="0" collapsed="false">
      <c r="B610" s="50"/>
      <c r="C610" s="51"/>
      <c r="D610" s="52"/>
      <c r="E610" s="52"/>
      <c r="F610" s="52"/>
      <c r="G610" s="51"/>
      <c r="H610" s="52"/>
      <c r="I610" s="52"/>
      <c r="J610" s="52"/>
      <c r="K610" s="52"/>
    </row>
    <row r="611" customFormat="false" ht="15.75" hidden="false" customHeight="false" outlineLevel="0" collapsed="false">
      <c r="B611" s="50"/>
      <c r="C611" s="51"/>
      <c r="D611" s="52"/>
      <c r="E611" s="52"/>
      <c r="F611" s="52"/>
      <c r="G611" s="51"/>
      <c r="H611" s="52"/>
      <c r="I611" s="52"/>
      <c r="J611" s="52"/>
      <c r="K611" s="52"/>
    </row>
    <row r="612" customFormat="false" ht="15.75" hidden="false" customHeight="false" outlineLevel="0" collapsed="false">
      <c r="B612" s="50"/>
      <c r="C612" s="51"/>
      <c r="D612" s="52"/>
      <c r="E612" s="52"/>
      <c r="F612" s="52"/>
      <c r="G612" s="51"/>
      <c r="H612" s="52"/>
      <c r="I612" s="52"/>
      <c r="J612" s="52"/>
      <c r="K612" s="52"/>
    </row>
    <row r="613" customFormat="false" ht="15.75" hidden="false" customHeight="false" outlineLevel="0" collapsed="false">
      <c r="B613" s="50"/>
      <c r="C613" s="51"/>
      <c r="D613" s="52"/>
      <c r="E613" s="52"/>
      <c r="F613" s="52"/>
      <c r="G613" s="51"/>
      <c r="H613" s="52"/>
      <c r="I613" s="52"/>
      <c r="J613" s="52"/>
      <c r="K613" s="52"/>
    </row>
    <row r="614" customFormat="false" ht="15.75" hidden="false" customHeight="false" outlineLevel="0" collapsed="false">
      <c r="B614" s="50"/>
      <c r="C614" s="51"/>
      <c r="D614" s="52"/>
      <c r="E614" s="52"/>
      <c r="F614" s="52"/>
      <c r="G614" s="51"/>
      <c r="H614" s="52"/>
      <c r="I614" s="52"/>
      <c r="J614" s="52"/>
      <c r="K614" s="52"/>
    </row>
    <row r="615" customFormat="false" ht="15.75" hidden="false" customHeight="false" outlineLevel="0" collapsed="false">
      <c r="B615" s="50"/>
      <c r="C615" s="51"/>
      <c r="D615" s="52"/>
      <c r="E615" s="52"/>
      <c r="F615" s="52"/>
      <c r="G615" s="51"/>
      <c r="H615" s="52"/>
      <c r="I615" s="52"/>
      <c r="J615" s="52"/>
      <c r="K615" s="52"/>
    </row>
    <row r="616" customFormat="false" ht="15.75" hidden="false" customHeight="false" outlineLevel="0" collapsed="false">
      <c r="B616" s="50"/>
      <c r="C616" s="51"/>
      <c r="D616" s="52"/>
      <c r="E616" s="52"/>
      <c r="F616" s="52"/>
      <c r="G616" s="51"/>
      <c r="H616" s="52"/>
      <c r="I616" s="52"/>
      <c r="J616" s="52"/>
      <c r="K616" s="52"/>
    </row>
    <row r="617" customFormat="false" ht="15.75" hidden="false" customHeight="false" outlineLevel="0" collapsed="false">
      <c r="B617" s="50"/>
      <c r="C617" s="51"/>
      <c r="D617" s="52"/>
      <c r="E617" s="52"/>
      <c r="F617" s="52"/>
      <c r="G617" s="51"/>
      <c r="H617" s="52"/>
      <c r="I617" s="52"/>
      <c r="J617" s="52"/>
      <c r="K617" s="52"/>
    </row>
    <row r="618" customFormat="false" ht="15.75" hidden="false" customHeight="false" outlineLevel="0" collapsed="false">
      <c r="B618" s="50"/>
      <c r="C618" s="51"/>
      <c r="D618" s="52"/>
      <c r="E618" s="52"/>
      <c r="F618" s="52"/>
      <c r="G618" s="51"/>
      <c r="H618" s="52"/>
      <c r="I618" s="52"/>
      <c r="J618" s="52"/>
      <c r="K618" s="52"/>
    </row>
    <row r="619" customFormat="false" ht="15.75" hidden="false" customHeight="false" outlineLevel="0" collapsed="false">
      <c r="B619" s="50"/>
      <c r="C619" s="51"/>
      <c r="D619" s="52"/>
      <c r="E619" s="52"/>
      <c r="F619" s="52"/>
      <c r="G619" s="51"/>
      <c r="H619" s="52"/>
      <c r="I619" s="52"/>
      <c r="J619" s="52"/>
      <c r="K619" s="52"/>
    </row>
    <row r="620" customFormat="false" ht="15.75" hidden="false" customHeight="false" outlineLevel="0" collapsed="false">
      <c r="B620" s="50"/>
      <c r="C620" s="51"/>
      <c r="D620" s="52"/>
      <c r="E620" s="52"/>
      <c r="F620" s="52"/>
      <c r="G620" s="51"/>
      <c r="H620" s="52"/>
      <c r="I620" s="52"/>
      <c r="J620" s="52"/>
      <c r="K620" s="52"/>
    </row>
    <row r="621" customFormat="false" ht="15.75" hidden="false" customHeight="false" outlineLevel="0" collapsed="false">
      <c r="B621" s="50"/>
      <c r="C621" s="51"/>
      <c r="D621" s="52"/>
      <c r="E621" s="52"/>
      <c r="F621" s="52"/>
      <c r="G621" s="51"/>
      <c r="H621" s="52"/>
      <c r="I621" s="52"/>
      <c r="J621" s="52"/>
      <c r="K621" s="52"/>
    </row>
    <row r="622" customFormat="false" ht="15.75" hidden="false" customHeight="false" outlineLevel="0" collapsed="false">
      <c r="B622" s="50"/>
      <c r="C622" s="51"/>
      <c r="D622" s="52"/>
      <c r="E622" s="52"/>
      <c r="F622" s="52"/>
      <c r="G622" s="51"/>
      <c r="H622" s="52"/>
      <c r="I622" s="52"/>
      <c r="J622" s="52"/>
      <c r="K622" s="52"/>
    </row>
    <row r="623" customFormat="false" ht="15.75" hidden="false" customHeight="false" outlineLevel="0" collapsed="false">
      <c r="B623" s="50"/>
      <c r="C623" s="51"/>
      <c r="D623" s="52"/>
      <c r="E623" s="52"/>
      <c r="F623" s="52"/>
      <c r="G623" s="51"/>
      <c r="H623" s="52"/>
      <c r="I623" s="52"/>
      <c r="J623" s="52"/>
      <c r="K623" s="52"/>
    </row>
    <row r="624" customFormat="false" ht="15.75" hidden="false" customHeight="false" outlineLevel="0" collapsed="false">
      <c r="B624" s="50"/>
      <c r="C624" s="51"/>
      <c r="D624" s="52"/>
      <c r="E624" s="52"/>
      <c r="F624" s="52"/>
      <c r="G624" s="51"/>
      <c r="H624" s="52"/>
      <c r="I624" s="52"/>
      <c r="J624" s="52"/>
      <c r="K624" s="52"/>
    </row>
    <row r="625" customFormat="false" ht="15.75" hidden="false" customHeight="false" outlineLevel="0" collapsed="false">
      <c r="B625" s="50"/>
      <c r="C625" s="51"/>
      <c r="D625" s="52"/>
      <c r="E625" s="52"/>
      <c r="F625" s="52"/>
      <c r="G625" s="51"/>
      <c r="H625" s="52"/>
      <c r="I625" s="52"/>
      <c r="J625" s="52"/>
      <c r="K625" s="52"/>
    </row>
    <row r="626" customFormat="false" ht="15.75" hidden="false" customHeight="false" outlineLevel="0" collapsed="false">
      <c r="B626" s="50"/>
      <c r="C626" s="51"/>
      <c r="D626" s="52"/>
      <c r="E626" s="52"/>
      <c r="F626" s="52"/>
      <c r="G626" s="51"/>
      <c r="H626" s="52"/>
      <c r="I626" s="52"/>
      <c r="J626" s="52"/>
      <c r="K626" s="52"/>
    </row>
    <row r="627" customFormat="false" ht="15.75" hidden="false" customHeight="false" outlineLevel="0" collapsed="false">
      <c r="B627" s="50"/>
      <c r="C627" s="51"/>
      <c r="D627" s="52"/>
      <c r="E627" s="52"/>
      <c r="F627" s="52"/>
      <c r="G627" s="51"/>
      <c r="H627" s="52"/>
      <c r="I627" s="52"/>
      <c r="J627" s="52"/>
      <c r="K627" s="52"/>
    </row>
    <row r="628" customFormat="false" ht="15.75" hidden="false" customHeight="false" outlineLevel="0" collapsed="false">
      <c r="B628" s="50"/>
      <c r="C628" s="51"/>
      <c r="D628" s="52"/>
      <c r="E628" s="52"/>
      <c r="F628" s="52"/>
      <c r="G628" s="51"/>
      <c r="H628" s="52"/>
      <c r="I628" s="52"/>
      <c r="J628" s="52"/>
      <c r="K628" s="52"/>
    </row>
    <row r="629" customFormat="false" ht="15.75" hidden="false" customHeight="false" outlineLevel="0" collapsed="false">
      <c r="B629" s="50"/>
      <c r="C629" s="51"/>
      <c r="D629" s="52"/>
      <c r="E629" s="52"/>
      <c r="F629" s="52"/>
      <c r="G629" s="51"/>
      <c r="H629" s="52"/>
      <c r="I629" s="52"/>
      <c r="J629" s="52"/>
      <c r="K629" s="52"/>
    </row>
    <row r="630" customFormat="false" ht="15.75" hidden="false" customHeight="false" outlineLevel="0" collapsed="false">
      <c r="B630" s="50"/>
      <c r="C630" s="51"/>
      <c r="D630" s="52"/>
      <c r="E630" s="52"/>
      <c r="F630" s="52"/>
      <c r="G630" s="51"/>
      <c r="H630" s="52"/>
      <c r="I630" s="52"/>
      <c r="J630" s="52"/>
      <c r="K630" s="52"/>
    </row>
    <row r="631" customFormat="false" ht="15.75" hidden="false" customHeight="false" outlineLevel="0" collapsed="false">
      <c r="B631" s="50"/>
      <c r="C631" s="51"/>
      <c r="D631" s="52"/>
      <c r="E631" s="52"/>
      <c r="F631" s="52"/>
      <c r="G631" s="51"/>
      <c r="H631" s="52"/>
      <c r="I631" s="52"/>
      <c r="J631" s="52"/>
      <c r="K631" s="52"/>
    </row>
    <row r="632" customFormat="false" ht="15.75" hidden="false" customHeight="false" outlineLevel="0" collapsed="false">
      <c r="B632" s="50"/>
      <c r="C632" s="51"/>
      <c r="D632" s="52"/>
      <c r="E632" s="52"/>
      <c r="F632" s="52"/>
      <c r="G632" s="51"/>
      <c r="H632" s="52"/>
      <c r="I632" s="52"/>
      <c r="J632" s="52"/>
      <c r="K632" s="52"/>
    </row>
    <row r="633" customFormat="false" ht="15.75" hidden="false" customHeight="false" outlineLevel="0" collapsed="false">
      <c r="B633" s="50"/>
      <c r="C633" s="51"/>
      <c r="D633" s="52"/>
      <c r="E633" s="52"/>
      <c r="F633" s="52"/>
      <c r="G633" s="51"/>
      <c r="H633" s="52"/>
      <c r="I633" s="52"/>
      <c r="J633" s="52"/>
      <c r="K633" s="52"/>
    </row>
    <row r="634" customFormat="false" ht="15.75" hidden="false" customHeight="false" outlineLevel="0" collapsed="false">
      <c r="B634" s="50"/>
      <c r="C634" s="51"/>
      <c r="D634" s="52"/>
      <c r="E634" s="52"/>
      <c r="F634" s="52"/>
      <c r="G634" s="51"/>
      <c r="H634" s="52"/>
      <c r="I634" s="52"/>
      <c r="J634" s="52"/>
      <c r="K634" s="52"/>
    </row>
    <row r="635" customFormat="false" ht="15.75" hidden="false" customHeight="false" outlineLevel="0" collapsed="false">
      <c r="B635" s="50"/>
      <c r="C635" s="51"/>
      <c r="D635" s="52"/>
      <c r="E635" s="52"/>
      <c r="F635" s="52"/>
      <c r="G635" s="51"/>
      <c r="H635" s="52"/>
      <c r="I635" s="52"/>
      <c r="J635" s="52"/>
      <c r="K635" s="52"/>
    </row>
    <row r="636" customFormat="false" ht="15.75" hidden="false" customHeight="false" outlineLevel="0" collapsed="false">
      <c r="B636" s="50"/>
      <c r="C636" s="51"/>
      <c r="D636" s="52"/>
      <c r="E636" s="52"/>
      <c r="F636" s="52"/>
      <c r="G636" s="51"/>
      <c r="H636" s="52"/>
      <c r="I636" s="52"/>
      <c r="J636" s="52"/>
      <c r="K636" s="52"/>
    </row>
    <row r="637" customFormat="false" ht="15.75" hidden="false" customHeight="false" outlineLevel="0" collapsed="false">
      <c r="B637" s="50"/>
      <c r="C637" s="51"/>
      <c r="D637" s="52"/>
      <c r="E637" s="52"/>
      <c r="F637" s="52"/>
      <c r="G637" s="51"/>
      <c r="H637" s="52"/>
      <c r="I637" s="52"/>
      <c r="J637" s="52"/>
      <c r="K637" s="52"/>
    </row>
    <row r="638" customFormat="false" ht="15.75" hidden="false" customHeight="false" outlineLevel="0" collapsed="false">
      <c r="B638" s="50"/>
      <c r="C638" s="51"/>
      <c r="D638" s="52"/>
      <c r="E638" s="52"/>
      <c r="F638" s="52"/>
      <c r="G638" s="51"/>
      <c r="H638" s="52"/>
      <c r="I638" s="52"/>
      <c r="J638" s="52"/>
      <c r="K638" s="52"/>
    </row>
    <row r="639" customFormat="false" ht="15.75" hidden="false" customHeight="false" outlineLevel="0" collapsed="false">
      <c r="B639" s="50"/>
      <c r="C639" s="51"/>
      <c r="D639" s="52"/>
      <c r="E639" s="52"/>
      <c r="F639" s="52"/>
      <c r="G639" s="51"/>
      <c r="H639" s="52"/>
      <c r="I639" s="52"/>
      <c r="J639" s="52"/>
      <c r="K639" s="52"/>
    </row>
    <row r="640" customFormat="false" ht="15.75" hidden="false" customHeight="false" outlineLevel="0" collapsed="false">
      <c r="B640" s="50"/>
      <c r="C640" s="51"/>
      <c r="D640" s="52"/>
      <c r="E640" s="52"/>
      <c r="F640" s="52"/>
      <c r="G640" s="51"/>
      <c r="H640" s="52"/>
      <c r="I640" s="52"/>
      <c r="J640" s="52"/>
      <c r="K640" s="52"/>
    </row>
    <row r="641" customFormat="false" ht="15.75" hidden="false" customHeight="false" outlineLevel="0" collapsed="false">
      <c r="B641" s="50"/>
      <c r="C641" s="51"/>
      <c r="D641" s="52"/>
      <c r="E641" s="52"/>
      <c r="F641" s="52"/>
      <c r="G641" s="51"/>
      <c r="H641" s="52"/>
      <c r="I641" s="52"/>
      <c r="J641" s="52"/>
      <c r="K641" s="52"/>
    </row>
    <row r="642" customFormat="false" ht="15.75" hidden="false" customHeight="false" outlineLevel="0" collapsed="false">
      <c r="B642" s="50"/>
      <c r="C642" s="51"/>
      <c r="D642" s="52"/>
      <c r="E642" s="52"/>
      <c r="F642" s="52"/>
      <c r="G642" s="51"/>
      <c r="H642" s="52"/>
      <c r="I642" s="52"/>
      <c r="J642" s="52"/>
      <c r="K642" s="52"/>
    </row>
    <row r="643" customFormat="false" ht="15.75" hidden="false" customHeight="false" outlineLevel="0" collapsed="false">
      <c r="B643" s="50"/>
      <c r="C643" s="51"/>
      <c r="D643" s="52"/>
      <c r="E643" s="52"/>
      <c r="F643" s="52"/>
      <c r="G643" s="51"/>
      <c r="H643" s="52"/>
      <c r="I643" s="52"/>
      <c r="J643" s="52"/>
      <c r="K643" s="52"/>
    </row>
    <row r="644" customFormat="false" ht="15.75" hidden="false" customHeight="false" outlineLevel="0" collapsed="false">
      <c r="B644" s="50"/>
      <c r="C644" s="51"/>
      <c r="D644" s="52"/>
      <c r="E644" s="52"/>
      <c r="F644" s="52"/>
      <c r="G644" s="51"/>
      <c r="H644" s="52"/>
      <c r="I644" s="52"/>
      <c r="J644" s="52"/>
      <c r="K644" s="52"/>
    </row>
    <row r="645" customFormat="false" ht="15.75" hidden="false" customHeight="false" outlineLevel="0" collapsed="false">
      <c r="B645" s="50"/>
      <c r="C645" s="51"/>
      <c r="D645" s="52"/>
      <c r="E645" s="52"/>
      <c r="F645" s="52"/>
      <c r="G645" s="51"/>
      <c r="H645" s="52"/>
      <c r="I645" s="52"/>
      <c r="J645" s="52"/>
      <c r="K645" s="52"/>
    </row>
    <row r="646" customFormat="false" ht="15.75" hidden="false" customHeight="false" outlineLevel="0" collapsed="false">
      <c r="B646" s="50"/>
      <c r="C646" s="51"/>
      <c r="D646" s="52"/>
      <c r="E646" s="52"/>
      <c r="F646" s="52"/>
      <c r="G646" s="51"/>
      <c r="H646" s="52"/>
      <c r="I646" s="52"/>
      <c r="J646" s="52"/>
      <c r="K646" s="52"/>
    </row>
    <row r="647" customFormat="false" ht="15.75" hidden="false" customHeight="false" outlineLevel="0" collapsed="false">
      <c r="B647" s="50"/>
      <c r="C647" s="51"/>
      <c r="D647" s="52"/>
      <c r="E647" s="52"/>
      <c r="F647" s="52"/>
      <c r="G647" s="51"/>
      <c r="H647" s="52"/>
      <c r="I647" s="52"/>
      <c r="J647" s="52"/>
      <c r="K647" s="52"/>
    </row>
    <row r="648" customFormat="false" ht="15.75" hidden="false" customHeight="false" outlineLevel="0" collapsed="false">
      <c r="B648" s="50"/>
      <c r="C648" s="51"/>
      <c r="D648" s="52"/>
      <c r="E648" s="52"/>
      <c r="F648" s="52"/>
      <c r="G648" s="51"/>
      <c r="H648" s="52"/>
      <c r="I648" s="52"/>
      <c r="J648" s="52"/>
      <c r="K648" s="52"/>
    </row>
    <row r="649" customFormat="false" ht="15.75" hidden="false" customHeight="false" outlineLevel="0" collapsed="false">
      <c r="B649" s="50"/>
      <c r="C649" s="51"/>
      <c r="D649" s="52"/>
      <c r="E649" s="52"/>
      <c r="F649" s="52"/>
      <c r="G649" s="51"/>
      <c r="H649" s="52"/>
      <c r="I649" s="52"/>
      <c r="J649" s="52"/>
      <c r="K649" s="52"/>
    </row>
    <row r="650" customFormat="false" ht="15.75" hidden="false" customHeight="false" outlineLevel="0" collapsed="false">
      <c r="B650" s="50"/>
      <c r="C650" s="51"/>
      <c r="D650" s="52"/>
      <c r="E650" s="52"/>
      <c r="F650" s="52"/>
      <c r="G650" s="51"/>
      <c r="H650" s="52"/>
      <c r="I650" s="52"/>
      <c r="J650" s="52"/>
      <c r="K650" s="52"/>
    </row>
    <row r="651" customFormat="false" ht="15.75" hidden="false" customHeight="false" outlineLevel="0" collapsed="false">
      <c r="B651" s="50"/>
      <c r="C651" s="51"/>
      <c r="D651" s="52"/>
      <c r="E651" s="52"/>
      <c r="F651" s="52"/>
      <c r="G651" s="51"/>
      <c r="H651" s="52"/>
      <c r="I651" s="52"/>
      <c r="J651" s="52"/>
      <c r="K651" s="52"/>
    </row>
    <row r="652" customFormat="false" ht="15.75" hidden="false" customHeight="false" outlineLevel="0" collapsed="false">
      <c r="B652" s="50"/>
      <c r="C652" s="51"/>
      <c r="D652" s="52"/>
      <c r="E652" s="52"/>
      <c r="F652" s="52"/>
      <c r="G652" s="51"/>
      <c r="H652" s="52"/>
      <c r="I652" s="52"/>
      <c r="J652" s="52"/>
      <c r="K652" s="52"/>
    </row>
    <row r="653" customFormat="false" ht="15.75" hidden="false" customHeight="false" outlineLevel="0" collapsed="false">
      <c r="B653" s="50"/>
      <c r="C653" s="51"/>
      <c r="D653" s="52"/>
      <c r="E653" s="52"/>
      <c r="F653" s="52"/>
      <c r="G653" s="51"/>
      <c r="H653" s="52"/>
      <c r="I653" s="52"/>
      <c r="J653" s="52"/>
      <c r="K653" s="52"/>
    </row>
    <row r="654" customFormat="false" ht="15.75" hidden="false" customHeight="false" outlineLevel="0" collapsed="false">
      <c r="B654" s="50"/>
      <c r="C654" s="51"/>
      <c r="D654" s="52"/>
      <c r="E654" s="52"/>
      <c r="F654" s="52"/>
      <c r="G654" s="51"/>
      <c r="H654" s="52"/>
      <c r="I654" s="52"/>
      <c r="J654" s="52"/>
      <c r="K654" s="52"/>
    </row>
    <row r="655" customFormat="false" ht="15.75" hidden="false" customHeight="false" outlineLevel="0" collapsed="false">
      <c r="B655" s="50"/>
      <c r="C655" s="51"/>
      <c r="D655" s="52"/>
      <c r="E655" s="52"/>
      <c r="F655" s="52"/>
      <c r="G655" s="51"/>
      <c r="H655" s="52"/>
      <c r="I655" s="52"/>
      <c r="J655" s="52"/>
      <c r="K655" s="52"/>
    </row>
    <row r="656" customFormat="false" ht="15.75" hidden="false" customHeight="false" outlineLevel="0" collapsed="false">
      <c r="B656" s="50"/>
      <c r="C656" s="51"/>
      <c r="D656" s="52"/>
      <c r="E656" s="52"/>
      <c r="F656" s="52"/>
      <c r="G656" s="51"/>
      <c r="H656" s="52"/>
      <c r="I656" s="52"/>
      <c r="J656" s="52"/>
      <c r="K656" s="52"/>
    </row>
    <row r="657" customFormat="false" ht="15.75" hidden="false" customHeight="false" outlineLevel="0" collapsed="false">
      <c r="B657" s="50"/>
      <c r="C657" s="51"/>
      <c r="D657" s="52"/>
      <c r="E657" s="52"/>
      <c r="F657" s="52"/>
      <c r="G657" s="51"/>
      <c r="H657" s="52"/>
      <c r="I657" s="52"/>
      <c r="J657" s="52"/>
      <c r="K657" s="52"/>
    </row>
    <row r="658" customFormat="false" ht="15.75" hidden="false" customHeight="false" outlineLevel="0" collapsed="false">
      <c r="B658" s="50"/>
      <c r="C658" s="51"/>
      <c r="D658" s="52"/>
      <c r="E658" s="52"/>
      <c r="F658" s="52"/>
      <c r="G658" s="51"/>
      <c r="H658" s="52"/>
      <c r="I658" s="52"/>
      <c r="J658" s="52"/>
      <c r="K658" s="52"/>
    </row>
    <row r="659" customFormat="false" ht="15.75" hidden="false" customHeight="false" outlineLevel="0" collapsed="false">
      <c r="B659" s="50"/>
      <c r="C659" s="51"/>
      <c r="D659" s="52"/>
      <c r="E659" s="52"/>
      <c r="F659" s="52"/>
      <c r="G659" s="51"/>
      <c r="H659" s="52"/>
      <c r="I659" s="52"/>
      <c r="J659" s="52"/>
      <c r="K659" s="52"/>
    </row>
    <row r="660" customFormat="false" ht="15.75" hidden="false" customHeight="false" outlineLevel="0" collapsed="false">
      <c r="B660" s="50"/>
      <c r="C660" s="51"/>
      <c r="D660" s="52"/>
      <c r="E660" s="52"/>
      <c r="F660" s="52"/>
      <c r="G660" s="51"/>
      <c r="H660" s="52"/>
      <c r="I660" s="52"/>
      <c r="J660" s="52"/>
      <c r="K660" s="52"/>
    </row>
    <row r="661" customFormat="false" ht="15.75" hidden="false" customHeight="false" outlineLevel="0" collapsed="false">
      <c r="B661" s="50"/>
      <c r="C661" s="51"/>
      <c r="D661" s="52"/>
      <c r="E661" s="52"/>
      <c r="F661" s="52"/>
      <c r="G661" s="51"/>
      <c r="H661" s="52"/>
      <c r="I661" s="52"/>
      <c r="J661" s="52"/>
      <c r="K661" s="52"/>
    </row>
    <row r="662" customFormat="false" ht="15.75" hidden="false" customHeight="false" outlineLevel="0" collapsed="false">
      <c r="B662" s="50"/>
      <c r="C662" s="51"/>
      <c r="D662" s="52"/>
      <c r="E662" s="52"/>
      <c r="F662" s="52"/>
      <c r="G662" s="51"/>
      <c r="H662" s="52"/>
      <c r="I662" s="52"/>
      <c r="J662" s="52"/>
      <c r="K662" s="52"/>
    </row>
    <row r="663" customFormat="false" ht="15.75" hidden="false" customHeight="false" outlineLevel="0" collapsed="false">
      <c r="B663" s="50"/>
      <c r="C663" s="51"/>
      <c r="D663" s="52"/>
      <c r="E663" s="52"/>
      <c r="F663" s="52"/>
      <c r="G663" s="51"/>
      <c r="H663" s="52"/>
      <c r="I663" s="52"/>
      <c r="J663" s="52"/>
      <c r="K663" s="52"/>
    </row>
    <row r="664" customFormat="false" ht="15.75" hidden="false" customHeight="false" outlineLevel="0" collapsed="false">
      <c r="B664" s="50"/>
      <c r="C664" s="51"/>
      <c r="D664" s="52"/>
      <c r="E664" s="52"/>
      <c r="F664" s="52"/>
      <c r="G664" s="51"/>
      <c r="H664" s="52"/>
      <c r="I664" s="52"/>
      <c r="J664" s="52"/>
      <c r="K664" s="52"/>
    </row>
    <row r="665" customFormat="false" ht="15.75" hidden="false" customHeight="false" outlineLevel="0" collapsed="false">
      <c r="B665" s="50"/>
      <c r="C665" s="51"/>
      <c r="D665" s="52"/>
      <c r="E665" s="52"/>
      <c r="F665" s="52"/>
      <c r="G665" s="51"/>
      <c r="H665" s="52"/>
      <c r="I665" s="52"/>
      <c r="J665" s="52"/>
      <c r="K665" s="52"/>
    </row>
    <row r="666" customFormat="false" ht="15.75" hidden="false" customHeight="false" outlineLevel="0" collapsed="false">
      <c r="B666" s="50"/>
      <c r="C666" s="51"/>
      <c r="D666" s="52"/>
      <c r="E666" s="52"/>
      <c r="F666" s="52"/>
      <c r="G666" s="51"/>
      <c r="H666" s="52"/>
      <c r="I666" s="52"/>
      <c r="J666" s="52"/>
      <c r="K666" s="52"/>
    </row>
    <row r="667" customFormat="false" ht="15.75" hidden="false" customHeight="false" outlineLevel="0" collapsed="false">
      <c r="B667" s="50"/>
      <c r="C667" s="51"/>
      <c r="D667" s="52"/>
      <c r="E667" s="52"/>
      <c r="F667" s="52"/>
      <c r="G667" s="51"/>
      <c r="H667" s="52"/>
      <c r="I667" s="52"/>
      <c r="J667" s="52"/>
      <c r="K667" s="52"/>
    </row>
    <row r="668" customFormat="false" ht="15.75" hidden="false" customHeight="false" outlineLevel="0" collapsed="false">
      <c r="B668" s="50"/>
      <c r="C668" s="51"/>
      <c r="D668" s="52"/>
      <c r="E668" s="52"/>
      <c r="F668" s="52"/>
      <c r="G668" s="51"/>
      <c r="H668" s="52"/>
      <c r="I668" s="52"/>
      <c r="J668" s="52"/>
      <c r="K668" s="52"/>
    </row>
    <row r="669" customFormat="false" ht="15.75" hidden="false" customHeight="false" outlineLevel="0" collapsed="false">
      <c r="B669" s="50"/>
      <c r="C669" s="51"/>
      <c r="D669" s="52"/>
      <c r="E669" s="52"/>
      <c r="F669" s="52"/>
      <c r="G669" s="51"/>
      <c r="H669" s="52"/>
      <c r="I669" s="52"/>
      <c r="J669" s="52"/>
      <c r="K669" s="52"/>
    </row>
    <row r="670" customFormat="false" ht="15.75" hidden="false" customHeight="false" outlineLevel="0" collapsed="false">
      <c r="B670" s="50"/>
      <c r="C670" s="51"/>
      <c r="D670" s="52"/>
      <c r="E670" s="52"/>
      <c r="F670" s="52"/>
      <c r="G670" s="51"/>
      <c r="H670" s="52"/>
      <c r="I670" s="52"/>
      <c r="J670" s="52"/>
      <c r="K670" s="52"/>
    </row>
    <row r="671" customFormat="false" ht="15.75" hidden="false" customHeight="false" outlineLevel="0" collapsed="false">
      <c r="B671" s="50"/>
      <c r="C671" s="51"/>
      <c r="D671" s="52"/>
      <c r="E671" s="52"/>
      <c r="F671" s="52"/>
      <c r="G671" s="51"/>
      <c r="H671" s="52"/>
      <c r="I671" s="52"/>
      <c r="J671" s="52"/>
      <c r="K671" s="52"/>
    </row>
    <row r="672" customFormat="false" ht="15.75" hidden="false" customHeight="false" outlineLevel="0" collapsed="false">
      <c r="B672" s="50"/>
      <c r="C672" s="51"/>
      <c r="D672" s="52"/>
      <c r="E672" s="52"/>
      <c r="F672" s="52"/>
      <c r="G672" s="51"/>
      <c r="H672" s="52"/>
      <c r="I672" s="52"/>
      <c r="J672" s="52"/>
      <c r="K672" s="52"/>
    </row>
    <row r="673" customFormat="false" ht="15.75" hidden="false" customHeight="false" outlineLevel="0" collapsed="false">
      <c r="B673" s="50"/>
      <c r="C673" s="51"/>
      <c r="D673" s="52"/>
      <c r="E673" s="52"/>
      <c r="F673" s="52"/>
      <c r="G673" s="51"/>
      <c r="H673" s="52"/>
      <c r="I673" s="52"/>
      <c r="J673" s="52"/>
      <c r="K673" s="52"/>
    </row>
    <row r="674" customFormat="false" ht="15.75" hidden="false" customHeight="false" outlineLevel="0" collapsed="false">
      <c r="B674" s="50"/>
      <c r="C674" s="51"/>
      <c r="D674" s="52"/>
      <c r="E674" s="52"/>
      <c r="F674" s="52"/>
      <c r="G674" s="51"/>
      <c r="H674" s="52"/>
      <c r="I674" s="52"/>
      <c r="J674" s="52"/>
      <c r="K674" s="52"/>
    </row>
    <row r="675" customFormat="false" ht="15.75" hidden="false" customHeight="false" outlineLevel="0" collapsed="false">
      <c r="B675" s="50"/>
      <c r="C675" s="51"/>
      <c r="D675" s="52"/>
      <c r="E675" s="52"/>
      <c r="F675" s="52"/>
      <c r="G675" s="51"/>
      <c r="H675" s="52"/>
      <c r="I675" s="52"/>
      <c r="J675" s="52"/>
      <c r="K675" s="52"/>
    </row>
    <row r="676" customFormat="false" ht="15.75" hidden="false" customHeight="false" outlineLevel="0" collapsed="false">
      <c r="B676" s="50"/>
      <c r="C676" s="51"/>
      <c r="D676" s="52"/>
      <c r="E676" s="52"/>
      <c r="F676" s="52"/>
      <c r="G676" s="51"/>
      <c r="H676" s="52"/>
      <c r="I676" s="52"/>
      <c r="J676" s="52"/>
      <c r="K676" s="52"/>
    </row>
    <row r="677" customFormat="false" ht="15.75" hidden="false" customHeight="false" outlineLevel="0" collapsed="false">
      <c r="B677" s="50"/>
      <c r="C677" s="51"/>
      <c r="D677" s="52"/>
      <c r="E677" s="52"/>
      <c r="F677" s="52"/>
      <c r="G677" s="51"/>
      <c r="H677" s="52"/>
      <c r="I677" s="52"/>
      <c r="J677" s="52"/>
      <c r="K677" s="52"/>
    </row>
    <row r="678" customFormat="false" ht="15.75" hidden="false" customHeight="false" outlineLevel="0" collapsed="false">
      <c r="B678" s="50"/>
      <c r="C678" s="51"/>
      <c r="D678" s="52"/>
      <c r="E678" s="52"/>
      <c r="F678" s="52"/>
      <c r="G678" s="51"/>
      <c r="H678" s="52"/>
      <c r="I678" s="52"/>
      <c r="J678" s="52"/>
      <c r="K678" s="52"/>
    </row>
    <row r="679" customFormat="false" ht="15.75" hidden="false" customHeight="false" outlineLevel="0" collapsed="false">
      <c r="B679" s="50"/>
      <c r="C679" s="51"/>
      <c r="D679" s="52"/>
      <c r="E679" s="52"/>
      <c r="F679" s="52"/>
      <c r="G679" s="51"/>
      <c r="H679" s="52"/>
      <c r="I679" s="52"/>
      <c r="J679" s="52"/>
      <c r="K679" s="52"/>
    </row>
    <row r="680" customFormat="false" ht="15.75" hidden="false" customHeight="false" outlineLevel="0" collapsed="false">
      <c r="B680" s="50"/>
      <c r="C680" s="51"/>
      <c r="D680" s="52"/>
      <c r="E680" s="52"/>
      <c r="F680" s="52"/>
      <c r="G680" s="51"/>
      <c r="H680" s="52"/>
      <c r="I680" s="52"/>
      <c r="J680" s="52"/>
      <c r="K680" s="52"/>
    </row>
    <row r="681" customFormat="false" ht="15.75" hidden="false" customHeight="false" outlineLevel="0" collapsed="false">
      <c r="B681" s="50"/>
      <c r="C681" s="51"/>
      <c r="D681" s="52"/>
      <c r="E681" s="52"/>
      <c r="F681" s="52"/>
      <c r="G681" s="51"/>
      <c r="H681" s="52"/>
      <c r="I681" s="52"/>
      <c r="J681" s="52"/>
      <c r="K681" s="52"/>
    </row>
    <row r="682" customFormat="false" ht="15.75" hidden="false" customHeight="false" outlineLevel="0" collapsed="false">
      <c r="B682" s="50"/>
      <c r="C682" s="51"/>
      <c r="D682" s="52"/>
      <c r="E682" s="52"/>
      <c r="F682" s="52"/>
      <c r="G682" s="51"/>
      <c r="H682" s="52"/>
      <c r="I682" s="52"/>
      <c r="J682" s="52"/>
      <c r="K682" s="52"/>
    </row>
    <row r="683" customFormat="false" ht="15.75" hidden="false" customHeight="false" outlineLevel="0" collapsed="false">
      <c r="B683" s="50"/>
      <c r="C683" s="51"/>
      <c r="D683" s="52"/>
      <c r="E683" s="52"/>
      <c r="F683" s="52"/>
      <c r="G683" s="51"/>
      <c r="H683" s="52"/>
      <c r="I683" s="52"/>
      <c r="J683" s="52"/>
      <c r="K683" s="52"/>
    </row>
    <row r="684" customFormat="false" ht="15.75" hidden="false" customHeight="false" outlineLevel="0" collapsed="false">
      <c r="B684" s="50"/>
      <c r="C684" s="51"/>
      <c r="D684" s="52"/>
      <c r="E684" s="52"/>
      <c r="F684" s="52"/>
      <c r="G684" s="51"/>
      <c r="H684" s="52"/>
      <c r="I684" s="52"/>
      <c r="J684" s="52"/>
      <c r="K684" s="52"/>
    </row>
    <row r="685" customFormat="false" ht="15.75" hidden="false" customHeight="false" outlineLevel="0" collapsed="false">
      <c r="B685" s="50"/>
      <c r="C685" s="51"/>
      <c r="D685" s="52"/>
      <c r="E685" s="52"/>
      <c r="F685" s="52"/>
      <c r="G685" s="51"/>
      <c r="H685" s="52"/>
      <c r="I685" s="52"/>
      <c r="J685" s="52"/>
      <c r="K685" s="52"/>
    </row>
    <row r="686" customFormat="false" ht="15.75" hidden="false" customHeight="false" outlineLevel="0" collapsed="false">
      <c r="B686" s="50"/>
      <c r="C686" s="51"/>
      <c r="D686" s="52"/>
      <c r="E686" s="52"/>
      <c r="F686" s="52"/>
      <c r="G686" s="51"/>
      <c r="H686" s="52"/>
      <c r="I686" s="52"/>
      <c r="J686" s="52"/>
      <c r="K686" s="52"/>
    </row>
    <row r="687" customFormat="false" ht="15.75" hidden="false" customHeight="false" outlineLevel="0" collapsed="false">
      <c r="B687" s="50"/>
      <c r="C687" s="51"/>
      <c r="D687" s="52"/>
      <c r="E687" s="52"/>
      <c r="F687" s="52"/>
      <c r="G687" s="51"/>
      <c r="H687" s="52"/>
      <c r="I687" s="52"/>
      <c r="J687" s="52"/>
      <c r="K687" s="52"/>
    </row>
    <row r="688" customFormat="false" ht="15.75" hidden="false" customHeight="false" outlineLevel="0" collapsed="false">
      <c r="B688" s="50"/>
      <c r="C688" s="51"/>
      <c r="D688" s="52"/>
      <c r="E688" s="52"/>
      <c r="F688" s="52"/>
      <c r="G688" s="51"/>
      <c r="H688" s="52"/>
      <c r="I688" s="52"/>
      <c r="J688" s="52"/>
      <c r="K688" s="52"/>
    </row>
    <row r="689" customFormat="false" ht="15.75" hidden="false" customHeight="false" outlineLevel="0" collapsed="false">
      <c r="B689" s="50"/>
      <c r="C689" s="51"/>
      <c r="D689" s="52"/>
      <c r="E689" s="52"/>
      <c r="F689" s="52"/>
      <c r="G689" s="51"/>
      <c r="H689" s="52"/>
      <c r="I689" s="52"/>
      <c r="J689" s="52"/>
      <c r="K689" s="52"/>
    </row>
    <row r="690" customFormat="false" ht="15.75" hidden="false" customHeight="false" outlineLevel="0" collapsed="false">
      <c r="B690" s="50"/>
      <c r="C690" s="51"/>
      <c r="D690" s="52"/>
      <c r="E690" s="52"/>
      <c r="F690" s="52"/>
      <c r="G690" s="51"/>
      <c r="H690" s="52"/>
      <c r="I690" s="52"/>
      <c r="J690" s="52"/>
      <c r="K690" s="52"/>
    </row>
    <row r="691" customFormat="false" ht="15.75" hidden="false" customHeight="false" outlineLevel="0" collapsed="false">
      <c r="B691" s="50"/>
      <c r="C691" s="51"/>
      <c r="D691" s="52"/>
      <c r="E691" s="52"/>
      <c r="F691" s="52"/>
      <c r="G691" s="51"/>
      <c r="H691" s="52"/>
      <c r="I691" s="52"/>
      <c r="J691" s="52"/>
      <c r="K691" s="52"/>
    </row>
    <row r="692" customFormat="false" ht="15.75" hidden="false" customHeight="false" outlineLevel="0" collapsed="false">
      <c r="B692" s="50"/>
      <c r="C692" s="51"/>
      <c r="D692" s="52"/>
      <c r="E692" s="52"/>
      <c r="F692" s="52"/>
      <c r="G692" s="51"/>
      <c r="H692" s="52"/>
      <c r="I692" s="52"/>
      <c r="J692" s="52"/>
      <c r="K692" s="52"/>
    </row>
    <row r="693" customFormat="false" ht="15.75" hidden="false" customHeight="false" outlineLevel="0" collapsed="false">
      <c r="B693" s="50"/>
      <c r="C693" s="51"/>
      <c r="D693" s="52"/>
      <c r="E693" s="52"/>
      <c r="F693" s="52"/>
      <c r="G693" s="51"/>
      <c r="H693" s="52"/>
      <c r="I693" s="52"/>
      <c r="J693" s="52"/>
      <c r="K693" s="52"/>
    </row>
    <row r="694" customFormat="false" ht="15.75" hidden="false" customHeight="false" outlineLevel="0" collapsed="false">
      <c r="B694" s="50"/>
      <c r="C694" s="51"/>
      <c r="D694" s="52"/>
      <c r="E694" s="52"/>
      <c r="F694" s="52"/>
      <c r="G694" s="51"/>
      <c r="H694" s="52"/>
      <c r="I694" s="52"/>
      <c r="J694" s="52"/>
      <c r="K694" s="52"/>
    </row>
    <row r="695" customFormat="false" ht="15.75" hidden="false" customHeight="false" outlineLevel="0" collapsed="false">
      <c r="B695" s="50"/>
      <c r="C695" s="51"/>
      <c r="D695" s="52"/>
      <c r="E695" s="52"/>
      <c r="F695" s="52"/>
      <c r="G695" s="51"/>
      <c r="H695" s="52"/>
      <c r="I695" s="52"/>
      <c r="J695" s="52"/>
      <c r="K695" s="52"/>
    </row>
    <row r="696" customFormat="false" ht="15.75" hidden="false" customHeight="false" outlineLevel="0" collapsed="false">
      <c r="B696" s="50"/>
      <c r="C696" s="51"/>
      <c r="D696" s="52"/>
      <c r="E696" s="52"/>
      <c r="F696" s="52"/>
      <c r="G696" s="51"/>
      <c r="H696" s="52"/>
      <c r="I696" s="52"/>
      <c r="J696" s="52"/>
      <c r="K696" s="52"/>
    </row>
    <row r="697" customFormat="false" ht="15.75" hidden="false" customHeight="false" outlineLevel="0" collapsed="false">
      <c r="B697" s="50"/>
      <c r="C697" s="51"/>
      <c r="D697" s="52"/>
      <c r="E697" s="52"/>
      <c r="F697" s="52"/>
      <c r="G697" s="51"/>
      <c r="H697" s="52"/>
      <c r="I697" s="52"/>
      <c r="J697" s="52"/>
      <c r="K697" s="52"/>
    </row>
    <row r="698" customFormat="false" ht="15.75" hidden="false" customHeight="false" outlineLevel="0" collapsed="false">
      <c r="B698" s="50"/>
      <c r="C698" s="51"/>
      <c r="D698" s="52"/>
      <c r="E698" s="52"/>
      <c r="F698" s="52"/>
      <c r="G698" s="51"/>
      <c r="H698" s="52"/>
      <c r="I698" s="52"/>
      <c r="J698" s="52"/>
      <c r="K698" s="52"/>
    </row>
    <row r="699" customFormat="false" ht="15.75" hidden="false" customHeight="false" outlineLevel="0" collapsed="false">
      <c r="B699" s="50"/>
      <c r="C699" s="51"/>
      <c r="D699" s="52"/>
      <c r="E699" s="52"/>
      <c r="F699" s="52"/>
      <c r="G699" s="51"/>
      <c r="H699" s="52"/>
      <c r="I699" s="52"/>
      <c r="J699" s="52"/>
      <c r="K699" s="52"/>
    </row>
    <row r="700" customFormat="false" ht="15.75" hidden="false" customHeight="false" outlineLevel="0" collapsed="false">
      <c r="B700" s="50"/>
      <c r="C700" s="51"/>
      <c r="D700" s="52"/>
      <c r="E700" s="52"/>
      <c r="F700" s="52"/>
      <c r="G700" s="51"/>
      <c r="H700" s="52"/>
      <c r="I700" s="52"/>
      <c r="J700" s="52"/>
      <c r="K700" s="52"/>
    </row>
    <row r="701" customFormat="false" ht="15.75" hidden="false" customHeight="false" outlineLevel="0" collapsed="false">
      <c r="B701" s="50"/>
      <c r="C701" s="51"/>
      <c r="D701" s="52"/>
      <c r="E701" s="52"/>
      <c r="F701" s="52"/>
      <c r="G701" s="51"/>
      <c r="H701" s="52"/>
      <c r="I701" s="52"/>
      <c r="J701" s="52"/>
      <c r="K701" s="52"/>
    </row>
    <row r="702" customFormat="false" ht="15.75" hidden="false" customHeight="false" outlineLevel="0" collapsed="false">
      <c r="B702" s="50"/>
      <c r="C702" s="51"/>
      <c r="D702" s="52"/>
      <c r="E702" s="52"/>
      <c r="F702" s="52"/>
      <c r="G702" s="51"/>
      <c r="H702" s="52"/>
      <c r="I702" s="52"/>
      <c r="J702" s="52"/>
      <c r="K702" s="52"/>
    </row>
    <row r="703" customFormat="false" ht="15.75" hidden="false" customHeight="false" outlineLevel="0" collapsed="false">
      <c r="B703" s="50"/>
      <c r="C703" s="51"/>
      <c r="D703" s="52"/>
      <c r="E703" s="52"/>
      <c r="F703" s="52"/>
      <c r="G703" s="51"/>
      <c r="H703" s="52"/>
      <c r="I703" s="52"/>
      <c r="J703" s="52"/>
      <c r="K703" s="52"/>
    </row>
    <row r="704" customFormat="false" ht="15.75" hidden="false" customHeight="false" outlineLevel="0" collapsed="false">
      <c r="B704" s="50"/>
      <c r="C704" s="51"/>
      <c r="D704" s="52"/>
      <c r="E704" s="52"/>
      <c r="F704" s="52"/>
      <c r="G704" s="51"/>
      <c r="H704" s="52"/>
      <c r="I704" s="52"/>
      <c r="J704" s="52"/>
      <c r="K704" s="52"/>
    </row>
    <row r="705" customFormat="false" ht="15.75" hidden="false" customHeight="false" outlineLevel="0" collapsed="false">
      <c r="B705" s="50"/>
      <c r="C705" s="51"/>
      <c r="D705" s="52"/>
      <c r="E705" s="52"/>
      <c r="F705" s="52"/>
      <c r="G705" s="51"/>
      <c r="H705" s="52"/>
      <c r="I705" s="52"/>
      <c r="J705" s="52"/>
      <c r="K705" s="52"/>
    </row>
    <row r="706" customFormat="false" ht="15.75" hidden="false" customHeight="false" outlineLevel="0" collapsed="false">
      <c r="B706" s="50"/>
      <c r="C706" s="51"/>
      <c r="D706" s="52"/>
      <c r="E706" s="52"/>
      <c r="F706" s="52"/>
      <c r="G706" s="51"/>
      <c r="H706" s="52"/>
      <c r="I706" s="52"/>
      <c r="J706" s="52"/>
      <c r="K706" s="52"/>
    </row>
    <row r="707" customFormat="false" ht="15.75" hidden="false" customHeight="false" outlineLevel="0" collapsed="false">
      <c r="B707" s="50"/>
      <c r="C707" s="51"/>
      <c r="D707" s="52"/>
      <c r="E707" s="52"/>
      <c r="F707" s="52"/>
      <c r="G707" s="51"/>
      <c r="H707" s="52"/>
      <c r="I707" s="52"/>
      <c r="J707" s="52"/>
      <c r="K707" s="52"/>
    </row>
    <row r="708" customFormat="false" ht="15.75" hidden="false" customHeight="false" outlineLevel="0" collapsed="false">
      <c r="B708" s="50"/>
      <c r="C708" s="51"/>
      <c r="D708" s="52"/>
      <c r="E708" s="52"/>
      <c r="F708" s="52"/>
      <c r="G708" s="51"/>
      <c r="H708" s="52"/>
      <c r="I708" s="52"/>
      <c r="J708" s="52"/>
      <c r="K708" s="52"/>
    </row>
    <row r="709" customFormat="false" ht="15.75" hidden="false" customHeight="false" outlineLevel="0" collapsed="false">
      <c r="B709" s="50"/>
      <c r="C709" s="51"/>
      <c r="D709" s="52"/>
      <c r="E709" s="52"/>
      <c r="F709" s="52"/>
      <c r="G709" s="51"/>
      <c r="H709" s="52"/>
      <c r="I709" s="52"/>
      <c r="J709" s="52"/>
      <c r="K709" s="52"/>
    </row>
    <row r="710" customFormat="false" ht="15.75" hidden="false" customHeight="false" outlineLevel="0" collapsed="false">
      <c r="B710" s="50"/>
      <c r="C710" s="51"/>
      <c r="D710" s="52"/>
      <c r="E710" s="52"/>
      <c r="F710" s="52"/>
      <c r="G710" s="51"/>
      <c r="H710" s="52"/>
      <c r="I710" s="52"/>
      <c r="J710" s="52"/>
      <c r="K710" s="52"/>
    </row>
    <row r="711" customFormat="false" ht="15.75" hidden="false" customHeight="false" outlineLevel="0" collapsed="false">
      <c r="B711" s="50"/>
      <c r="C711" s="51"/>
      <c r="D711" s="52"/>
      <c r="E711" s="52"/>
      <c r="F711" s="52"/>
      <c r="G711" s="51"/>
      <c r="H711" s="52"/>
      <c r="I711" s="52"/>
      <c r="J711" s="52"/>
      <c r="K711" s="52"/>
    </row>
    <row r="712" customFormat="false" ht="15.75" hidden="false" customHeight="false" outlineLevel="0" collapsed="false">
      <c r="B712" s="50"/>
      <c r="C712" s="51"/>
      <c r="D712" s="52"/>
      <c r="E712" s="52"/>
      <c r="F712" s="52"/>
      <c r="G712" s="51"/>
      <c r="H712" s="52"/>
      <c r="I712" s="52"/>
      <c r="J712" s="52"/>
      <c r="K712" s="52"/>
    </row>
    <row r="713" customFormat="false" ht="15.75" hidden="false" customHeight="false" outlineLevel="0" collapsed="false">
      <c r="B713" s="50"/>
      <c r="C713" s="51"/>
      <c r="D713" s="52"/>
      <c r="E713" s="52"/>
      <c r="F713" s="52"/>
      <c r="G713" s="51"/>
      <c r="H713" s="52"/>
      <c r="I713" s="52"/>
      <c r="J713" s="52"/>
      <c r="K713" s="52"/>
    </row>
    <row r="714" customFormat="false" ht="15.75" hidden="false" customHeight="false" outlineLevel="0" collapsed="false">
      <c r="B714" s="50"/>
      <c r="C714" s="51"/>
      <c r="D714" s="52"/>
      <c r="E714" s="52"/>
      <c r="F714" s="52"/>
      <c r="G714" s="51"/>
      <c r="H714" s="52"/>
      <c r="I714" s="52"/>
      <c r="J714" s="52"/>
      <c r="K714" s="52"/>
    </row>
    <row r="715" customFormat="false" ht="15.75" hidden="false" customHeight="false" outlineLevel="0" collapsed="false">
      <c r="B715" s="50"/>
      <c r="C715" s="51"/>
      <c r="D715" s="52"/>
      <c r="E715" s="52"/>
      <c r="F715" s="52"/>
      <c r="G715" s="51"/>
      <c r="H715" s="52"/>
      <c r="I715" s="52"/>
      <c r="J715" s="52"/>
      <c r="K715" s="52"/>
    </row>
    <row r="716" customFormat="false" ht="15.75" hidden="false" customHeight="false" outlineLevel="0" collapsed="false">
      <c r="B716" s="50"/>
      <c r="C716" s="51"/>
      <c r="D716" s="52"/>
      <c r="E716" s="52"/>
      <c r="F716" s="52"/>
      <c r="G716" s="51"/>
      <c r="H716" s="52"/>
      <c r="I716" s="52"/>
      <c r="J716" s="52"/>
      <c r="K716" s="52"/>
    </row>
    <row r="717" customFormat="false" ht="15.75" hidden="false" customHeight="false" outlineLevel="0" collapsed="false">
      <c r="B717" s="50"/>
      <c r="C717" s="51"/>
      <c r="D717" s="52"/>
      <c r="E717" s="52"/>
      <c r="F717" s="52"/>
      <c r="G717" s="51"/>
      <c r="H717" s="52"/>
      <c r="I717" s="52"/>
      <c r="J717" s="52"/>
      <c r="K717" s="52"/>
    </row>
    <row r="718" customFormat="false" ht="15.75" hidden="false" customHeight="false" outlineLevel="0" collapsed="false">
      <c r="B718" s="50"/>
      <c r="C718" s="51"/>
      <c r="D718" s="52"/>
      <c r="E718" s="52"/>
      <c r="F718" s="52"/>
      <c r="G718" s="51"/>
      <c r="H718" s="52"/>
      <c r="I718" s="52"/>
      <c r="J718" s="52"/>
      <c r="K718" s="52"/>
    </row>
    <row r="719" customFormat="false" ht="15.75" hidden="false" customHeight="false" outlineLevel="0" collapsed="false">
      <c r="B719" s="50"/>
      <c r="C719" s="51"/>
      <c r="D719" s="52"/>
      <c r="E719" s="52"/>
      <c r="F719" s="52"/>
      <c r="G719" s="51"/>
      <c r="H719" s="52"/>
      <c r="I719" s="52"/>
      <c r="J719" s="52"/>
      <c r="K719" s="52"/>
    </row>
    <row r="720" customFormat="false" ht="15.75" hidden="false" customHeight="false" outlineLevel="0" collapsed="false">
      <c r="B720" s="50"/>
      <c r="C720" s="51"/>
      <c r="D720" s="52"/>
      <c r="E720" s="52"/>
      <c r="F720" s="52"/>
      <c r="G720" s="51"/>
      <c r="H720" s="52"/>
      <c r="I720" s="52"/>
      <c r="J720" s="52"/>
      <c r="K720" s="52"/>
    </row>
    <row r="721" customFormat="false" ht="15.75" hidden="false" customHeight="false" outlineLevel="0" collapsed="false">
      <c r="B721" s="50"/>
      <c r="C721" s="51"/>
      <c r="D721" s="52"/>
      <c r="E721" s="52"/>
      <c r="F721" s="52"/>
      <c r="G721" s="51"/>
      <c r="H721" s="52"/>
      <c r="I721" s="52"/>
      <c r="J721" s="52"/>
      <c r="K721" s="52"/>
    </row>
    <row r="722" customFormat="false" ht="15.75" hidden="false" customHeight="false" outlineLevel="0" collapsed="false">
      <c r="B722" s="50"/>
      <c r="C722" s="51"/>
      <c r="D722" s="52"/>
      <c r="E722" s="52"/>
      <c r="F722" s="52"/>
      <c r="G722" s="51"/>
      <c r="H722" s="52"/>
      <c r="I722" s="52"/>
      <c r="J722" s="52"/>
      <c r="K722" s="52"/>
    </row>
    <row r="723" customFormat="false" ht="15.75" hidden="false" customHeight="false" outlineLevel="0" collapsed="false">
      <c r="B723" s="50"/>
      <c r="C723" s="51"/>
      <c r="D723" s="52"/>
      <c r="E723" s="52"/>
      <c r="F723" s="52"/>
      <c r="G723" s="51"/>
      <c r="H723" s="52"/>
      <c r="I723" s="52"/>
      <c r="J723" s="52"/>
      <c r="K723" s="52"/>
    </row>
    <row r="724" customFormat="false" ht="15.75" hidden="false" customHeight="false" outlineLevel="0" collapsed="false">
      <c r="B724" s="50"/>
      <c r="C724" s="51"/>
      <c r="D724" s="52"/>
      <c r="E724" s="52"/>
      <c r="F724" s="52"/>
      <c r="G724" s="51"/>
      <c r="H724" s="52"/>
      <c r="I724" s="52"/>
      <c r="J724" s="52"/>
      <c r="K724" s="52"/>
    </row>
    <row r="725" customFormat="false" ht="15.75" hidden="false" customHeight="false" outlineLevel="0" collapsed="false">
      <c r="B725" s="50"/>
      <c r="C725" s="51"/>
      <c r="D725" s="52"/>
      <c r="E725" s="52"/>
      <c r="F725" s="52"/>
      <c r="G725" s="51"/>
      <c r="H725" s="52"/>
      <c r="I725" s="52"/>
      <c r="J725" s="52"/>
      <c r="K725" s="52"/>
    </row>
    <row r="726" customFormat="false" ht="15.75" hidden="false" customHeight="false" outlineLevel="0" collapsed="false">
      <c r="B726" s="50"/>
      <c r="C726" s="51"/>
      <c r="D726" s="52"/>
      <c r="E726" s="52"/>
      <c r="F726" s="52"/>
      <c r="G726" s="51"/>
      <c r="H726" s="52"/>
      <c r="I726" s="52"/>
      <c r="J726" s="52"/>
      <c r="K726" s="52"/>
    </row>
    <row r="727" customFormat="false" ht="15.75" hidden="false" customHeight="false" outlineLevel="0" collapsed="false">
      <c r="B727" s="50"/>
      <c r="C727" s="51"/>
      <c r="D727" s="52"/>
      <c r="E727" s="52"/>
      <c r="F727" s="52"/>
      <c r="G727" s="51"/>
      <c r="H727" s="52"/>
      <c r="I727" s="52"/>
      <c r="J727" s="52"/>
      <c r="K727" s="52"/>
    </row>
    <row r="728" customFormat="false" ht="15.75" hidden="false" customHeight="false" outlineLevel="0" collapsed="false">
      <c r="B728" s="50"/>
      <c r="C728" s="51"/>
      <c r="D728" s="52"/>
      <c r="E728" s="52"/>
      <c r="F728" s="52"/>
      <c r="G728" s="51"/>
      <c r="H728" s="52"/>
      <c r="I728" s="52"/>
      <c r="J728" s="52"/>
      <c r="K728" s="52"/>
    </row>
    <row r="729" customFormat="false" ht="15.75" hidden="false" customHeight="false" outlineLevel="0" collapsed="false">
      <c r="B729" s="50"/>
      <c r="C729" s="51"/>
      <c r="D729" s="52"/>
      <c r="E729" s="52"/>
      <c r="F729" s="52"/>
      <c r="G729" s="51"/>
      <c r="H729" s="52"/>
      <c r="I729" s="52"/>
      <c r="J729" s="52"/>
      <c r="K729" s="52"/>
    </row>
    <row r="730" customFormat="false" ht="15.75" hidden="false" customHeight="false" outlineLevel="0" collapsed="false">
      <c r="B730" s="50"/>
      <c r="C730" s="51"/>
      <c r="D730" s="52"/>
      <c r="E730" s="52"/>
      <c r="F730" s="52"/>
      <c r="G730" s="51"/>
      <c r="H730" s="52"/>
      <c r="I730" s="52"/>
      <c r="J730" s="52"/>
      <c r="K730" s="52"/>
    </row>
    <row r="731" customFormat="false" ht="15.75" hidden="false" customHeight="false" outlineLevel="0" collapsed="false">
      <c r="B731" s="50"/>
      <c r="C731" s="51"/>
      <c r="D731" s="52"/>
      <c r="E731" s="52"/>
      <c r="F731" s="52"/>
      <c r="G731" s="51"/>
      <c r="H731" s="52"/>
      <c r="I731" s="52"/>
      <c r="J731" s="52"/>
      <c r="K731" s="52"/>
    </row>
    <row r="732" customFormat="false" ht="15.75" hidden="false" customHeight="false" outlineLevel="0" collapsed="false">
      <c r="B732" s="50"/>
      <c r="C732" s="51"/>
      <c r="D732" s="52"/>
      <c r="E732" s="52"/>
      <c r="F732" s="52"/>
      <c r="G732" s="51"/>
      <c r="H732" s="52"/>
      <c r="I732" s="52"/>
      <c r="J732" s="52"/>
      <c r="K732" s="52"/>
    </row>
    <row r="733" customFormat="false" ht="15.75" hidden="false" customHeight="false" outlineLevel="0" collapsed="false">
      <c r="B733" s="50"/>
      <c r="C733" s="51"/>
      <c r="D733" s="52"/>
      <c r="E733" s="52"/>
      <c r="F733" s="52"/>
      <c r="G733" s="51"/>
      <c r="H733" s="52"/>
      <c r="I733" s="52"/>
      <c r="J733" s="52"/>
      <c r="K733" s="52"/>
    </row>
    <row r="734" customFormat="false" ht="15.75" hidden="false" customHeight="false" outlineLevel="0" collapsed="false">
      <c r="B734" s="50"/>
      <c r="C734" s="51"/>
      <c r="D734" s="52"/>
      <c r="E734" s="52"/>
      <c r="F734" s="52"/>
      <c r="G734" s="51"/>
      <c r="H734" s="52"/>
      <c r="I734" s="52"/>
      <c r="J734" s="52"/>
      <c r="K734" s="52"/>
    </row>
    <row r="735" customFormat="false" ht="15.75" hidden="false" customHeight="false" outlineLevel="0" collapsed="false">
      <c r="B735" s="50"/>
      <c r="C735" s="51"/>
      <c r="D735" s="52"/>
      <c r="E735" s="52"/>
      <c r="F735" s="52"/>
      <c r="G735" s="51"/>
      <c r="H735" s="52"/>
      <c r="I735" s="52"/>
      <c r="J735" s="52"/>
      <c r="K735" s="52"/>
    </row>
    <row r="736" customFormat="false" ht="15.75" hidden="false" customHeight="false" outlineLevel="0" collapsed="false">
      <c r="B736" s="50"/>
      <c r="C736" s="51"/>
      <c r="D736" s="52"/>
      <c r="E736" s="52"/>
      <c r="F736" s="52"/>
      <c r="G736" s="51"/>
      <c r="H736" s="52"/>
      <c r="I736" s="52"/>
      <c r="J736" s="52"/>
      <c r="K736" s="52"/>
    </row>
    <row r="737" customFormat="false" ht="15.75" hidden="false" customHeight="false" outlineLevel="0" collapsed="false">
      <c r="B737" s="50"/>
      <c r="C737" s="51"/>
      <c r="D737" s="52"/>
      <c r="E737" s="52"/>
      <c r="F737" s="52"/>
      <c r="G737" s="51"/>
      <c r="H737" s="52"/>
      <c r="I737" s="52"/>
      <c r="J737" s="52"/>
      <c r="K737" s="52"/>
    </row>
    <row r="738" customFormat="false" ht="15.75" hidden="false" customHeight="false" outlineLevel="0" collapsed="false">
      <c r="B738" s="50"/>
      <c r="C738" s="51"/>
      <c r="D738" s="52"/>
      <c r="E738" s="52"/>
      <c r="F738" s="52"/>
      <c r="G738" s="51"/>
      <c r="H738" s="52"/>
      <c r="I738" s="52"/>
      <c r="J738" s="52"/>
      <c r="K738" s="52"/>
    </row>
    <row r="739" customFormat="false" ht="15.75" hidden="false" customHeight="false" outlineLevel="0" collapsed="false">
      <c r="B739" s="50"/>
      <c r="C739" s="51"/>
      <c r="D739" s="52"/>
      <c r="E739" s="52"/>
      <c r="F739" s="52"/>
      <c r="G739" s="51"/>
      <c r="H739" s="52"/>
      <c r="I739" s="52"/>
      <c r="J739" s="52"/>
      <c r="K739" s="52"/>
    </row>
    <row r="740" customFormat="false" ht="15.75" hidden="false" customHeight="false" outlineLevel="0" collapsed="false">
      <c r="B740" s="50"/>
      <c r="C740" s="51"/>
      <c r="D740" s="52"/>
      <c r="E740" s="52"/>
      <c r="F740" s="52"/>
      <c r="G740" s="51"/>
      <c r="H740" s="52"/>
      <c r="I740" s="52"/>
      <c r="J740" s="52"/>
      <c r="K740" s="52"/>
    </row>
    <row r="741" customFormat="false" ht="15.75" hidden="false" customHeight="false" outlineLevel="0" collapsed="false">
      <c r="B741" s="50"/>
      <c r="C741" s="51"/>
      <c r="D741" s="52"/>
      <c r="E741" s="52"/>
      <c r="F741" s="52"/>
      <c r="G741" s="51"/>
      <c r="H741" s="52"/>
      <c r="I741" s="52"/>
      <c r="J741" s="52"/>
      <c r="K741" s="52"/>
    </row>
    <row r="742" customFormat="false" ht="15.75" hidden="false" customHeight="false" outlineLevel="0" collapsed="false">
      <c r="B742" s="50"/>
      <c r="C742" s="51"/>
      <c r="D742" s="52"/>
      <c r="E742" s="52"/>
      <c r="F742" s="52"/>
      <c r="G742" s="51"/>
      <c r="H742" s="52"/>
      <c r="I742" s="52"/>
      <c r="J742" s="52"/>
      <c r="K742" s="52"/>
    </row>
    <row r="743" customFormat="false" ht="15.75" hidden="false" customHeight="false" outlineLevel="0" collapsed="false">
      <c r="B743" s="50"/>
      <c r="C743" s="51"/>
      <c r="D743" s="52"/>
      <c r="E743" s="52"/>
      <c r="F743" s="52"/>
      <c r="G743" s="51"/>
      <c r="H743" s="52"/>
      <c r="I743" s="52"/>
      <c r="J743" s="52"/>
      <c r="K743" s="52"/>
    </row>
    <row r="744" customFormat="false" ht="15.75" hidden="false" customHeight="false" outlineLevel="0" collapsed="false">
      <c r="B744" s="50"/>
      <c r="C744" s="51"/>
      <c r="D744" s="52"/>
      <c r="E744" s="52"/>
      <c r="F744" s="52"/>
      <c r="G744" s="51"/>
      <c r="H744" s="52"/>
      <c r="I744" s="52"/>
      <c r="J744" s="52"/>
      <c r="K744" s="52"/>
    </row>
    <row r="745" customFormat="false" ht="15.75" hidden="false" customHeight="false" outlineLevel="0" collapsed="false">
      <c r="B745" s="50"/>
      <c r="C745" s="51"/>
      <c r="D745" s="52"/>
      <c r="E745" s="52"/>
      <c r="F745" s="52"/>
      <c r="G745" s="51"/>
      <c r="H745" s="52"/>
      <c r="I745" s="52"/>
      <c r="J745" s="52"/>
      <c r="K745" s="52"/>
    </row>
    <row r="746" customFormat="false" ht="15.75" hidden="false" customHeight="false" outlineLevel="0" collapsed="false">
      <c r="B746" s="50"/>
      <c r="C746" s="51"/>
      <c r="D746" s="52"/>
      <c r="E746" s="52"/>
      <c r="F746" s="52"/>
      <c r="G746" s="51"/>
      <c r="H746" s="52"/>
      <c r="I746" s="52"/>
      <c r="J746" s="52"/>
      <c r="K746" s="52"/>
    </row>
    <row r="747" customFormat="false" ht="15.75" hidden="false" customHeight="false" outlineLevel="0" collapsed="false">
      <c r="B747" s="50"/>
      <c r="C747" s="51"/>
      <c r="D747" s="52"/>
      <c r="E747" s="52"/>
      <c r="F747" s="52"/>
      <c r="G747" s="51"/>
      <c r="H747" s="52"/>
      <c r="I747" s="52"/>
      <c r="J747" s="52"/>
      <c r="K747" s="52"/>
    </row>
    <row r="748" customFormat="false" ht="15.75" hidden="false" customHeight="false" outlineLevel="0" collapsed="false">
      <c r="B748" s="50"/>
      <c r="C748" s="51"/>
      <c r="D748" s="52"/>
      <c r="E748" s="52"/>
      <c r="F748" s="52"/>
      <c r="G748" s="51"/>
      <c r="H748" s="52"/>
      <c r="I748" s="52"/>
      <c r="J748" s="52"/>
      <c r="K748" s="52"/>
    </row>
    <row r="749" customFormat="false" ht="15.75" hidden="false" customHeight="false" outlineLevel="0" collapsed="false">
      <c r="B749" s="50"/>
      <c r="C749" s="51"/>
      <c r="D749" s="52"/>
      <c r="E749" s="52"/>
      <c r="F749" s="52"/>
      <c r="G749" s="51"/>
      <c r="H749" s="52"/>
      <c r="I749" s="52"/>
      <c r="J749" s="52"/>
      <c r="K749" s="52"/>
    </row>
    <row r="750" customFormat="false" ht="15.75" hidden="false" customHeight="false" outlineLevel="0" collapsed="false">
      <c r="B750" s="50"/>
      <c r="C750" s="51"/>
      <c r="D750" s="52"/>
      <c r="E750" s="52"/>
      <c r="F750" s="52"/>
      <c r="G750" s="51"/>
      <c r="H750" s="52"/>
      <c r="I750" s="52"/>
      <c r="J750" s="52"/>
      <c r="K750" s="52"/>
    </row>
    <row r="751" customFormat="false" ht="15.75" hidden="false" customHeight="false" outlineLevel="0" collapsed="false">
      <c r="B751" s="50"/>
      <c r="C751" s="51"/>
      <c r="D751" s="52"/>
      <c r="E751" s="52"/>
      <c r="F751" s="52"/>
      <c r="G751" s="51"/>
      <c r="H751" s="52"/>
      <c r="I751" s="52"/>
      <c r="J751" s="52"/>
      <c r="K751" s="52"/>
    </row>
    <row r="752" customFormat="false" ht="15.75" hidden="false" customHeight="false" outlineLevel="0" collapsed="false">
      <c r="B752" s="50"/>
      <c r="C752" s="51"/>
      <c r="D752" s="52"/>
      <c r="E752" s="52"/>
      <c r="F752" s="52"/>
      <c r="G752" s="51"/>
      <c r="H752" s="52"/>
      <c r="I752" s="52"/>
      <c r="J752" s="52"/>
      <c r="K752" s="52"/>
    </row>
    <row r="753" customFormat="false" ht="15.75" hidden="false" customHeight="false" outlineLevel="0" collapsed="false">
      <c r="B753" s="50"/>
      <c r="C753" s="51"/>
      <c r="D753" s="52"/>
      <c r="E753" s="52"/>
      <c r="F753" s="52"/>
      <c r="G753" s="51"/>
      <c r="H753" s="52"/>
      <c r="I753" s="52"/>
      <c r="J753" s="52"/>
      <c r="K753" s="52"/>
    </row>
    <row r="754" customFormat="false" ht="15.75" hidden="false" customHeight="false" outlineLevel="0" collapsed="false">
      <c r="B754" s="50"/>
      <c r="C754" s="51"/>
      <c r="D754" s="52"/>
      <c r="E754" s="52"/>
      <c r="F754" s="52"/>
      <c r="G754" s="51"/>
      <c r="H754" s="52"/>
      <c r="I754" s="52"/>
      <c r="J754" s="52"/>
      <c r="K754" s="52"/>
    </row>
    <row r="755" customFormat="false" ht="15.75" hidden="false" customHeight="false" outlineLevel="0" collapsed="false">
      <c r="B755" s="50"/>
      <c r="C755" s="51"/>
      <c r="D755" s="52"/>
      <c r="E755" s="52"/>
      <c r="F755" s="52"/>
      <c r="G755" s="51"/>
      <c r="H755" s="52"/>
      <c r="I755" s="52"/>
      <c r="J755" s="52"/>
      <c r="K755" s="52"/>
    </row>
    <row r="756" customFormat="false" ht="15.75" hidden="false" customHeight="false" outlineLevel="0" collapsed="false">
      <c r="B756" s="50"/>
      <c r="C756" s="51"/>
      <c r="D756" s="52"/>
      <c r="E756" s="52"/>
      <c r="F756" s="52"/>
      <c r="G756" s="51"/>
      <c r="H756" s="52"/>
      <c r="I756" s="52"/>
      <c r="J756" s="52"/>
      <c r="K756" s="52"/>
    </row>
    <row r="757" customFormat="false" ht="15.75" hidden="false" customHeight="false" outlineLevel="0" collapsed="false">
      <c r="B757" s="50"/>
      <c r="C757" s="51"/>
      <c r="D757" s="52"/>
      <c r="E757" s="52"/>
      <c r="F757" s="52"/>
      <c r="G757" s="51"/>
      <c r="H757" s="52"/>
      <c r="I757" s="52"/>
      <c r="J757" s="52"/>
      <c r="K757" s="52"/>
    </row>
    <row r="758" customFormat="false" ht="15.75" hidden="false" customHeight="false" outlineLevel="0" collapsed="false">
      <c r="B758" s="50"/>
      <c r="C758" s="51"/>
      <c r="D758" s="52"/>
      <c r="E758" s="52"/>
      <c r="F758" s="52"/>
      <c r="G758" s="51"/>
      <c r="H758" s="52"/>
      <c r="I758" s="52"/>
      <c r="J758" s="52"/>
      <c r="K758" s="52"/>
    </row>
    <row r="759" customFormat="false" ht="15.75" hidden="false" customHeight="false" outlineLevel="0" collapsed="false">
      <c r="B759" s="50"/>
      <c r="C759" s="51"/>
      <c r="D759" s="52"/>
      <c r="E759" s="52"/>
      <c r="F759" s="52"/>
      <c r="G759" s="51"/>
      <c r="H759" s="52"/>
      <c r="I759" s="52"/>
      <c r="J759" s="52"/>
      <c r="K759" s="52"/>
    </row>
    <row r="760" customFormat="false" ht="15.75" hidden="false" customHeight="false" outlineLevel="0" collapsed="false">
      <c r="B760" s="50"/>
      <c r="C760" s="51"/>
      <c r="D760" s="52"/>
      <c r="E760" s="52"/>
      <c r="F760" s="52"/>
      <c r="G760" s="51"/>
      <c r="H760" s="52"/>
      <c r="I760" s="52"/>
      <c r="J760" s="52"/>
      <c r="K760" s="52"/>
    </row>
    <row r="761" customFormat="false" ht="15.75" hidden="false" customHeight="false" outlineLevel="0" collapsed="false">
      <c r="B761" s="50"/>
      <c r="C761" s="51"/>
      <c r="D761" s="52"/>
      <c r="E761" s="52"/>
      <c r="F761" s="52"/>
      <c r="G761" s="51"/>
      <c r="H761" s="52"/>
      <c r="I761" s="52"/>
      <c r="J761" s="52"/>
      <c r="K761" s="52"/>
    </row>
    <row r="762" customFormat="false" ht="15.75" hidden="false" customHeight="false" outlineLevel="0" collapsed="false">
      <c r="B762" s="50"/>
      <c r="C762" s="51"/>
      <c r="D762" s="52"/>
      <c r="E762" s="52"/>
      <c r="F762" s="52"/>
      <c r="G762" s="51"/>
      <c r="H762" s="52"/>
      <c r="I762" s="52"/>
      <c r="J762" s="52"/>
      <c r="K762" s="52"/>
    </row>
    <row r="763" customFormat="false" ht="15.75" hidden="false" customHeight="false" outlineLevel="0" collapsed="false">
      <c r="B763" s="50"/>
      <c r="C763" s="51"/>
      <c r="D763" s="52"/>
      <c r="E763" s="52"/>
      <c r="F763" s="52"/>
      <c r="G763" s="51"/>
      <c r="H763" s="52"/>
      <c r="I763" s="52"/>
      <c r="J763" s="52"/>
      <c r="K763" s="52"/>
    </row>
    <row r="764" customFormat="false" ht="15.75" hidden="false" customHeight="false" outlineLevel="0" collapsed="false">
      <c r="B764" s="50"/>
      <c r="C764" s="51"/>
      <c r="D764" s="52"/>
      <c r="E764" s="52"/>
      <c r="F764" s="52"/>
      <c r="G764" s="51"/>
      <c r="H764" s="52"/>
      <c r="I764" s="52"/>
      <c r="J764" s="52"/>
      <c r="K764" s="52"/>
    </row>
    <row r="765" customFormat="false" ht="15.75" hidden="false" customHeight="false" outlineLevel="0" collapsed="false">
      <c r="B765" s="50"/>
      <c r="C765" s="51"/>
      <c r="D765" s="52"/>
      <c r="E765" s="52"/>
      <c r="F765" s="52"/>
      <c r="G765" s="51"/>
      <c r="H765" s="52"/>
      <c r="I765" s="52"/>
      <c r="J765" s="52"/>
      <c r="K765" s="52"/>
    </row>
    <row r="766" customFormat="false" ht="15.75" hidden="false" customHeight="false" outlineLevel="0" collapsed="false">
      <c r="B766" s="50"/>
      <c r="C766" s="51"/>
      <c r="D766" s="52"/>
      <c r="E766" s="52"/>
      <c r="F766" s="52"/>
      <c r="G766" s="51"/>
      <c r="H766" s="52"/>
      <c r="I766" s="52"/>
      <c r="J766" s="52"/>
      <c r="K766" s="52"/>
    </row>
    <row r="767" customFormat="false" ht="15.75" hidden="false" customHeight="false" outlineLevel="0" collapsed="false">
      <c r="B767" s="50"/>
      <c r="C767" s="51"/>
      <c r="D767" s="52"/>
      <c r="E767" s="52"/>
      <c r="F767" s="52"/>
      <c r="G767" s="51"/>
      <c r="H767" s="52"/>
      <c r="I767" s="52"/>
      <c r="J767" s="52"/>
      <c r="K767" s="52"/>
    </row>
    <row r="768" customFormat="false" ht="15.75" hidden="false" customHeight="false" outlineLevel="0" collapsed="false">
      <c r="B768" s="50"/>
      <c r="C768" s="51"/>
      <c r="D768" s="52"/>
      <c r="E768" s="52"/>
      <c r="F768" s="52"/>
      <c r="G768" s="51"/>
      <c r="H768" s="52"/>
      <c r="I768" s="52"/>
      <c r="J768" s="52"/>
      <c r="K768" s="52"/>
    </row>
    <row r="769" customFormat="false" ht="15.75" hidden="false" customHeight="false" outlineLevel="0" collapsed="false">
      <c r="B769" s="50"/>
      <c r="C769" s="51"/>
      <c r="D769" s="52"/>
      <c r="E769" s="52"/>
      <c r="F769" s="52"/>
      <c r="G769" s="51"/>
      <c r="H769" s="52"/>
      <c r="I769" s="52"/>
      <c r="J769" s="52"/>
      <c r="K769" s="52"/>
    </row>
    <row r="770" customFormat="false" ht="15.75" hidden="false" customHeight="false" outlineLevel="0" collapsed="false">
      <c r="B770" s="50"/>
      <c r="C770" s="51"/>
      <c r="D770" s="52"/>
      <c r="E770" s="52"/>
      <c r="F770" s="52"/>
      <c r="G770" s="51"/>
      <c r="H770" s="52"/>
      <c r="I770" s="52"/>
      <c r="J770" s="52"/>
      <c r="K770" s="52"/>
    </row>
    <row r="771" customFormat="false" ht="15.75" hidden="false" customHeight="false" outlineLevel="0" collapsed="false">
      <c r="B771" s="50"/>
      <c r="C771" s="51"/>
      <c r="D771" s="52"/>
      <c r="E771" s="52"/>
      <c r="F771" s="52"/>
      <c r="G771" s="51"/>
      <c r="H771" s="52"/>
      <c r="I771" s="52"/>
      <c r="J771" s="52"/>
      <c r="K771" s="52"/>
    </row>
    <row r="772" customFormat="false" ht="15.75" hidden="false" customHeight="false" outlineLevel="0" collapsed="false">
      <c r="B772" s="50"/>
      <c r="C772" s="51"/>
      <c r="D772" s="52"/>
      <c r="E772" s="52"/>
      <c r="F772" s="52"/>
      <c r="G772" s="51"/>
      <c r="H772" s="52"/>
      <c r="I772" s="52"/>
      <c r="J772" s="52"/>
      <c r="K772" s="52"/>
    </row>
    <row r="773" customFormat="false" ht="15.75" hidden="false" customHeight="false" outlineLevel="0" collapsed="false">
      <c r="B773" s="50"/>
      <c r="C773" s="51"/>
      <c r="D773" s="52"/>
      <c r="E773" s="52"/>
      <c r="F773" s="52"/>
      <c r="G773" s="51"/>
      <c r="H773" s="52"/>
      <c r="I773" s="52"/>
      <c r="J773" s="52"/>
      <c r="K773" s="52"/>
    </row>
    <row r="774" customFormat="false" ht="15.75" hidden="false" customHeight="false" outlineLevel="0" collapsed="false">
      <c r="B774" s="50"/>
      <c r="C774" s="51"/>
      <c r="D774" s="52"/>
      <c r="E774" s="52"/>
      <c r="F774" s="52"/>
      <c r="G774" s="51"/>
      <c r="H774" s="52"/>
      <c r="I774" s="52"/>
      <c r="J774" s="52"/>
      <c r="K774" s="52"/>
    </row>
    <row r="775" customFormat="false" ht="15.75" hidden="false" customHeight="false" outlineLevel="0" collapsed="false">
      <c r="B775" s="50"/>
      <c r="C775" s="51"/>
      <c r="D775" s="52"/>
      <c r="E775" s="52"/>
      <c r="F775" s="52"/>
      <c r="G775" s="51"/>
      <c r="H775" s="52"/>
      <c r="I775" s="52"/>
      <c r="J775" s="52"/>
      <c r="K775" s="52"/>
    </row>
    <row r="776" customFormat="false" ht="15.75" hidden="false" customHeight="false" outlineLevel="0" collapsed="false">
      <c r="B776" s="50"/>
      <c r="C776" s="51"/>
      <c r="D776" s="52"/>
      <c r="E776" s="52"/>
      <c r="F776" s="52"/>
      <c r="G776" s="51"/>
      <c r="H776" s="52"/>
      <c r="I776" s="52"/>
      <c r="J776" s="52"/>
      <c r="K776" s="52"/>
    </row>
    <row r="777" customFormat="false" ht="15.75" hidden="false" customHeight="false" outlineLevel="0" collapsed="false">
      <c r="B777" s="50"/>
      <c r="C777" s="51"/>
      <c r="D777" s="52"/>
      <c r="E777" s="52"/>
      <c r="F777" s="52"/>
      <c r="G777" s="51"/>
      <c r="H777" s="52"/>
      <c r="I777" s="52"/>
      <c r="J777" s="52"/>
      <c r="K777" s="52"/>
    </row>
    <row r="778" customFormat="false" ht="15.75" hidden="false" customHeight="false" outlineLevel="0" collapsed="false">
      <c r="B778" s="50"/>
      <c r="C778" s="51"/>
      <c r="D778" s="52"/>
      <c r="E778" s="52"/>
      <c r="F778" s="52"/>
      <c r="G778" s="51"/>
      <c r="H778" s="52"/>
      <c r="I778" s="52"/>
      <c r="J778" s="52"/>
      <c r="K778" s="52"/>
    </row>
    <row r="779" customFormat="false" ht="15.75" hidden="false" customHeight="false" outlineLevel="0" collapsed="false">
      <c r="B779" s="50"/>
      <c r="C779" s="51"/>
      <c r="D779" s="52"/>
      <c r="E779" s="52"/>
      <c r="F779" s="52"/>
      <c r="G779" s="51"/>
      <c r="H779" s="52"/>
      <c r="I779" s="52"/>
      <c r="J779" s="52"/>
      <c r="K779" s="52"/>
    </row>
    <row r="780" customFormat="false" ht="15.75" hidden="false" customHeight="false" outlineLevel="0" collapsed="false">
      <c r="B780" s="50"/>
      <c r="C780" s="51"/>
      <c r="D780" s="52"/>
      <c r="E780" s="52"/>
      <c r="F780" s="52"/>
      <c r="G780" s="51"/>
      <c r="H780" s="52"/>
      <c r="I780" s="52"/>
      <c r="J780" s="52"/>
      <c r="K780" s="52"/>
    </row>
    <row r="781" customFormat="false" ht="15.75" hidden="false" customHeight="false" outlineLevel="0" collapsed="false">
      <c r="B781" s="50"/>
      <c r="C781" s="51"/>
      <c r="D781" s="52"/>
      <c r="E781" s="52"/>
      <c r="F781" s="52"/>
      <c r="G781" s="51"/>
      <c r="H781" s="52"/>
      <c r="I781" s="52"/>
      <c r="J781" s="52"/>
      <c r="K781" s="52"/>
    </row>
    <row r="782" customFormat="false" ht="15.75" hidden="false" customHeight="false" outlineLevel="0" collapsed="false">
      <c r="B782" s="50"/>
      <c r="C782" s="51"/>
      <c r="D782" s="52"/>
      <c r="E782" s="52"/>
      <c r="F782" s="52"/>
      <c r="G782" s="51"/>
      <c r="H782" s="52"/>
      <c r="I782" s="52"/>
      <c r="J782" s="52"/>
      <c r="K782" s="52"/>
    </row>
    <row r="783" customFormat="false" ht="15.75" hidden="false" customHeight="false" outlineLevel="0" collapsed="false">
      <c r="B783" s="50"/>
      <c r="C783" s="51"/>
      <c r="D783" s="52"/>
      <c r="E783" s="52"/>
      <c r="F783" s="52"/>
      <c r="G783" s="51"/>
      <c r="H783" s="52"/>
      <c r="I783" s="52"/>
      <c r="J783" s="52"/>
      <c r="K783" s="52"/>
    </row>
    <row r="784" customFormat="false" ht="15.75" hidden="false" customHeight="false" outlineLevel="0" collapsed="false">
      <c r="B784" s="50"/>
      <c r="C784" s="51"/>
      <c r="D784" s="52"/>
      <c r="E784" s="52"/>
      <c r="F784" s="52"/>
      <c r="G784" s="51"/>
      <c r="H784" s="52"/>
      <c r="I784" s="52"/>
      <c r="J784" s="52"/>
      <c r="K784" s="52"/>
    </row>
    <row r="785" customFormat="false" ht="15.75" hidden="false" customHeight="false" outlineLevel="0" collapsed="false">
      <c r="B785" s="50"/>
      <c r="C785" s="51"/>
      <c r="D785" s="52"/>
      <c r="E785" s="52"/>
      <c r="F785" s="52"/>
      <c r="G785" s="51"/>
      <c r="H785" s="52"/>
      <c r="I785" s="52"/>
      <c r="J785" s="52"/>
      <c r="K785" s="52"/>
    </row>
    <row r="786" customFormat="false" ht="15.75" hidden="false" customHeight="false" outlineLevel="0" collapsed="false">
      <c r="B786" s="50"/>
      <c r="C786" s="51"/>
      <c r="D786" s="52"/>
      <c r="E786" s="52"/>
      <c r="F786" s="52"/>
      <c r="G786" s="51"/>
      <c r="H786" s="52"/>
      <c r="I786" s="52"/>
      <c r="J786" s="52"/>
      <c r="K786" s="52"/>
    </row>
    <row r="787" customFormat="false" ht="15.75" hidden="false" customHeight="false" outlineLevel="0" collapsed="false">
      <c r="B787" s="50"/>
      <c r="C787" s="51"/>
      <c r="D787" s="52"/>
      <c r="E787" s="52"/>
      <c r="F787" s="52"/>
      <c r="G787" s="51"/>
      <c r="H787" s="52"/>
      <c r="I787" s="52"/>
      <c r="J787" s="52"/>
      <c r="K787" s="52"/>
    </row>
    <row r="788" customFormat="false" ht="15.75" hidden="false" customHeight="false" outlineLevel="0" collapsed="false">
      <c r="B788" s="50"/>
      <c r="C788" s="51"/>
      <c r="D788" s="52"/>
      <c r="E788" s="52"/>
      <c r="F788" s="52"/>
      <c r="G788" s="51"/>
      <c r="H788" s="52"/>
      <c r="I788" s="52"/>
      <c r="J788" s="52"/>
      <c r="K788" s="52"/>
    </row>
    <row r="789" customFormat="false" ht="15.75" hidden="false" customHeight="false" outlineLevel="0" collapsed="false">
      <c r="B789" s="50"/>
      <c r="C789" s="51"/>
      <c r="D789" s="52"/>
      <c r="E789" s="52"/>
      <c r="F789" s="52"/>
      <c r="G789" s="51"/>
      <c r="H789" s="52"/>
      <c r="I789" s="52"/>
      <c r="J789" s="52"/>
      <c r="K789" s="52"/>
    </row>
    <row r="790" customFormat="false" ht="15.75" hidden="false" customHeight="false" outlineLevel="0" collapsed="false">
      <c r="B790" s="50"/>
      <c r="C790" s="51"/>
      <c r="D790" s="52"/>
      <c r="E790" s="52"/>
      <c r="F790" s="52"/>
      <c r="G790" s="51"/>
      <c r="H790" s="52"/>
      <c r="I790" s="52"/>
      <c r="J790" s="52"/>
      <c r="K790" s="52"/>
    </row>
    <row r="791" customFormat="false" ht="15.75" hidden="false" customHeight="false" outlineLevel="0" collapsed="false">
      <c r="B791" s="50"/>
      <c r="C791" s="51"/>
      <c r="D791" s="52"/>
      <c r="E791" s="52"/>
      <c r="F791" s="52"/>
      <c r="G791" s="51"/>
      <c r="H791" s="52"/>
      <c r="I791" s="52"/>
      <c r="J791" s="52"/>
      <c r="K791" s="52"/>
    </row>
    <row r="792" customFormat="false" ht="15.75" hidden="false" customHeight="false" outlineLevel="0" collapsed="false">
      <c r="B792" s="50"/>
      <c r="C792" s="51"/>
      <c r="D792" s="52"/>
      <c r="E792" s="52"/>
      <c r="F792" s="52"/>
      <c r="G792" s="51"/>
      <c r="H792" s="52"/>
      <c r="I792" s="52"/>
      <c r="J792" s="52"/>
      <c r="K792" s="52"/>
    </row>
    <row r="793" customFormat="false" ht="15.75" hidden="false" customHeight="false" outlineLevel="0" collapsed="false">
      <c r="B793" s="50"/>
      <c r="C793" s="51"/>
      <c r="D793" s="52"/>
      <c r="E793" s="52"/>
      <c r="F793" s="52"/>
      <c r="G793" s="51"/>
      <c r="H793" s="52"/>
      <c r="I793" s="52"/>
      <c r="J793" s="52"/>
      <c r="K793" s="52"/>
    </row>
    <row r="794" customFormat="false" ht="15.75" hidden="false" customHeight="false" outlineLevel="0" collapsed="false">
      <c r="B794" s="50"/>
      <c r="C794" s="51"/>
      <c r="D794" s="52"/>
      <c r="E794" s="52"/>
      <c r="F794" s="52"/>
      <c r="G794" s="51"/>
      <c r="H794" s="52"/>
      <c r="I794" s="52"/>
      <c r="J794" s="52"/>
      <c r="K794" s="52"/>
    </row>
    <row r="795" customFormat="false" ht="15.75" hidden="false" customHeight="false" outlineLevel="0" collapsed="false">
      <c r="B795" s="50"/>
      <c r="C795" s="51"/>
      <c r="D795" s="52"/>
      <c r="E795" s="52"/>
      <c r="F795" s="52"/>
      <c r="G795" s="51"/>
      <c r="H795" s="52"/>
      <c r="I795" s="52"/>
      <c r="J795" s="52"/>
      <c r="K795" s="52"/>
    </row>
    <row r="796" customFormat="false" ht="15.75" hidden="false" customHeight="false" outlineLevel="0" collapsed="false">
      <c r="B796" s="50"/>
      <c r="C796" s="51"/>
      <c r="D796" s="52"/>
      <c r="E796" s="52"/>
      <c r="F796" s="52"/>
      <c r="G796" s="51"/>
      <c r="H796" s="52"/>
      <c r="I796" s="52"/>
      <c r="J796" s="52"/>
      <c r="K796" s="52"/>
    </row>
    <row r="797" customFormat="false" ht="15.75" hidden="false" customHeight="false" outlineLevel="0" collapsed="false">
      <c r="B797" s="50"/>
      <c r="C797" s="51"/>
      <c r="D797" s="52"/>
      <c r="E797" s="52"/>
      <c r="F797" s="52"/>
      <c r="G797" s="51"/>
      <c r="H797" s="52"/>
      <c r="I797" s="52"/>
      <c r="J797" s="52"/>
      <c r="K797" s="52"/>
    </row>
    <row r="798" customFormat="false" ht="15.75" hidden="false" customHeight="false" outlineLevel="0" collapsed="false">
      <c r="B798" s="50"/>
      <c r="C798" s="51"/>
      <c r="D798" s="52"/>
      <c r="E798" s="52"/>
      <c r="F798" s="52"/>
      <c r="G798" s="51"/>
      <c r="H798" s="52"/>
      <c r="I798" s="52"/>
      <c r="J798" s="52"/>
      <c r="K798" s="52"/>
    </row>
    <row r="799" customFormat="false" ht="15.75" hidden="false" customHeight="false" outlineLevel="0" collapsed="false">
      <c r="B799" s="50"/>
      <c r="C799" s="51"/>
      <c r="D799" s="52"/>
      <c r="E799" s="52"/>
      <c r="F799" s="52"/>
      <c r="G799" s="51"/>
      <c r="H799" s="52"/>
      <c r="I799" s="52"/>
      <c r="J799" s="52"/>
      <c r="K799" s="52"/>
    </row>
    <row r="800" customFormat="false" ht="15.75" hidden="false" customHeight="false" outlineLevel="0" collapsed="false">
      <c r="B800" s="50"/>
      <c r="C800" s="51"/>
      <c r="D800" s="52"/>
      <c r="E800" s="52"/>
      <c r="F800" s="52"/>
      <c r="G800" s="51"/>
      <c r="H800" s="52"/>
      <c r="I800" s="52"/>
      <c r="J800" s="52"/>
      <c r="K800" s="52"/>
    </row>
    <row r="801" customFormat="false" ht="15.75" hidden="false" customHeight="false" outlineLevel="0" collapsed="false">
      <c r="B801" s="50"/>
      <c r="C801" s="51"/>
      <c r="D801" s="52"/>
      <c r="E801" s="52"/>
      <c r="F801" s="52"/>
      <c r="G801" s="51"/>
      <c r="H801" s="52"/>
      <c r="I801" s="52"/>
      <c r="J801" s="52"/>
      <c r="K801" s="52"/>
    </row>
    <row r="802" customFormat="false" ht="15.75" hidden="false" customHeight="false" outlineLevel="0" collapsed="false">
      <c r="B802" s="50"/>
      <c r="C802" s="51"/>
      <c r="D802" s="52"/>
      <c r="E802" s="52"/>
      <c r="F802" s="52"/>
      <c r="G802" s="51"/>
      <c r="H802" s="52"/>
      <c r="I802" s="52"/>
      <c r="J802" s="52"/>
      <c r="K802" s="52"/>
    </row>
    <row r="803" customFormat="false" ht="15.75" hidden="false" customHeight="false" outlineLevel="0" collapsed="false">
      <c r="B803" s="50"/>
      <c r="C803" s="51"/>
      <c r="D803" s="52"/>
      <c r="E803" s="52"/>
      <c r="F803" s="52"/>
      <c r="G803" s="51"/>
      <c r="H803" s="52"/>
      <c r="I803" s="52"/>
      <c r="J803" s="52"/>
      <c r="K803" s="52"/>
    </row>
    <row r="804" customFormat="false" ht="15.75" hidden="false" customHeight="false" outlineLevel="0" collapsed="false">
      <c r="B804" s="50"/>
      <c r="C804" s="51"/>
      <c r="D804" s="52"/>
      <c r="E804" s="52"/>
      <c r="F804" s="52"/>
      <c r="G804" s="51"/>
      <c r="H804" s="52"/>
      <c r="I804" s="52"/>
      <c r="J804" s="52"/>
      <c r="K804" s="52"/>
    </row>
    <row r="805" customFormat="false" ht="15.75" hidden="false" customHeight="false" outlineLevel="0" collapsed="false">
      <c r="B805" s="50"/>
      <c r="C805" s="51"/>
      <c r="D805" s="52"/>
      <c r="E805" s="52"/>
      <c r="F805" s="52"/>
      <c r="G805" s="51"/>
      <c r="H805" s="52"/>
      <c r="I805" s="52"/>
      <c r="J805" s="52"/>
      <c r="K805" s="52"/>
    </row>
    <row r="806" customFormat="false" ht="15.75" hidden="false" customHeight="false" outlineLevel="0" collapsed="false">
      <c r="B806" s="50"/>
      <c r="C806" s="51"/>
      <c r="D806" s="52"/>
      <c r="E806" s="52"/>
      <c r="F806" s="52"/>
      <c r="G806" s="51"/>
      <c r="H806" s="52"/>
      <c r="I806" s="52"/>
      <c r="J806" s="52"/>
      <c r="K806" s="52"/>
    </row>
    <row r="807" customFormat="false" ht="15.75" hidden="false" customHeight="false" outlineLevel="0" collapsed="false">
      <c r="B807" s="50"/>
      <c r="C807" s="51"/>
      <c r="D807" s="52"/>
      <c r="E807" s="52"/>
      <c r="F807" s="52"/>
      <c r="G807" s="51"/>
      <c r="H807" s="52"/>
      <c r="I807" s="52"/>
      <c r="J807" s="52"/>
      <c r="K807" s="52"/>
    </row>
    <row r="808" customFormat="false" ht="15.75" hidden="false" customHeight="false" outlineLevel="0" collapsed="false">
      <c r="B808" s="50"/>
      <c r="C808" s="51"/>
      <c r="D808" s="52"/>
      <c r="E808" s="52"/>
      <c r="F808" s="52"/>
      <c r="G808" s="51"/>
      <c r="H808" s="52"/>
      <c r="I808" s="52"/>
      <c r="J808" s="52"/>
      <c r="K808" s="52"/>
    </row>
    <row r="809" customFormat="false" ht="15.75" hidden="false" customHeight="false" outlineLevel="0" collapsed="false">
      <c r="B809" s="50"/>
      <c r="C809" s="51"/>
      <c r="D809" s="52"/>
      <c r="E809" s="52"/>
      <c r="F809" s="52"/>
      <c r="G809" s="51"/>
      <c r="H809" s="52"/>
      <c r="I809" s="52"/>
      <c r="J809" s="52"/>
      <c r="K809" s="52"/>
    </row>
    <row r="810" customFormat="false" ht="15.75" hidden="false" customHeight="false" outlineLevel="0" collapsed="false">
      <c r="B810" s="50"/>
      <c r="C810" s="51"/>
      <c r="D810" s="52"/>
      <c r="E810" s="52"/>
      <c r="F810" s="52"/>
      <c r="G810" s="51"/>
      <c r="H810" s="52"/>
      <c r="I810" s="52"/>
      <c r="J810" s="52"/>
      <c r="K810" s="52"/>
    </row>
    <row r="811" customFormat="false" ht="15.75" hidden="false" customHeight="false" outlineLevel="0" collapsed="false">
      <c r="B811" s="50"/>
      <c r="C811" s="51"/>
      <c r="D811" s="52"/>
      <c r="E811" s="52"/>
      <c r="F811" s="52"/>
      <c r="G811" s="51"/>
      <c r="H811" s="52"/>
      <c r="I811" s="52"/>
      <c r="J811" s="52"/>
      <c r="K811" s="52"/>
    </row>
    <row r="812" customFormat="false" ht="15.75" hidden="false" customHeight="false" outlineLevel="0" collapsed="false">
      <c r="B812" s="50"/>
      <c r="C812" s="51"/>
      <c r="D812" s="52"/>
      <c r="E812" s="52"/>
      <c r="F812" s="52"/>
      <c r="G812" s="51"/>
      <c r="H812" s="52"/>
      <c r="I812" s="52"/>
      <c r="J812" s="52"/>
      <c r="K812" s="52"/>
    </row>
    <row r="813" customFormat="false" ht="15.75" hidden="false" customHeight="false" outlineLevel="0" collapsed="false">
      <c r="B813" s="50"/>
      <c r="C813" s="51"/>
      <c r="D813" s="52"/>
      <c r="E813" s="52"/>
      <c r="F813" s="52"/>
      <c r="G813" s="51"/>
      <c r="H813" s="52"/>
      <c r="I813" s="52"/>
      <c r="J813" s="52"/>
      <c r="K813" s="52"/>
    </row>
    <row r="814" customFormat="false" ht="15.75" hidden="false" customHeight="false" outlineLevel="0" collapsed="false">
      <c r="B814" s="50"/>
      <c r="C814" s="51"/>
      <c r="D814" s="52"/>
      <c r="E814" s="52"/>
      <c r="F814" s="52"/>
      <c r="G814" s="51"/>
      <c r="H814" s="52"/>
      <c r="I814" s="52"/>
      <c r="J814" s="52"/>
      <c r="K814" s="52"/>
    </row>
    <row r="815" customFormat="false" ht="15.75" hidden="false" customHeight="false" outlineLevel="0" collapsed="false">
      <c r="B815" s="50"/>
      <c r="C815" s="51"/>
      <c r="D815" s="52"/>
      <c r="E815" s="52"/>
      <c r="F815" s="52"/>
      <c r="G815" s="51"/>
      <c r="H815" s="52"/>
      <c r="I815" s="52"/>
      <c r="J815" s="52"/>
      <c r="K815" s="52"/>
    </row>
    <row r="816" customFormat="false" ht="15.75" hidden="false" customHeight="false" outlineLevel="0" collapsed="false">
      <c r="B816" s="50"/>
      <c r="C816" s="51"/>
      <c r="D816" s="52"/>
      <c r="E816" s="52"/>
      <c r="F816" s="52"/>
      <c r="G816" s="51"/>
      <c r="H816" s="52"/>
      <c r="I816" s="52"/>
      <c r="J816" s="52"/>
      <c r="K816" s="52"/>
    </row>
    <row r="817" customFormat="false" ht="15.75" hidden="false" customHeight="false" outlineLevel="0" collapsed="false">
      <c r="B817" s="50"/>
      <c r="C817" s="51"/>
      <c r="D817" s="52"/>
      <c r="E817" s="52"/>
      <c r="F817" s="52"/>
      <c r="G817" s="51"/>
      <c r="H817" s="52"/>
      <c r="I817" s="52"/>
      <c r="J817" s="52"/>
      <c r="K817" s="52"/>
    </row>
    <row r="818" customFormat="false" ht="15.75" hidden="false" customHeight="false" outlineLevel="0" collapsed="false">
      <c r="B818" s="50"/>
      <c r="C818" s="51"/>
      <c r="D818" s="52"/>
      <c r="E818" s="52"/>
      <c r="F818" s="52"/>
      <c r="G818" s="51"/>
      <c r="H818" s="52"/>
      <c r="I818" s="52"/>
      <c r="J818" s="52"/>
      <c r="K818" s="52"/>
    </row>
    <row r="819" customFormat="false" ht="15.75" hidden="false" customHeight="false" outlineLevel="0" collapsed="false">
      <c r="B819" s="50"/>
      <c r="C819" s="51"/>
      <c r="D819" s="52"/>
      <c r="E819" s="52"/>
      <c r="F819" s="52"/>
      <c r="G819" s="51"/>
      <c r="H819" s="52"/>
      <c r="I819" s="52"/>
      <c r="J819" s="52"/>
      <c r="K819" s="52"/>
    </row>
    <row r="820" customFormat="false" ht="15.75" hidden="false" customHeight="false" outlineLevel="0" collapsed="false">
      <c r="B820" s="50"/>
      <c r="C820" s="51"/>
      <c r="D820" s="52"/>
      <c r="E820" s="52"/>
      <c r="F820" s="52"/>
      <c r="G820" s="51"/>
      <c r="H820" s="52"/>
      <c r="I820" s="52"/>
      <c r="J820" s="52"/>
      <c r="K820" s="52"/>
    </row>
    <row r="821" customFormat="false" ht="15.75" hidden="false" customHeight="false" outlineLevel="0" collapsed="false">
      <c r="B821" s="50"/>
      <c r="C821" s="51"/>
      <c r="D821" s="52"/>
      <c r="E821" s="52"/>
      <c r="F821" s="52"/>
      <c r="G821" s="51"/>
      <c r="H821" s="52"/>
      <c r="I821" s="52"/>
      <c r="J821" s="52"/>
      <c r="K821" s="52"/>
    </row>
    <row r="822" customFormat="false" ht="15.75" hidden="false" customHeight="false" outlineLevel="0" collapsed="false">
      <c r="B822" s="50"/>
      <c r="C822" s="51"/>
      <c r="D822" s="52"/>
      <c r="E822" s="52"/>
      <c r="F822" s="52"/>
      <c r="G822" s="51"/>
      <c r="H822" s="52"/>
      <c r="I822" s="52"/>
      <c r="J822" s="52"/>
      <c r="K822" s="52"/>
    </row>
    <row r="823" customFormat="false" ht="15.75" hidden="false" customHeight="false" outlineLevel="0" collapsed="false">
      <c r="B823" s="50"/>
      <c r="C823" s="51"/>
      <c r="D823" s="52"/>
      <c r="E823" s="52"/>
      <c r="F823" s="52"/>
      <c r="G823" s="51"/>
      <c r="H823" s="52"/>
      <c r="I823" s="52"/>
      <c r="J823" s="52"/>
      <c r="K823" s="52"/>
    </row>
    <row r="824" customFormat="false" ht="15.75" hidden="false" customHeight="false" outlineLevel="0" collapsed="false">
      <c r="B824" s="50"/>
      <c r="C824" s="51"/>
      <c r="D824" s="52"/>
      <c r="E824" s="52"/>
      <c r="F824" s="52"/>
      <c r="G824" s="51"/>
      <c r="H824" s="52"/>
      <c r="I824" s="52"/>
      <c r="J824" s="52"/>
      <c r="K824" s="52"/>
    </row>
    <row r="825" customFormat="false" ht="15.75" hidden="false" customHeight="false" outlineLevel="0" collapsed="false">
      <c r="B825" s="50"/>
      <c r="C825" s="51"/>
      <c r="D825" s="52"/>
      <c r="E825" s="52"/>
      <c r="F825" s="52"/>
      <c r="G825" s="51"/>
      <c r="H825" s="52"/>
      <c r="I825" s="52"/>
      <c r="J825" s="52"/>
      <c r="K825" s="52"/>
    </row>
    <row r="826" customFormat="false" ht="15.75" hidden="false" customHeight="false" outlineLevel="0" collapsed="false">
      <c r="B826" s="50"/>
      <c r="C826" s="51"/>
      <c r="D826" s="52"/>
      <c r="E826" s="52"/>
      <c r="F826" s="52"/>
      <c r="G826" s="51"/>
      <c r="H826" s="52"/>
      <c r="I826" s="52"/>
      <c r="J826" s="52"/>
      <c r="K826" s="52"/>
    </row>
    <row r="827" customFormat="false" ht="15.75" hidden="false" customHeight="false" outlineLevel="0" collapsed="false">
      <c r="B827" s="50"/>
      <c r="C827" s="51"/>
      <c r="D827" s="52"/>
      <c r="E827" s="52"/>
      <c r="F827" s="52"/>
      <c r="G827" s="51"/>
      <c r="H827" s="52"/>
      <c r="I827" s="52"/>
      <c r="J827" s="52"/>
      <c r="K827" s="52"/>
    </row>
    <row r="828" customFormat="false" ht="15.75" hidden="false" customHeight="false" outlineLevel="0" collapsed="false">
      <c r="B828" s="50"/>
      <c r="C828" s="51"/>
      <c r="D828" s="52"/>
      <c r="E828" s="52"/>
      <c r="F828" s="52"/>
      <c r="G828" s="51"/>
      <c r="H828" s="52"/>
      <c r="I828" s="52"/>
      <c r="J828" s="52"/>
      <c r="K828" s="52"/>
    </row>
    <row r="829" customFormat="false" ht="15.75" hidden="false" customHeight="false" outlineLevel="0" collapsed="false">
      <c r="B829" s="50"/>
      <c r="C829" s="51"/>
      <c r="D829" s="52"/>
      <c r="E829" s="52"/>
      <c r="F829" s="52"/>
      <c r="G829" s="51"/>
      <c r="H829" s="52"/>
      <c r="I829" s="52"/>
      <c r="J829" s="52"/>
      <c r="K829" s="52"/>
    </row>
    <row r="830" customFormat="false" ht="15.75" hidden="false" customHeight="false" outlineLevel="0" collapsed="false">
      <c r="B830" s="50"/>
      <c r="C830" s="51"/>
      <c r="D830" s="52"/>
      <c r="E830" s="52"/>
      <c r="F830" s="52"/>
      <c r="G830" s="51"/>
      <c r="H830" s="52"/>
      <c r="I830" s="52"/>
      <c r="J830" s="52"/>
      <c r="K830" s="52"/>
    </row>
    <row r="831" customFormat="false" ht="15.75" hidden="false" customHeight="false" outlineLevel="0" collapsed="false">
      <c r="B831" s="50"/>
      <c r="C831" s="51"/>
      <c r="D831" s="52"/>
      <c r="E831" s="52"/>
      <c r="F831" s="52"/>
      <c r="G831" s="51"/>
      <c r="H831" s="52"/>
      <c r="I831" s="52"/>
      <c r="J831" s="52"/>
      <c r="K831" s="52"/>
    </row>
    <row r="832" customFormat="false" ht="15.75" hidden="false" customHeight="false" outlineLevel="0" collapsed="false">
      <c r="B832" s="50"/>
      <c r="C832" s="51"/>
      <c r="D832" s="52"/>
      <c r="E832" s="52"/>
      <c r="F832" s="52"/>
      <c r="G832" s="51"/>
      <c r="H832" s="52"/>
      <c r="I832" s="52"/>
      <c r="J832" s="52"/>
      <c r="K832" s="52"/>
    </row>
    <row r="833" customFormat="false" ht="15.75" hidden="false" customHeight="false" outlineLevel="0" collapsed="false">
      <c r="B833" s="50"/>
      <c r="C833" s="51"/>
      <c r="D833" s="52"/>
      <c r="E833" s="52"/>
      <c r="F833" s="52"/>
      <c r="G833" s="51"/>
      <c r="H833" s="52"/>
      <c r="I833" s="52"/>
      <c r="J833" s="52"/>
      <c r="K833" s="52"/>
    </row>
    <row r="834" customFormat="false" ht="15.75" hidden="false" customHeight="false" outlineLevel="0" collapsed="false">
      <c r="B834" s="50"/>
      <c r="C834" s="51"/>
      <c r="D834" s="52"/>
      <c r="E834" s="52"/>
      <c r="F834" s="52"/>
      <c r="G834" s="51"/>
      <c r="H834" s="52"/>
      <c r="I834" s="52"/>
      <c r="J834" s="52"/>
      <c r="K834" s="52"/>
    </row>
    <row r="835" customFormat="false" ht="15.75" hidden="false" customHeight="false" outlineLevel="0" collapsed="false">
      <c r="B835" s="50"/>
      <c r="C835" s="51"/>
      <c r="D835" s="52"/>
      <c r="E835" s="52"/>
      <c r="F835" s="52"/>
      <c r="G835" s="51"/>
      <c r="H835" s="52"/>
      <c r="I835" s="52"/>
      <c r="J835" s="52"/>
      <c r="K835" s="52"/>
    </row>
    <row r="836" customFormat="false" ht="15.75" hidden="false" customHeight="false" outlineLevel="0" collapsed="false">
      <c r="B836" s="50"/>
      <c r="C836" s="51"/>
      <c r="D836" s="52"/>
      <c r="E836" s="52"/>
      <c r="F836" s="52"/>
      <c r="G836" s="51"/>
      <c r="H836" s="52"/>
      <c r="I836" s="52"/>
      <c r="J836" s="52"/>
      <c r="K836" s="52"/>
    </row>
    <row r="837" customFormat="false" ht="15.75" hidden="false" customHeight="false" outlineLevel="0" collapsed="false">
      <c r="B837" s="50"/>
      <c r="C837" s="51"/>
      <c r="D837" s="52"/>
      <c r="E837" s="52"/>
      <c r="F837" s="52"/>
      <c r="G837" s="51"/>
      <c r="H837" s="52"/>
      <c r="I837" s="52"/>
      <c r="J837" s="52"/>
      <c r="K837" s="52"/>
    </row>
    <row r="838" customFormat="false" ht="15.75" hidden="false" customHeight="false" outlineLevel="0" collapsed="false">
      <c r="B838" s="50"/>
      <c r="C838" s="51"/>
      <c r="D838" s="52"/>
      <c r="E838" s="52"/>
      <c r="F838" s="52"/>
      <c r="G838" s="51"/>
      <c r="H838" s="52"/>
      <c r="I838" s="52"/>
      <c r="J838" s="52"/>
      <c r="K838" s="52"/>
    </row>
    <row r="839" customFormat="false" ht="15.75" hidden="false" customHeight="false" outlineLevel="0" collapsed="false">
      <c r="B839" s="50"/>
      <c r="C839" s="51"/>
      <c r="D839" s="52"/>
      <c r="E839" s="52"/>
      <c r="F839" s="52"/>
      <c r="G839" s="51"/>
      <c r="H839" s="52"/>
      <c r="I839" s="52"/>
      <c r="J839" s="52"/>
      <c r="K839" s="52"/>
    </row>
    <row r="840" customFormat="false" ht="15.75" hidden="false" customHeight="false" outlineLevel="0" collapsed="false">
      <c r="B840" s="50"/>
      <c r="C840" s="51"/>
      <c r="D840" s="52"/>
      <c r="E840" s="52"/>
      <c r="F840" s="52"/>
      <c r="G840" s="51"/>
      <c r="H840" s="52"/>
      <c r="I840" s="52"/>
      <c r="J840" s="52"/>
      <c r="K840" s="52"/>
    </row>
    <row r="841" customFormat="false" ht="15.75" hidden="false" customHeight="false" outlineLevel="0" collapsed="false">
      <c r="B841" s="50"/>
      <c r="C841" s="51"/>
      <c r="D841" s="52"/>
      <c r="E841" s="52"/>
      <c r="F841" s="52"/>
      <c r="G841" s="51"/>
      <c r="H841" s="52"/>
      <c r="I841" s="52"/>
      <c r="J841" s="52"/>
      <c r="K841" s="52"/>
    </row>
    <row r="842" customFormat="false" ht="15.75" hidden="false" customHeight="false" outlineLevel="0" collapsed="false">
      <c r="B842" s="50"/>
      <c r="C842" s="51"/>
      <c r="D842" s="52"/>
      <c r="E842" s="52"/>
      <c r="F842" s="52"/>
      <c r="G842" s="51"/>
      <c r="H842" s="52"/>
      <c r="I842" s="52"/>
      <c r="J842" s="52"/>
      <c r="K842" s="52"/>
    </row>
    <row r="843" customFormat="false" ht="15.75" hidden="false" customHeight="false" outlineLevel="0" collapsed="false">
      <c r="B843" s="50"/>
      <c r="C843" s="51"/>
      <c r="D843" s="52"/>
      <c r="E843" s="52"/>
      <c r="F843" s="52"/>
      <c r="G843" s="51"/>
      <c r="H843" s="52"/>
      <c r="I843" s="52"/>
      <c r="J843" s="52"/>
      <c r="K843" s="52"/>
    </row>
    <row r="844" customFormat="false" ht="15.75" hidden="false" customHeight="false" outlineLevel="0" collapsed="false">
      <c r="B844" s="50"/>
      <c r="C844" s="51"/>
      <c r="D844" s="52"/>
      <c r="E844" s="52"/>
      <c r="F844" s="52"/>
      <c r="G844" s="51"/>
      <c r="H844" s="52"/>
      <c r="I844" s="52"/>
      <c r="J844" s="52"/>
      <c r="K844" s="52"/>
    </row>
    <row r="845" customFormat="false" ht="15.75" hidden="false" customHeight="false" outlineLevel="0" collapsed="false">
      <c r="B845" s="50"/>
      <c r="C845" s="51"/>
      <c r="D845" s="52"/>
      <c r="E845" s="52"/>
      <c r="F845" s="52"/>
      <c r="G845" s="51"/>
      <c r="H845" s="52"/>
      <c r="I845" s="52"/>
      <c r="J845" s="52"/>
      <c r="K845" s="52"/>
    </row>
    <row r="846" customFormat="false" ht="15.75" hidden="false" customHeight="false" outlineLevel="0" collapsed="false">
      <c r="B846" s="50"/>
      <c r="C846" s="51"/>
      <c r="D846" s="52"/>
      <c r="E846" s="52"/>
      <c r="F846" s="52"/>
      <c r="G846" s="51"/>
      <c r="H846" s="52"/>
      <c r="I846" s="52"/>
      <c r="J846" s="52"/>
      <c r="K846" s="52"/>
    </row>
    <row r="847" customFormat="false" ht="15.75" hidden="false" customHeight="false" outlineLevel="0" collapsed="false">
      <c r="B847" s="50"/>
      <c r="C847" s="51"/>
      <c r="D847" s="52"/>
      <c r="E847" s="52"/>
      <c r="F847" s="52"/>
      <c r="G847" s="51"/>
      <c r="H847" s="52"/>
      <c r="I847" s="52"/>
      <c r="J847" s="52"/>
      <c r="K847" s="52"/>
    </row>
    <row r="848" customFormat="false" ht="15.75" hidden="false" customHeight="false" outlineLevel="0" collapsed="false">
      <c r="B848" s="50"/>
      <c r="C848" s="51"/>
      <c r="D848" s="52"/>
      <c r="E848" s="52"/>
      <c r="F848" s="52"/>
      <c r="G848" s="51"/>
      <c r="H848" s="52"/>
      <c r="I848" s="52"/>
      <c r="J848" s="52"/>
      <c r="K848" s="52"/>
    </row>
    <row r="849" customFormat="false" ht="15.75" hidden="false" customHeight="false" outlineLevel="0" collapsed="false">
      <c r="B849" s="50"/>
      <c r="C849" s="51"/>
      <c r="D849" s="52"/>
      <c r="E849" s="52"/>
      <c r="F849" s="52"/>
      <c r="G849" s="51"/>
      <c r="H849" s="52"/>
      <c r="I849" s="52"/>
      <c r="J849" s="52"/>
      <c r="K849" s="52"/>
    </row>
    <row r="850" customFormat="false" ht="15.75" hidden="false" customHeight="false" outlineLevel="0" collapsed="false">
      <c r="B850" s="50"/>
      <c r="C850" s="51"/>
      <c r="D850" s="52"/>
      <c r="E850" s="52"/>
      <c r="F850" s="52"/>
      <c r="G850" s="51"/>
      <c r="H850" s="52"/>
      <c r="I850" s="52"/>
      <c r="J850" s="52"/>
      <c r="K850" s="52"/>
    </row>
    <row r="851" customFormat="false" ht="15.75" hidden="false" customHeight="false" outlineLevel="0" collapsed="false">
      <c r="B851" s="50"/>
      <c r="C851" s="51"/>
      <c r="D851" s="52"/>
      <c r="E851" s="52"/>
      <c r="F851" s="52"/>
      <c r="G851" s="51"/>
      <c r="H851" s="52"/>
      <c r="I851" s="52"/>
      <c r="J851" s="52"/>
      <c r="K851" s="52"/>
    </row>
    <row r="852" customFormat="false" ht="15.75" hidden="false" customHeight="false" outlineLevel="0" collapsed="false">
      <c r="B852" s="50"/>
      <c r="C852" s="51"/>
      <c r="D852" s="52"/>
      <c r="E852" s="52"/>
      <c r="F852" s="52"/>
      <c r="G852" s="51"/>
      <c r="H852" s="52"/>
      <c r="I852" s="52"/>
      <c r="J852" s="52"/>
      <c r="K852" s="52"/>
    </row>
    <row r="853" customFormat="false" ht="15.75" hidden="false" customHeight="false" outlineLevel="0" collapsed="false">
      <c r="B853" s="50"/>
      <c r="C853" s="51"/>
      <c r="D853" s="52"/>
      <c r="E853" s="52"/>
      <c r="F853" s="52"/>
      <c r="G853" s="51"/>
      <c r="H853" s="52"/>
      <c r="I853" s="52"/>
      <c r="J853" s="52"/>
      <c r="K853" s="52"/>
    </row>
    <row r="854" customFormat="false" ht="15.75" hidden="false" customHeight="false" outlineLevel="0" collapsed="false">
      <c r="B854" s="50"/>
      <c r="C854" s="51"/>
      <c r="D854" s="52"/>
      <c r="E854" s="52"/>
      <c r="F854" s="52"/>
      <c r="G854" s="51"/>
      <c r="H854" s="52"/>
      <c r="I854" s="52"/>
      <c r="J854" s="52"/>
      <c r="K854" s="52"/>
    </row>
    <row r="855" customFormat="false" ht="15.75" hidden="false" customHeight="false" outlineLevel="0" collapsed="false">
      <c r="B855" s="50"/>
      <c r="C855" s="51"/>
      <c r="D855" s="52"/>
      <c r="E855" s="52"/>
      <c r="F855" s="52"/>
      <c r="G855" s="51"/>
      <c r="H855" s="52"/>
      <c r="I855" s="52"/>
      <c r="J855" s="52"/>
      <c r="K855" s="52"/>
    </row>
    <row r="856" customFormat="false" ht="15.75" hidden="false" customHeight="false" outlineLevel="0" collapsed="false">
      <c r="B856" s="50"/>
      <c r="C856" s="51"/>
      <c r="D856" s="52"/>
      <c r="E856" s="52"/>
      <c r="F856" s="52"/>
      <c r="G856" s="51"/>
      <c r="H856" s="52"/>
      <c r="I856" s="52"/>
      <c r="J856" s="52"/>
      <c r="K856" s="52"/>
    </row>
    <row r="857" customFormat="false" ht="15.75" hidden="false" customHeight="false" outlineLevel="0" collapsed="false">
      <c r="B857" s="50"/>
      <c r="C857" s="51"/>
      <c r="D857" s="52"/>
      <c r="E857" s="52"/>
      <c r="F857" s="52"/>
      <c r="G857" s="51"/>
      <c r="H857" s="52"/>
      <c r="I857" s="52"/>
      <c r="J857" s="52"/>
      <c r="K857" s="52"/>
    </row>
    <row r="858" customFormat="false" ht="15.75" hidden="false" customHeight="false" outlineLevel="0" collapsed="false">
      <c r="B858" s="50"/>
      <c r="C858" s="51"/>
      <c r="D858" s="52"/>
      <c r="E858" s="52"/>
      <c r="F858" s="52"/>
      <c r="G858" s="51"/>
      <c r="H858" s="52"/>
      <c r="I858" s="52"/>
      <c r="J858" s="52"/>
      <c r="K858" s="52"/>
    </row>
    <row r="859" customFormat="false" ht="15.75" hidden="false" customHeight="false" outlineLevel="0" collapsed="false">
      <c r="B859" s="50"/>
      <c r="C859" s="51"/>
      <c r="D859" s="52"/>
      <c r="E859" s="52"/>
      <c r="F859" s="52"/>
      <c r="G859" s="51"/>
      <c r="H859" s="52"/>
      <c r="I859" s="52"/>
      <c r="J859" s="52"/>
      <c r="K859" s="52"/>
    </row>
    <row r="860" customFormat="false" ht="15.75" hidden="false" customHeight="false" outlineLevel="0" collapsed="false">
      <c r="B860" s="50"/>
      <c r="C860" s="51"/>
      <c r="D860" s="52"/>
      <c r="E860" s="52"/>
      <c r="F860" s="52"/>
      <c r="G860" s="51"/>
      <c r="H860" s="52"/>
      <c r="I860" s="52"/>
      <c r="J860" s="52"/>
      <c r="K860" s="52"/>
    </row>
    <row r="861" customFormat="false" ht="15.75" hidden="false" customHeight="false" outlineLevel="0" collapsed="false">
      <c r="B861" s="50"/>
      <c r="C861" s="51"/>
      <c r="D861" s="52"/>
      <c r="E861" s="52"/>
      <c r="F861" s="52"/>
      <c r="G861" s="51"/>
      <c r="H861" s="52"/>
      <c r="I861" s="52"/>
      <c r="J861" s="52"/>
      <c r="K861" s="52"/>
    </row>
    <row r="862" customFormat="false" ht="15.75" hidden="false" customHeight="false" outlineLevel="0" collapsed="false">
      <c r="B862" s="50"/>
      <c r="C862" s="51"/>
      <c r="D862" s="52"/>
      <c r="E862" s="52"/>
      <c r="F862" s="52"/>
      <c r="G862" s="51"/>
      <c r="H862" s="52"/>
      <c r="I862" s="52"/>
      <c r="J862" s="52"/>
      <c r="K862" s="52"/>
    </row>
    <row r="863" customFormat="false" ht="15.75" hidden="false" customHeight="false" outlineLevel="0" collapsed="false">
      <c r="B863" s="50"/>
      <c r="C863" s="51"/>
      <c r="D863" s="52"/>
      <c r="E863" s="52"/>
      <c r="F863" s="52"/>
      <c r="G863" s="51"/>
      <c r="H863" s="52"/>
      <c r="I863" s="52"/>
      <c r="J863" s="52"/>
      <c r="K863" s="52"/>
    </row>
    <row r="864" customFormat="false" ht="15.75" hidden="false" customHeight="false" outlineLevel="0" collapsed="false">
      <c r="B864" s="50"/>
      <c r="C864" s="51"/>
      <c r="D864" s="52"/>
      <c r="E864" s="52"/>
      <c r="F864" s="52"/>
      <c r="G864" s="51"/>
      <c r="H864" s="52"/>
      <c r="I864" s="52"/>
      <c r="J864" s="52"/>
      <c r="K864" s="52"/>
    </row>
    <row r="865" customFormat="false" ht="15.75" hidden="false" customHeight="false" outlineLevel="0" collapsed="false">
      <c r="B865" s="50"/>
      <c r="C865" s="51"/>
      <c r="D865" s="52"/>
      <c r="E865" s="52"/>
      <c r="F865" s="52"/>
      <c r="G865" s="51"/>
      <c r="H865" s="52"/>
      <c r="I865" s="52"/>
      <c r="J865" s="52"/>
      <c r="K865" s="52"/>
    </row>
    <row r="866" customFormat="false" ht="15.75" hidden="false" customHeight="false" outlineLevel="0" collapsed="false">
      <c r="B866" s="50"/>
      <c r="C866" s="51"/>
      <c r="D866" s="52"/>
      <c r="E866" s="52"/>
      <c r="F866" s="52"/>
      <c r="G866" s="51"/>
      <c r="H866" s="52"/>
      <c r="I866" s="52"/>
      <c r="J866" s="52"/>
      <c r="K866" s="52"/>
    </row>
    <row r="867" customFormat="false" ht="15.75" hidden="false" customHeight="false" outlineLevel="0" collapsed="false">
      <c r="B867" s="50"/>
      <c r="C867" s="51"/>
      <c r="D867" s="52"/>
      <c r="E867" s="52"/>
      <c r="F867" s="52"/>
      <c r="G867" s="51"/>
      <c r="H867" s="52"/>
      <c r="I867" s="52"/>
      <c r="J867" s="52"/>
      <c r="K867" s="52"/>
    </row>
    <row r="868" customFormat="false" ht="15.75" hidden="false" customHeight="false" outlineLevel="0" collapsed="false">
      <c r="B868" s="50"/>
      <c r="C868" s="51"/>
      <c r="D868" s="52"/>
      <c r="E868" s="52"/>
      <c r="F868" s="52"/>
      <c r="G868" s="51"/>
      <c r="H868" s="52"/>
      <c r="I868" s="52"/>
      <c r="J868" s="52"/>
      <c r="K868" s="52"/>
    </row>
    <row r="869" customFormat="false" ht="15.75" hidden="false" customHeight="false" outlineLevel="0" collapsed="false">
      <c r="B869" s="50"/>
      <c r="C869" s="51"/>
      <c r="D869" s="52"/>
      <c r="E869" s="52"/>
      <c r="F869" s="52"/>
      <c r="G869" s="51"/>
      <c r="H869" s="52"/>
      <c r="I869" s="52"/>
      <c r="J869" s="52"/>
      <c r="K869" s="52"/>
    </row>
    <row r="870" customFormat="false" ht="15.75" hidden="false" customHeight="false" outlineLevel="0" collapsed="false">
      <c r="B870" s="50"/>
      <c r="C870" s="51"/>
      <c r="D870" s="52"/>
      <c r="E870" s="52"/>
      <c r="F870" s="52"/>
      <c r="G870" s="51"/>
      <c r="H870" s="52"/>
      <c r="I870" s="52"/>
      <c r="J870" s="52"/>
      <c r="K870" s="52"/>
    </row>
    <row r="871" customFormat="false" ht="15.75" hidden="false" customHeight="false" outlineLevel="0" collapsed="false">
      <c r="B871" s="50"/>
      <c r="C871" s="51"/>
      <c r="D871" s="52"/>
      <c r="E871" s="52"/>
      <c r="F871" s="52"/>
      <c r="G871" s="51"/>
      <c r="H871" s="52"/>
      <c r="I871" s="52"/>
      <c r="J871" s="52"/>
      <c r="K871" s="52"/>
    </row>
    <row r="872" customFormat="false" ht="15.75" hidden="false" customHeight="false" outlineLevel="0" collapsed="false">
      <c r="B872" s="50"/>
      <c r="C872" s="51"/>
      <c r="D872" s="52"/>
      <c r="E872" s="52"/>
      <c r="F872" s="52"/>
      <c r="G872" s="51"/>
      <c r="H872" s="52"/>
      <c r="I872" s="52"/>
      <c r="J872" s="52"/>
      <c r="K872" s="52"/>
    </row>
    <row r="873" customFormat="false" ht="15.75" hidden="false" customHeight="false" outlineLevel="0" collapsed="false">
      <c r="B873" s="50"/>
      <c r="C873" s="51"/>
      <c r="D873" s="52"/>
      <c r="E873" s="52"/>
      <c r="F873" s="52"/>
      <c r="G873" s="51"/>
      <c r="H873" s="52"/>
      <c r="I873" s="52"/>
      <c r="J873" s="52"/>
      <c r="K873" s="52"/>
    </row>
    <row r="874" customFormat="false" ht="15.75" hidden="false" customHeight="false" outlineLevel="0" collapsed="false">
      <c r="B874" s="50"/>
      <c r="C874" s="51"/>
      <c r="D874" s="52"/>
      <c r="E874" s="52"/>
      <c r="F874" s="52"/>
      <c r="G874" s="51"/>
      <c r="H874" s="52"/>
      <c r="I874" s="52"/>
      <c r="J874" s="52"/>
      <c r="K874" s="52"/>
    </row>
    <row r="875" customFormat="false" ht="15.75" hidden="false" customHeight="false" outlineLevel="0" collapsed="false">
      <c r="B875" s="50"/>
      <c r="C875" s="51"/>
      <c r="D875" s="52"/>
      <c r="E875" s="52"/>
      <c r="F875" s="52"/>
      <c r="G875" s="51"/>
      <c r="H875" s="52"/>
      <c r="I875" s="52"/>
      <c r="J875" s="52"/>
      <c r="K875" s="52"/>
    </row>
    <row r="876" customFormat="false" ht="15.75" hidden="false" customHeight="false" outlineLevel="0" collapsed="false">
      <c r="B876" s="50"/>
      <c r="C876" s="51"/>
      <c r="D876" s="52"/>
      <c r="E876" s="52"/>
      <c r="F876" s="52"/>
      <c r="G876" s="51"/>
      <c r="H876" s="52"/>
      <c r="I876" s="52"/>
      <c r="J876" s="52"/>
      <c r="K876" s="52"/>
    </row>
    <row r="877" customFormat="false" ht="15.75" hidden="false" customHeight="false" outlineLevel="0" collapsed="false">
      <c r="B877" s="50"/>
      <c r="C877" s="51"/>
      <c r="D877" s="52"/>
      <c r="E877" s="52"/>
      <c r="F877" s="52"/>
      <c r="G877" s="51"/>
      <c r="H877" s="52"/>
      <c r="I877" s="52"/>
      <c r="J877" s="52"/>
      <c r="K877" s="52"/>
    </row>
    <row r="878" customFormat="false" ht="15.75" hidden="false" customHeight="false" outlineLevel="0" collapsed="false">
      <c r="B878" s="50"/>
      <c r="C878" s="51"/>
      <c r="D878" s="52"/>
      <c r="E878" s="52"/>
      <c r="F878" s="52"/>
      <c r="G878" s="51"/>
      <c r="H878" s="52"/>
      <c r="I878" s="52"/>
      <c r="J878" s="52"/>
      <c r="K878" s="52"/>
    </row>
    <row r="879" customFormat="false" ht="15.75" hidden="false" customHeight="false" outlineLevel="0" collapsed="false">
      <c r="B879" s="50"/>
      <c r="C879" s="51"/>
      <c r="D879" s="52"/>
      <c r="E879" s="52"/>
      <c r="F879" s="52"/>
      <c r="G879" s="51"/>
      <c r="H879" s="52"/>
      <c r="I879" s="52"/>
      <c r="J879" s="52"/>
      <c r="K879" s="52"/>
    </row>
    <row r="880" customFormat="false" ht="15.75" hidden="false" customHeight="false" outlineLevel="0" collapsed="false">
      <c r="B880" s="50"/>
      <c r="C880" s="51"/>
      <c r="D880" s="52"/>
      <c r="E880" s="52"/>
      <c r="F880" s="52"/>
      <c r="G880" s="51"/>
      <c r="H880" s="52"/>
      <c r="I880" s="52"/>
      <c r="J880" s="52"/>
      <c r="K880" s="52"/>
    </row>
    <row r="881" customFormat="false" ht="15.75" hidden="false" customHeight="false" outlineLevel="0" collapsed="false">
      <c r="B881" s="50"/>
      <c r="C881" s="51"/>
      <c r="D881" s="52"/>
      <c r="E881" s="52"/>
      <c r="F881" s="52"/>
      <c r="G881" s="51"/>
      <c r="H881" s="52"/>
      <c r="I881" s="52"/>
      <c r="J881" s="52"/>
      <c r="K881" s="52"/>
    </row>
    <row r="882" customFormat="false" ht="15.75" hidden="false" customHeight="false" outlineLevel="0" collapsed="false">
      <c r="B882" s="50"/>
      <c r="C882" s="51"/>
      <c r="D882" s="52"/>
      <c r="E882" s="52"/>
      <c r="F882" s="52"/>
      <c r="G882" s="51"/>
      <c r="H882" s="52"/>
      <c r="I882" s="52"/>
      <c r="J882" s="52"/>
      <c r="K882" s="52"/>
    </row>
    <row r="883" customFormat="false" ht="15.75" hidden="false" customHeight="false" outlineLevel="0" collapsed="false">
      <c r="B883" s="50"/>
      <c r="C883" s="51"/>
      <c r="D883" s="52"/>
      <c r="E883" s="52"/>
      <c r="F883" s="52"/>
      <c r="G883" s="51"/>
      <c r="H883" s="52"/>
      <c r="I883" s="52"/>
      <c r="J883" s="52"/>
      <c r="K883" s="52"/>
    </row>
    <row r="884" customFormat="false" ht="15.75" hidden="false" customHeight="false" outlineLevel="0" collapsed="false">
      <c r="B884" s="50"/>
      <c r="C884" s="51"/>
      <c r="D884" s="52"/>
      <c r="E884" s="52"/>
      <c r="F884" s="52"/>
      <c r="G884" s="51"/>
      <c r="H884" s="52"/>
      <c r="I884" s="52"/>
      <c r="J884" s="52"/>
      <c r="K884" s="52"/>
    </row>
    <row r="885" customFormat="false" ht="15.75" hidden="false" customHeight="false" outlineLevel="0" collapsed="false">
      <c r="B885" s="50"/>
      <c r="C885" s="51"/>
      <c r="D885" s="52"/>
      <c r="E885" s="52"/>
      <c r="F885" s="52"/>
      <c r="G885" s="51"/>
      <c r="H885" s="52"/>
      <c r="I885" s="52"/>
      <c r="J885" s="52"/>
      <c r="K885" s="52"/>
    </row>
    <row r="886" customFormat="false" ht="15.75" hidden="false" customHeight="false" outlineLevel="0" collapsed="false">
      <c r="B886" s="50"/>
      <c r="C886" s="51"/>
      <c r="D886" s="52"/>
      <c r="E886" s="52"/>
      <c r="F886" s="52"/>
      <c r="G886" s="51"/>
      <c r="H886" s="52"/>
      <c r="I886" s="52"/>
      <c r="J886" s="52"/>
      <c r="K886" s="52"/>
    </row>
    <row r="887" customFormat="false" ht="15.75" hidden="false" customHeight="false" outlineLevel="0" collapsed="false">
      <c r="B887" s="50"/>
      <c r="C887" s="51"/>
      <c r="D887" s="52"/>
      <c r="E887" s="52"/>
      <c r="F887" s="52"/>
      <c r="G887" s="51"/>
      <c r="H887" s="52"/>
      <c r="I887" s="52"/>
      <c r="J887" s="52"/>
      <c r="K887" s="52"/>
    </row>
    <row r="888" customFormat="false" ht="15.75" hidden="false" customHeight="false" outlineLevel="0" collapsed="false">
      <c r="B888" s="50"/>
      <c r="C888" s="51"/>
      <c r="D888" s="52"/>
      <c r="E888" s="52"/>
      <c r="F888" s="52"/>
      <c r="G888" s="51"/>
      <c r="H888" s="52"/>
      <c r="I888" s="52"/>
      <c r="J888" s="52"/>
      <c r="K888" s="52"/>
    </row>
    <row r="889" customFormat="false" ht="15.75" hidden="false" customHeight="false" outlineLevel="0" collapsed="false">
      <c r="B889" s="50"/>
      <c r="C889" s="51"/>
      <c r="D889" s="52"/>
      <c r="E889" s="52"/>
      <c r="F889" s="52"/>
      <c r="G889" s="51"/>
      <c r="H889" s="52"/>
      <c r="I889" s="52"/>
      <c r="J889" s="52"/>
      <c r="K889" s="52"/>
    </row>
    <row r="890" customFormat="false" ht="15.75" hidden="false" customHeight="false" outlineLevel="0" collapsed="false">
      <c r="B890" s="50"/>
      <c r="C890" s="51"/>
      <c r="D890" s="52"/>
      <c r="E890" s="52"/>
      <c r="F890" s="52"/>
      <c r="G890" s="51"/>
      <c r="H890" s="52"/>
      <c r="I890" s="52"/>
      <c r="J890" s="52"/>
      <c r="K890" s="52"/>
    </row>
    <row r="891" customFormat="false" ht="15.75" hidden="false" customHeight="false" outlineLevel="0" collapsed="false">
      <c r="B891" s="50"/>
      <c r="C891" s="51"/>
      <c r="D891" s="52"/>
      <c r="E891" s="52"/>
      <c r="F891" s="52"/>
      <c r="G891" s="51"/>
      <c r="H891" s="52"/>
      <c r="I891" s="52"/>
      <c r="J891" s="52"/>
      <c r="K891" s="52"/>
    </row>
    <row r="892" customFormat="false" ht="15.75" hidden="false" customHeight="false" outlineLevel="0" collapsed="false">
      <c r="B892" s="50"/>
      <c r="C892" s="51"/>
      <c r="D892" s="52"/>
      <c r="E892" s="52"/>
      <c r="F892" s="52"/>
      <c r="G892" s="51"/>
      <c r="H892" s="52"/>
      <c r="I892" s="52"/>
      <c r="J892" s="52"/>
      <c r="K892" s="52"/>
    </row>
    <row r="893" customFormat="false" ht="15.75" hidden="false" customHeight="false" outlineLevel="0" collapsed="false">
      <c r="B893" s="50"/>
      <c r="C893" s="51"/>
      <c r="D893" s="52"/>
      <c r="E893" s="52"/>
      <c r="F893" s="52"/>
      <c r="G893" s="51"/>
      <c r="H893" s="52"/>
      <c r="I893" s="52"/>
      <c r="J893" s="52"/>
      <c r="K893" s="52"/>
    </row>
    <row r="894" customFormat="false" ht="15.75" hidden="false" customHeight="false" outlineLevel="0" collapsed="false">
      <c r="B894" s="50"/>
      <c r="C894" s="51"/>
      <c r="D894" s="52"/>
      <c r="E894" s="52"/>
      <c r="F894" s="52"/>
      <c r="G894" s="51"/>
      <c r="H894" s="52"/>
      <c r="I894" s="52"/>
      <c r="J894" s="52"/>
      <c r="K894" s="52"/>
    </row>
    <row r="895" customFormat="false" ht="15.75" hidden="false" customHeight="false" outlineLevel="0" collapsed="false">
      <c r="B895" s="50"/>
      <c r="C895" s="51"/>
      <c r="D895" s="52"/>
      <c r="E895" s="52"/>
      <c r="F895" s="52"/>
      <c r="G895" s="51"/>
      <c r="H895" s="52"/>
      <c r="I895" s="52"/>
      <c r="J895" s="52"/>
      <c r="K895" s="52"/>
    </row>
    <row r="896" customFormat="false" ht="15.75" hidden="false" customHeight="false" outlineLevel="0" collapsed="false">
      <c r="B896" s="50"/>
      <c r="C896" s="51"/>
      <c r="D896" s="52"/>
      <c r="E896" s="52"/>
      <c r="F896" s="52"/>
      <c r="G896" s="51"/>
      <c r="H896" s="52"/>
      <c r="I896" s="52"/>
      <c r="J896" s="52"/>
      <c r="K896" s="52"/>
    </row>
    <row r="897" customFormat="false" ht="15.75" hidden="false" customHeight="false" outlineLevel="0" collapsed="false">
      <c r="B897" s="50"/>
      <c r="C897" s="51"/>
      <c r="D897" s="52"/>
      <c r="E897" s="52"/>
      <c r="F897" s="52"/>
      <c r="G897" s="51"/>
      <c r="H897" s="52"/>
      <c r="I897" s="52"/>
      <c r="J897" s="52"/>
      <c r="K897" s="52"/>
    </row>
    <row r="898" customFormat="false" ht="15.75" hidden="false" customHeight="false" outlineLevel="0" collapsed="false">
      <c r="B898" s="50"/>
      <c r="C898" s="51"/>
      <c r="D898" s="52"/>
      <c r="E898" s="52"/>
      <c r="F898" s="52"/>
      <c r="G898" s="51"/>
      <c r="H898" s="52"/>
      <c r="I898" s="52"/>
      <c r="J898" s="52"/>
      <c r="K898" s="52"/>
    </row>
    <row r="899" customFormat="false" ht="15.75" hidden="false" customHeight="false" outlineLevel="0" collapsed="false">
      <c r="B899" s="50"/>
      <c r="C899" s="51"/>
      <c r="D899" s="52"/>
      <c r="E899" s="52"/>
      <c r="F899" s="52"/>
      <c r="G899" s="51"/>
      <c r="H899" s="52"/>
      <c r="I899" s="52"/>
      <c r="J899" s="52"/>
      <c r="K899" s="52"/>
    </row>
    <row r="900" customFormat="false" ht="15.75" hidden="false" customHeight="false" outlineLevel="0" collapsed="false">
      <c r="B900" s="50"/>
      <c r="C900" s="51"/>
      <c r="D900" s="52"/>
      <c r="E900" s="52"/>
      <c r="F900" s="52"/>
      <c r="G900" s="51"/>
      <c r="H900" s="52"/>
      <c r="I900" s="52"/>
      <c r="J900" s="52"/>
      <c r="K900" s="52"/>
    </row>
    <row r="901" customFormat="false" ht="15.75" hidden="false" customHeight="false" outlineLevel="0" collapsed="false">
      <c r="B901" s="50"/>
      <c r="C901" s="51"/>
      <c r="D901" s="52"/>
      <c r="E901" s="52"/>
      <c r="F901" s="52"/>
      <c r="G901" s="51"/>
      <c r="H901" s="52"/>
      <c r="I901" s="52"/>
      <c r="J901" s="52"/>
      <c r="K901" s="52"/>
    </row>
    <row r="902" customFormat="false" ht="15.75" hidden="false" customHeight="false" outlineLevel="0" collapsed="false">
      <c r="B902" s="50"/>
      <c r="C902" s="51"/>
      <c r="D902" s="52"/>
      <c r="E902" s="52"/>
      <c r="F902" s="52"/>
      <c r="G902" s="51"/>
      <c r="H902" s="52"/>
      <c r="I902" s="52"/>
      <c r="J902" s="52"/>
      <c r="K902" s="52"/>
    </row>
    <row r="903" customFormat="false" ht="15.75" hidden="false" customHeight="false" outlineLevel="0" collapsed="false">
      <c r="B903" s="50"/>
      <c r="C903" s="51"/>
      <c r="D903" s="52"/>
      <c r="E903" s="52"/>
      <c r="F903" s="52"/>
      <c r="G903" s="51"/>
      <c r="H903" s="52"/>
      <c r="I903" s="52"/>
      <c r="J903" s="52"/>
      <c r="K903" s="52"/>
    </row>
    <row r="904" customFormat="false" ht="15.75" hidden="false" customHeight="false" outlineLevel="0" collapsed="false">
      <c r="B904" s="50"/>
      <c r="C904" s="51"/>
      <c r="D904" s="52"/>
      <c r="E904" s="52"/>
      <c r="F904" s="52"/>
      <c r="G904" s="51"/>
      <c r="H904" s="52"/>
      <c r="I904" s="52"/>
      <c r="J904" s="52"/>
      <c r="K904" s="52"/>
    </row>
    <row r="905" customFormat="false" ht="15.75" hidden="false" customHeight="false" outlineLevel="0" collapsed="false">
      <c r="B905" s="50"/>
      <c r="C905" s="51"/>
      <c r="D905" s="52"/>
      <c r="E905" s="52"/>
      <c r="F905" s="52"/>
      <c r="G905" s="51"/>
      <c r="H905" s="52"/>
      <c r="I905" s="52"/>
      <c r="J905" s="52"/>
      <c r="K905" s="52"/>
    </row>
    <row r="906" customFormat="false" ht="15.75" hidden="false" customHeight="false" outlineLevel="0" collapsed="false">
      <c r="B906" s="50"/>
      <c r="C906" s="51"/>
      <c r="D906" s="52"/>
      <c r="E906" s="52"/>
      <c r="F906" s="52"/>
      <c r="G906" s="51"/>
      <c r="H906" s="52"/>
      <c r="I906" s="52"/>
      <c r="J906" s="52"/>
      <c r="K906" s="52"/>
    </row>
    <row r="907" customFormat="false" ht="15.75" hidden="false" customHeight="false" outlineLevel="0" collapsed="false">
      <c r="B907" s="50"/>
      <c r="C907" s="51"/>
      <c r="D907" s="52"/>
      <c r="E907" s="52"/>
      <c r="F907" s="52"/>
      <c r="G907" s="51"/>
      <c r="H907" s="52"/>
      <c r="I907" s="52"/>
      <c r="J907" s="52"/>
      <c r="K907" s="52"/>
    </row>
    <row r="908" customFormat="false" ht="15.75" hidden="false" customHeight="false" outlineLevel="0" collapsed="false">
      <c r="B908" s="50"/>
      <c r="C908" s="51"/>
      <c r="D908" s="52"/>
      <c r="E908" s="52"/>
      <c r="F908" s="52"/>
      <c r="G908" s="51"/>
      <c r="H908" s="52"/>
      <c r="I908" s="52"/>
      <c r="J908" s="52"/>
      <c r="K908" s="52"/>
    </row>
    <row r="909" customFormat="false" ht="15.75" hidden="false" customHeight="false" outlineLevel="0" collapsed="false">
      <c r="B909" s="50"/>
      <c r="C909" s="51"/>
      <c r="D909" s="52"/>
      <c r="E909" s="52"/>
      <c r="F909" s="52"/>
      <c r="G909" s="51"/>
      <c r="H909" s="52"/>
      <c r="I909" s="52"/>
      <c r="J909" s="52"/>
      <c r="K909" s="52"/>
    </row>
    <row r="910" customFormat="false" ht="15.75" hidden="false" customHeight="false" outlineLevel="0" collapsed="false">
      <c r="B910" s="50"/>
      <c r="C910" s="51"/>
      <c r="D910" s="52"/>
      <c r="E910" s="52"/>
      <c r="F910" s="52"/>
      <c r="G910" s="51"/>
      <c r="H910" s="52"/>
      <c r="I910" s="52"/>
      <c r="J910" s="52"/>
      <c r="K910" s="52"/>
    </row>
    <row r="911" customFormat="false" ht="15.75" hidden="false" customHeight="false" outlineLevel="0" collapsed="false">
      <c r="B911" s="50"/>
      <c r="C911" s="51"/>
      <c r="D911" s="52"/>
      <c r="E911" s="52"/>
      <c r="F911" s="52"/>
      <c r="G911" s="51"/>
      <c r="H911" s="52"/>
      <c r="I911" s="52"/>
      <c r="J911" s="52"/>
      <c r="K911" s="52"/>
    </row>
    <row r="912" customFormat="false" ht="15.75" hidden="false" customHeight="false" outlineLevel="0" collapsed="false">
      <c r="B912" s="50"/>
      <c r="C912" s="51"/>
      <c r="D912" s="52"/>
      <c r="E912" s="52"/>
      <c r="F912" s="52"/>
      <c r="G912" s="51"/>
      <c r="H912" s="52"/>
      <c r="I912" s="52"/>
      <c r="J912" s="52"/>
      <c r="K912" s="52"/>
    </row>
    <row r="913" customFormat="false" ht="15.75" hidden="false" customHeight="false" outlineLevel="0" collapsed="false">
      <c r="B913" s="50"/>
      <c r="C913" s="51"/>
      <c r="D913" s="52"/>
      <c r="E913" s="52"/>
      <c r="F913" s="52"/>
      <c r="G913" s="51"/>
      <c r="H913" s="52"/>
      <c r="I913" s="52"/>
      <c r="J913" s="52"/>
      <c r="K913" s="52"/>
    </row>
    <row r="914" customFormat="false" ht="15.75" hidden="false" customHeight="false" outlineLevel="0" collapsed="false">
      <c r="B914" s="50"/>
      <c r="C914" s="51"/>
      <c r="D914" s="52"/>
      <c r="E914" s="52"/>
      <c r="F914" s="52"/>
      <c r="G914" s="51"/>
      <c r="H914" s="52"/>
      <c r="I914" s="52"/>
      <c r="J914" s="52"/>
      <c r="K914" s="52"/>
    </row>
    <row r="915" customFormat="false" ht="15.75" hidden="false" customHeight="false" outlineLevel="0" collapsed="false">
      <c r="B915" s="50"/>
      <c r="C915" s="51"/>
      <c r="D915" s="52"/>
      <c r="E915" s="52"/>
      <c r="F915" s="52"/>
      <c r="G915" s="51"/>
      <c r="H915" s="52"/>
      <c r="I915" s="52"/>
      <c r="J915" s="52"/>
      <c r="K915" s="52"/>
    </row>
    <row r="916" customFormat="false" ht="15.75" hidden="false" customHeight="false" outlineLevel="0" collapsed="false">
      <c r="B916" s="50"/>
      <c r="C916" s="51"/>
      <c r="D916" s="52"/>
      <c r="E916" s="52"/>
      <c r="F916" s="52"/>
      <c r="G916" s="51"/>
      <c r="H916" s="52"/>
      <c r="I916" s="52"/>
      <c r="J916" s="52"/>
      <c r="K916" s="52"/>
    </row>
    <row r="917" customFormat="false" ht="15.75" hidden="false" customHeight="false" outlineLevel="0" collapsed="false">
      <c r="B917" s="50"/>
      <c r="C917" s="51"/>
      <c r="D917" s="52"/>
      <c r="E917" s="52"/>
      <c r="F917" s="52"/>
      <c r="G917" s="51"/>
      <c r="H917" s="52"/>
      <c r="I917" s="52"/>
      <c r="J917" s="52"/>
      <c r="K917" s="52"/>
    </row>
    <row r="918" customFormat="false" ht="15.75" hidden="false" customHeight="false" outlineLevel="0" collapsed="false">
      <c r="B918" s="50"/>
      <c r="C918" s="51"/>
      <c r="D918" s="52"/>
      <c r="E918" s="52"/>
      <c r="F918" s="52"/>
      <c r="G918" s="51"/>
      <c r="H918" s="52"/>
      <c r="I918" s="52"/>
      <c r="J918" s="52"/>
      <c r="K918" s="52"/>
    </row>
    <row r="919" customFormat="false" ht="15.75" hidden="false" customHeight="false" outlineLevel="0" collapsed="false">
      <c r="B919" s="50"/>
      <c r="C919" s="51"/>
      <c r="D919" s="52"/>
      <c r="E919" s="52"/>
      <c r="F919" s="52"/>
      <c r="G919" s="51"/>
      <c r="H919" s="52"/>
      <c r="I919" s="52"/>
      <c r="J919" s="52"/>
      <c r="K919" s="52"/>
    </row>
    <row r="920" customFormat="false" ht="15.75" hidden="false" customHeight="false" outlineLevel="0" collapsed="false">
      <c r="B920" s="50"/>
      <c r="C920" s="51"/>
      <c r="D920" s="52"/>
      <c r="E920" s="52"/>
      <c r="F920" s="52"/>
      <c r="G920" s="51"/>
      <c r="H920" s="52"/>
      <c r="I920" s="52"/>
      <c r="J920" s="52"/>
      <c r="K920" s="52"/>
    </row>
    <row r="921" customFormat="false" ht="15.75" hidden="false" customHeight="false" outlineLevel="0" collapsed="false">
      <c r="B921" s="50"/>
      <c r="C921" s="51"/>
      <c r="D921" s="52"/>
      <c r="E921" s="52"/>
      <c r="F921" s="52"/>
      <c r="G921" s="51"/>
      <c r="H921" s="52"/>
      <c r="I921" s="52"/>
      <c r="J921" s="52"/>
      <c r="K921" s="52"/>
    </row>
    <row r="922" customFormat="false" ht="15.75" hidden="false" customHeight="false" outlineLevel="0" collapsed="false">
      <c r="B922" s="50"/>
      <c r="C922" s="51"/>
      <c r="D922" s="52"/>
      <c r="E922" s="52"/>
      <c r="F922" s="52"/>
      <c r="G922" s="51"/>
      <c r="H922" s="52"/>
      <c r="I922" s="52"/>
      <c r="J922" s="52"/>
      <c r="K922" s="52"/>
    </row>
    <row r="923" customFormat="false" ht="15.75" hidden="false" customHeight="false" outlineLevel="0" collapsed="false">
      <c r="B923" s="50"/>
      <c r="C923" s="51"/>
      <c r="D923" s="52"/>
      <c r="E923" s="52"/>
      <c r="F923" s="52"/>
      <c r="G923" s="51"/>
      <c r="H923" s="52"/>
      <c r="I923" s="52"/>
      <c r="J923" s="52"/>
      <c r="K923" s="52"/>
    </row>
    <row r="924" customFormat="false" ht="15.75" hidden="false" customHeight="false" outlineLevel="0" collapsed="false">
      <c r="B924" s="50"/>
      <c r="C924" s="51"/>
      <c r="D924" s="52"/>
      <c r="E924" s="52"/>
      <c r="F924" s="52"/>
      <c r="G924" s="51"/>
      <c r="H924" s="52"/>
      <c r="I924" s="52"/>
      <c r="J924" s="52"/>
      <c r="K924" s="52"/>
    </row>
    <row r="925" customFormat="false" ht="15.75" hidden="false" customHeight="false" outlineLevel="0" collapsed="false">
      <c r="B925" s="50"/>
      <c r="C925" s="51"/>
      <c r="D925" s="52"/>
      <c r="E925" s="52"/>
      <c r="F925" s="52"/>
      <c r="G925" s="51"/>
      <c r="H925" s="52"/>
      <c r="I925" s="52"/>
      <c r="J925" s="52"/>
      <c r="K925" s="52"/>
    </row>
    <row r="926" customFormat="false" ht="15.75" hidden="false" customHeight="false" outlineLevel="0" collapsed="false">
      <c r="B926" s="50"/>
      <c r="C926" s="51"/>
      <c r="D926" s="52"/>
      <c r="E926" s="52"/>
      <c r="F926" s="52"/>
      <c r="G926" s="51"/>
      <c r="H926" s="52"/>
      <c r="I926" s="52"/>
      <c r="J926" s="52"/>
      <c r="K926" s="52"/>
    </row>
    <row r="927" customFormat="false" ht="15.75" hidden="false" customHeight="false" outlineLevel="0" collapsed="false">
      <c r="B927" s="50"/>
      <c r="C927" s="51"/>
      <c r="D927" s="52"/>
      <c r="E927" s="52"/>
      <c r="F927" s="52"/>
      <c r="G927" s="51"/>
      <c r="H927" s="52"/>
      <c r="I927" s="52"/>
      <c r="J927" s="52"/>
      <c r="K927" s="52"/>
    </row>
    <row r="928" customFormat="false" ht="15.75" hidden="false" customHeight="false" outlineLevel="0" collapsed="false">
      <c r="B928" s="50"/>
      <c r="C928" s="51"/>
      <c r="D928" s="52"/>
      <c r="E928" s="52"/>
      <c r="F928" s="52"/>
      <c r="G928" s="51"/>
      <c r="H928" s="52"/>
      <c r="I928" s="52"/>
      <c r="J928" s="52"/>
      <c r="K928" s="52"/>
    </row>
    <row r="929" customFormat="false" ht="15.75" hidden="false" customHeight="false" outlineLevel="0" collapsed="false">
      <c r="B929" s="50"/>
      <c r="C929" s="51"/>
      <c r="D929" s="52"/>
      <c r="E929" s="52"/>
      <c r="F929" s="52"/>
      <c r="G929" s="51"/>
      <c r="H929" s="52"/>
      <c r="I929" s="52"/>
      <c r="J929" s="52"/>
      <c r="K929" s="52"/>
    </row>
    <row r="930" customFormat="false" ht="15.75" hidden="false" customHeight="false" outlineLevel="0" collapsed="false">
      <c r="B930" s="50"/>
      <c r="C930" s="51"/>
      <c r="D930" s="52"/>
      <c r="E930" s="52"/>
      <c r="F930" s="52"/>
      <c r="G930" s="51"/>
      <c r="H930" s="52"/>
      <c r="I930" s="52"/>
      <c r="J930" s="52"/>
      <c r="K930" s="52"/>
    </row>
    <row r="931" customFormat="false" ht="15.75" hidden="false" customHeight="false" outlineLevel="0" collapsed="false">
      <c r="B931" s="50"/>
      <c r="C931" s="51"/>
      <c r="D931" s="52"/>
      <c r="E931" s="52"/>
      <c r="F931" s="52"/>
      <c r="G931" s="51"/>
      <c r="H931" s="52"/>
      <c r="I931" s="52"/>
      <c r="J931" s="52"/>
      <c r="K931" s="52"/>
    </row>
    <row r="932" customFormat="false" ht="15.75" hidden="false" customHeight="false" outlineLevel="0" collapsed="false">
      <c r="B932" s="50"/>
      <c r="C932" s="51"/>
      <c r="D932" s="52"/>
      <c r="E932" s="52"/>
      <c r="F932" s="52"/>
      <c r="G932" s="51"/>
      <c r="H932" s="52"/>
      <c r="I932" s="52"/>
      <c r="J932" s="52"/>
      <c r="K932" s="52"/>
    </row>
    <row r="933" customFormat="false" ht="15.75" hidden="false" customHeight="false" outlineLevel="0" collapsed="false">
      <c r="B933" s="50"/>
      <c r="C933" s="51"/>
      <c r="D933" s="52"/>
      <c r="E933" s="52"/>
      <c r="F933" s="52"/>
      <c r="G933" s="51"/>
      <c r="H933" s="52"/>
      <c r="I933" s="52"/>
      <c r="J933" s="52"/>
      <c r="K933" s="52"/>
    </row>
    <row r="934" customFormat="false" ht="15.75" hidden="false" customHeight="false" outlineLevel="0" collapsed="false">
      <c r="B934" s="50"/>
      <c r="C934" s="51"/>
      <c r="D934" s="52"/>
      <c r="E934" s="52"/>
      <c r="F934" s="52"/>
      <c r="G934" s="51"/>
      <c r="H934" s="52"/>
      <c r="I934" s="52"/>
      <c r="J934" s="52"/>
      <c r="K934" s="52"/>
    </row>
    <row r="935" customFormat="false" ht="15.75" hidden="false" customHeight="false" outlineLevel="0" collapsed="false">
      <c r="B935" s="50"/>
      <c r="C935" s="51"/>
      <c r="D935" s="52"/>
      <c r="E935" s="52"/>
      <c r="F935" s="52"/>
      <c r="G935" s="51"/>
      <c r="H935" s="52"/>
      <c r="I935" s="52"/>
      <c r="J935" s="52"/>
      <c r="K935" s="52"/>
    </row>
    <row r="936" customFormat="false" ht="15.75" hidden="false" customHeight="false" outlineLevel="0" collapsed="false">
      <c r="B936" s="50"/>
      <c r="C936" s="51"/>
      <c r="D936" s="52"/>
      <c r="E936" s="52"/>
      <c r="F936" s="52"/>
      <c r="G936" s="51"/>
      <c r="H936" s="52"/>
      <c r="I936" s="52"/>
      <c r="J936" s="52"/>
      <c r="K936" s="52"/>
    </row>
    <row r="937" customFormat="false" ht="15.75" hidden="false" customHeight="false" outlineLevel="0" collapsed="false">
      <c r="B937" s="50"/>
      <c r="C937" s="51"/>
      <c r="D937" s="52"/>
      <c r="E937" s="52"/>
      <c r="F937" s="52"/>
      <c r="G937" s="51"/>
      <c r="H937" s="52"/>
      <c r="I937" s="52"/>
      <c r="J937" s="52"/>
      <c r="K937" s="52"/>
    </row>
    <row r="938" customFormat="false" ht="15.75" hidden="false" customHeight="false" outlineLevel="0" collapsed="false">
      <c r="B938" s="50"/>
      <c r="C938" s="51"/>
      <c r="D938" s="52"/>
      <c r="E938" s="52"/>
      <c r="F938" s="52"/>
      <c r="G938" s="51"/>
      <c r="H938" s="52"/>
      <c r="I938" s="52"/>
      <c r="J938" s="52"/>
      <c r="K938" s="52"/>
    </row>
    <row r="939" customFormat="false" ht="15.75" hidden="false" customHeight="false" outlineLevel="0" collapsed="false">
      <c r="B939" s="50"/>
      <c r="C939" s="51"/>
      <c r="D939" s="52"/>
      <c r="E939" s="52"/>
      <c r="F939" s="52"/>
      <c r="G939" s="51"/>
      <c r="H939" s="52"/>
      <c r="I939" s="52"/>
      <c r="J939" s="52"/>
      <c r="K939" s="52"/>
    </row>
    <row r="940" customFormat="false" ht="15.75" hidden="false" customHeight="false" outlineLevel="0" collapsed="false">
      <c r="B940" s="50"/>
      <c r="C940" s="51"/>
      <c r="D940" s="52"/>
      <c r="E940" s="52"/>
      <c r="F940" s="52"/>
      <c r="G940" s="51"/>
      <c r="H940" s="52"/>
      <c r="I940" s="52"/>
      <c r="J940" s="52"/>
      <c r="K940" s="52"/>
    </row>
    <row r="941" customFormat="false" ht="15.75" hidden="false" customHeight="false" outlineLevel="0" collapsed="false">
      <c r="B941" s="50"/>
      <c r="C941" s="51"/>
      <c r="D941" s="52"/>
      <c r="E941" s="52"/>
      <c r="F941" s="52"/>
      <c r="G941" s="51"/>
      <c r="H941" s="52"/>
      <c r="I941" s="52"/>
      <c r="J941" s="52"/>
      <c r="K941" s="52"/>
    </row>
    <row r="942" customFormat="false" ht="15.75" hidden="false" customHeight="false" outlineLevel="0" collapsed="false">
      <c r="B942" s="50"/>
      <c r="C942" s="51"/>
      <c r="D942" s="52"/>
      <c r="E942" s="52"/>
      <c r="F942" s="52"/>
      <c r="G942" s="51"/>
      <c r="H942" s="52"/>
      <c r="I942" s="52"/>
      <c r="J942" s="52"/>
      <c r="K942" s="52"/>
    </row>
    <row r="943" customFormat="false" ht="15.75" hidden="false" customHeight="false" outlineLevel="0" collapsed="false">
      <c r="B943" s="50"/>
      <c r="C943" s="51"/>
      <c r="D943" s="52"/>
      <c r="E943" s="52"/>
      <c r="F943" s="52"/>
      <c r="G943" s="51"/>
      <c r="H943" s="52"/>
      <c r="I943" s="52"/>
      <c r="J943" s="52"/>
      <c r="K943" s="52"/>
    </row>
    <row r="944" customFormat="false" ht="15.75" hidden="false" customHeight="false" outlineLevel="0" collapsed="false">
      <c r="B944" s="50"/>
      <c r="C944" s="51"/>
      <c r="D944" s="52"/>
      <c r="E944" s="52"/>
      <c r="F944" s="52"/>
      <c r="G944" s="51"/>
      <c r="H944" s="52"/>
      <c r="I944" s="52"/>
      <c r="J944" s="52"/>
      <c r="K944" s="52"/>
    </row>
    <row r="945" customFormat="false" ht="15.75" hidden="false" customHeight="false" outlineLevel="0" collapsed="false">
      <c r="B945" s="50"/>
      <c r="C945" s="51"/>
      <c r="D945" s="52"/>
      <c r="E945" s="52"/>
      <c r="F945" s="52"/>
      <c r="G945" s="51"/>
      <c r="H945" s="52"/>
      <c r="I945" s="52"/>
      <c r="J945" s="52"/>
      <c r="K945" s="52"/>
    </row>
    <row r="946" customFormat="false" ht="15.75" hidden="false" customHeight="false" outlineLevel="0" collapsed="false">
      <c r="B946" s="50"/>
      <c r="C946" s="51"/>
      <c r="D946" s="52"/>
      <c r="E946" s="52"/>
      <c r="F946" s="52"/>
      <c r="G946" s="51"/>
      <c r="H946" s="52"/>
      <c r="I946" s="52"/>
      <c r="J946" s="52"/>
      <c r="K946" s="52"/>
    </row>
    <row r="947" customFormat="false" ht="15.75" hidden="false" customHeight="false" outlineLevel="0" collapsed="false">
      <c r="B947" s="50"/>
      <c r="C947" s="51"/>
      <c r="D947" s="52"/>
      <c r="E947" s="52"/>
      <c r="F947" s="52"/>
      <c r="G947" s="51"/>
      <c r="H947" s="52"/>
      <c r="I947" s="52"/>
      <c r="J947" s="52"/>
      <c r="K947" s="52"/>
    </row>
    <row r="948" customFormat="false" ht="15.75" hidden="false" customHeight="false" outlineLevel="0" collapsed="false">
      <c r="B948" s="50"/>
      <c r="C948" s="51"/>
      <c r="D948" s="52"/>
      <c r="E948" s="52"/>
      <c r="F948" s="52"/>
      <c r="G948" s="51"/>
      <c r="H948" s="52"/>
      <c r="I948" s="52"/>
      <c r="J948" s="52"/>
      <c r="K948" s="52"/>
    </row>
    <row r="949" customFormat="false" ht="15.75" hidden="false" customHeight="false" outlineLevel="0" collapsed="false">
      <c r="B949" s="50"/>
      <c r="C949" s="51"/>
      <c r="D949" s="52"/>
      <c r="E949" s="52"/>
      <c r="F949" s="52"/>
      <c r="G949" s="51"/>
      <c r="H949" s="52"/>
      <c r="I949" s="52"/>
      <c r="J949" s="52"/>
      <c r="K949" s="52"/>
    </row>
    <row r="950" customFormat="false" ht="15.75" hidden="false" customHeight="false" outlineLevel="0" collapsed="false">
      <c r="B950" s="50"/>
      <c r="C950" s="51"/>
      <c r="D950" s="52"/>
      <c r="E950" s="52"/>
      <c r="F950" s="52"/>
      <c r="G950" s="51"/>
      <c r="H950" s="52"/>
      <c r="I950" s="52"/>
      <c r="J950" s="52"/>
      <c r="K950" s="52"/>
    </row>
    <row r="951" customFormat="false" ht="15.75" hidden="false" customHeight="false" outlineLevel="0" collapsed="false">
      <c r="B951" s="50"/>
      <c r="C951" s="51"/>
      <c r="D951" s="52"/>
      <c r="E951" s="52"/>
      <c r="F951" s="52"/>
      <c r="G951" s="51"/>
      <c r="H951" s="52"/>
      <c r="I951" s="52"/>
      <c r="J951" s="52"/>
      <c r="K951" s="52"/>
    </row>
    <row r="952" customFormat="false" ht="15.75" hidden="false" customHeight="false" outlineLevel="0" collapsed="false">
      <c r="B952" s="50"/>
      <c r="C952" s="51"/>
      <c r="D952" s="52"/>
      <c r="E952" s="52"/>
      <c r="F952" s="52"/>
      <c r="G952" s="51"/>
      <c r="H952" s="52"/>
      <c r="I952" s="52"/>
      <c r="J952" s="52"/>
      <c r="K952" s="52"/>
    </row>
    <row r="953" customFormat="false" ht="15.75" hidden="false" customHeight="false" outlineLevel="0" collapsed="false">
      <c r="B953" s="50"/>
      <c r="C953" s="51"/>
      <c r="D953" s="52"/>
      <c r="E953" s="52"/>
      <c r="F953" s="52"/>
      <c r="G953" s="51"/>
      <c r="H953" s="52"/>
      <c r="I953" s="52"/>
      <c r="J953" s="52"/>
      <c r="K953" s="52"/>
    </row>
    <row r="954" customFormat="false" ht="15.75" hidden="false" customHeight="false" outlineLevel="0" collapsed="false">
      <c r="B954" s="50"/>
      <c r="C954" s="51"/>
      <c r="D954" s="52"/>
      <c r="E954" s="52"/>
      <c r="F954" s="52"/>
      <c r="G954" s="51"/>
      <c r="H954" s="52"/>
      <c r="I954" s="52"/>
      <c r="J954" s="52"/>
      <c r="K954" s="52"/>
    </row>
    <row r="955" customFormat="false" ht="15.75" hidden="false" customHeight="false" outlineLevel="0" collapsed="false">
      <c r="B955" s="50"/>
      <c r="C955" s="51"/>
      <c r="D955" s="52"/>
      <c r="E955" s="52"/>
      <c r="F955" s="52"/>
      <c r="G955" s="51"/>
      <c r="H955" s="52"/>
      <c r="I955" s="52"/>
      <c r="J955" s="52"/>
      <c r="K955" s="52"/>
    </row>
    <row r="956" customFormat="false" ht="15.75" hidden="false" customHeight="false" outlineLevel="0" collapsed="false">
      <c r="B956" s="50"/>
      <c r="C956" s="51"/>
      <c r="D956" s="52"/>
      <c r="E956" s="52"/>
      <c r="F956" s="52"/>
      <c r="G956" s="51"/>
      <c r="H956" s="52"/>
      <c r="I956" s="52"/>
      <c r="J956" s="52"/>
      <c r="K956" s="52"/>
    </row>
    <row r="957" customFormat="false" ht="15.75" hidden="false" customHeight="false" outlineLevel="0" collapsed="false">
      <c r="B957" s="50"/>
      <c r="C957" s="51"/>
      <c r="D957" s="52"/>
      <c r="E957" s="52"/>
      <c r="F957" s="52"/>
      <c r="G957" s="51"/>
      <c r="H957" s="52"/>
      <c r="I957" s="52"/>
      <c r="J957" s="52"/>
      <c r="K957" s="52"/>
    </row>
    <row r="958" customFormat="false" ht="15.75" hidden="false" customHeight="false" outlineLevel="0" collapsed="false">
      <c r="B958" s="50"/>
      <c r="C958" s="51"/>
      <c r="D958" s="52"/>
      <c r="E958" s="52"/>
      <c r="F958" s="52"/>
      <c r="G958" s="51"/>
      <c r="H958" s="52"/>
      <c r="I958" s="52"/>
      <c r="J958" s="52"/>
      <c r="K958" s="52"/>
    </row>
    <row r="959" customFormat="false" ht="15.75" hidden="false" customHeight="false" outlineLevel="0" collapsed="false">
      <c r="B959" s="50"/>
      <c r="C959" s="51"/>
      <c r="D959" s="52"/>
      <c r="E959" s="52"/>
      <c r="F959" s="52"/>
      <c r="G959" s="51"/>
      <c r="H959" s="52"/>
      <c r="I959" s="52"/>
      <c r="J959" s="52"/>
      <c r="K959" s="52"/>
    </row>
    <row r="960" customFormat="false" ht="15.75" hidden="false" customHeight="false" outlineLevel="0" collapsed="false">
      <c r="B960" s="50"/>
      <c r="C960" s="51"/>
      <c r="D960" s="52"/>
      <c r="E960" s="52"/>
      <c r="F960" s="52"/>
      <c r="G960" s="51"/>
      <c r="H960" s="52"/>
      <c r="I960" s="52"/>
      <c r="J960" s="52"/>
      <c r="K960" s="52"/>
    </row>
    <row r="961" customFormat="false" ht="15.75" hidden="false" customHeight="false" outlineLevel="0" collapsed="false">
      <c r="B961" s="50"/>
      <c r="C961" s="51"/>
      <c r="D961" s="52"/>
      <c r="E961" s="52"/>
      <c r="F961" s="52"/>
      <c r="G961" s="51"/>
      <c r="H961" s="52"/>
      <c r="I961" s="52"/>
      <c r="J961" s="52"/>
      <c r="K961" s="52"/>
    </row>
    <row r="962" customFormat="false" ht="15.75" hidden="false" customHeight="false" outlineLevel="0" collapsed="false">
      <c r="B962" s="50"/>
      <c r="C962" s="51"/>
      <c r="D962" s="52"/>
      <c r="E962" s="52"/>
      <c r="F962" s="52"/>
      <c r="G962" s="51"/>
      <c r="H962" s="52"/>
      <c r="I962" s="52"/>
      <c r="J962" s="52"/>
      <c r="K962" s="52"/>
    </row>
    <row r="963" customFormat="false" ht="15.75" hidden="false" customHeight="false" outlineLevel="0" collapsed="false">
      <c r="B963" s="50"/>
      <c r="C963" s="51"/>
      <c r="D963" s="52"/>
      <c r="E963" s="52"/>
      <c r="F963" s="52"/>
      <c r="G963" s="51"/>
      <c r="H963" s="52"/>
      <c r="I963" s="52"/>
      <c r="J963" s="52"/>
      <c r="K963" s="52"/>
    </row>
    <row r="964" customFormat="false" ht="15.75" hidden="false" customHeight="false" outlineLevel="0" collapsed="false">
      <c r="B964" s="50"/>
      <c r="C964" s="51"/>
      <c r="D964" s="52"/>
      <c r="E964" s="52"/>
      <c r="F964" s="52"/>
      <c r="G964" s="51"/>
      <c r="H964" s="52"/>
      <c r="I964" s="52"/>
      <c r="J964" s="52"/>
      <c r="K964" s="52"/>
    </row>
    <row r="965" customFormat="false" ht="15.75" hidden="false" customHeight="false" outlineLevel="0" collapsed="false">
      <c r="B965" s="50"/>
      <c r="C965" s="51"/>
      <c r="D965" s="52"/>
      <c r="E965" s="52"/>
      <c r="F965" s="52"/>
      <c r="G965" s="51"/>
      <c r="H965" s="52"/>
      <c r="I965" s="52"/>
      <c r="J965" s="52"/>
      <c r="K965" s="52"/>
    </row>
    <row r="966" customFormat="false" ht="15.75" hidden="false" customHeight="false" outlineLevel="0" collapsed="false">
      <c r="B966" s="50"/>
      <c r="C966" s="51"/>
      <c r="D966" s="52"/>
      <c r="E966" s="52"/>
      <c r="F966" s="52"/>
      <c r="G966" s="51"/>
      <c r="H966" s="52"/>
      <c r="I966" s="52"/>
      <c r="J966" s="52"/>
      <c r="K966" s="52"/>
    </row>
    <row r="967" customFormat="false" ht="15.75" hidden="false" customHeight="false" outlineLevel="0" collapsed="false">
      <c r="B967" s="50"/>
      <c r="C967" s="51"/>
      <c r="D967" s="52"/>
      <c r="E967" s="52"/>
      <c r="F967" s="52"/>
      <c r="G967" s="51"/>
      <c r="H967" s="52"/>
      <c r="I967" s="52"/>
      <c r="J967" s="52"/>
      <c r="K967" s="52"/>
    </row>
    <row r="968" customFormat="false" ht="15.75" hidden="false" customHeight="false" outlineLevel="0" collapsed="false">
      <c r="B968" s="50"/>
      <c r="C968" s="51"/>
      <c r="D968" s="52"/>
      <c r="E968" s="52"/>
      <c r="F968" s="52"/>
      <c r="G968" s="51"/>
      <c r="H968" s="52"/>
      <c r="I968" s="52"/>
      <c r="J968" s="52"/>
      <c r="K968" s="52"/>
    </row>
    <row r="969" customFormat="false" ht="15.75" hidden="false" customHeight="false" outlineLevel="0" collapsed="false">
      <c r="B969" s="50"/>
      <c r="C969" s="51"/>
      <c r="D969" s="52"/>
      <c r="E969" s="52"/>
      <c r="F969" s="52"/>
      <c r="G969" s="51"/>
      <c r="H969" s="52"/>
      <c r="I969" s="52"/>
      <c r="J969" s="52"/>
      <c r="K969" s="52"/>
    </row>
    <row r="970" customFormat="false" ht="15.75" hidden="false" customHeight="false" outlineLevel="0" collapsed="false">
      <c r="B970" s="50"/>
      <c r="C970" s="51"/>
      <c r="D970" s="52"/>
      <c r="E970" s="52"/>
      <c r="F970" s="52"/>
      <c r="G970" s="51"/>
      <c r="H970" s="52"/>
      <c r="I970" s="52"/>
      <c r="J970" s="52"/>
      <c r="K970" s="52"/>
    </row>
    <row r="971" customFormat="false" ht="15.75" hidden="false" customHeight="false" outlineLevel="0" collapsed="false">
      <c r="B971" s="50"/>
      <c r="C971" s="51"/>
      <c r="D971" s="52"/>
      <c r="E971" s="52"/>
      <c r="F971" s="52"/>
      <c r="G971" s="51"/>
      <c r="H971" s="52"/>
      <c r="I971" s="52"/>
      <c r="J971" s="52"/>
      <c r="K971" s="52"/>
    </row>
    <row r="972" customFormat="false" ht="15.75" hidden="false" customHeight="false" outlineLevel="0" collapsed="false">
      <c r="B972" s="50"/>
      <c r="C972" s="51"/>
      <c r="D972" s="52"/>
      <c r="E972" s="52"/>
      <c r="F972" s="52"/>
      <c r="G972" s="51"/>
      <c r="H972" s="52"/>
      <c r="I972" s="52"/>
      <c r="J972" s="52"/>
      <c r="K972" s="52"/>
    </row>
    <row r="973" customFormat="false" ht="15.75" hidden="false" customHeight="false" outlineLevel="0" collapsed="false">
      <c r="B973" s="50"/>
      <c r="C973" s="51"/>
      <c r="D973" s="52"/>
      <c r="E973" s="52"/>
      <c r="F973" s="52"/>
      <c r="G973" s="51"/>
      <c r="H973" s="52"/>
      <c r="I973" s="52"/>
      <c r="J973" s="52"/>
      <c r="K973" s="52"/>
    </row>
    <row r="974" customFormat="false" ht="15.75" hidden="false" customHeight="false" outlineLevel="0" collapsed="false">
      <c r="B974" s="50"/>
      <c r="C974" s="51"/>
      <c r="D974" s="52"/>
      <c r="E974" s="52"/>
      <c r="F974" s="52"/>
      <c r="G974" s="51"/>
      <c r="H974" s="52"/>
      <c r="I974" s="52"/>
      <c r="J974" s="52"/>
      <c r="K974" s="52"/>
    </row>
    <row r="975" customFormat="false" ht="15.75" hidden="false" customHeight="false" outlineLevel="0" collapsed="false">
      <c r="B975" s="50"/>
      <c r="C975" s="51"/>
      <c r="D975" s="52"/>
      <c r="E975" s="52"/>
      <c r="F975" s="52"/>
      <c r="G975" s="51"/>
      <c r="H975" s="52"/>
      <c r="I975" s="52"/>
      <c r="J975" s="52"/>
      <c r="K975" s="52"/>
    </row>
    <row r="976" customFormat="false" ht="15.75" hidden="false" customHeight="false" outlineLevel="0" collapsed="false">
      <c r="B976" s="50"/>
      <c r="C976" s="51"/>
      <c r="D976" s="52"/>
      <c r="E976" s="52"/>
      <c r="F976" s="52"/>
      <c r="G976" s="51"/>
      <c r="H976" s="52"/>
      <c r="I976" s="52"/>
      <c r="J976" s="52"/>
      <c r="K976" s="52"/>
    </row>
    <row r="977" customFormat="false" ht="15.75" hidden="false" customHeight="false" outlineLevel="0" collapsed="false">
      <c r="B977" s="50"/>
      <c r="C977" s="51"/>
      <c r="D977" s="52"/>
      <c r="E977" s="52"/>
      <c r="F977" s="52"/>
      <c r="G977" s="51"/>
      <c r="H977" s="52"/>
      <c r="I977" s="52"/>
      <c r="J977" s="52"/>
      <c r="K977" s="52"/>
    </row>
    <row r="978" customFormat="false" ht="15.75" hidden="false" customHeight="false" outlineLevel="0" collapsed="false">
      <c r="B978" s="50"/>
      <c r="C978" s="51"/>
      <c r="D978" s="52"/>
      <c r="E978" s="52"/>
      <c r="F978" s="52"/>
      <c r="G978" s="51"/>
      <c r="H978" s="52"/>
      <c r="I978" s="52"/>
      <c r="J978" s="52"/>
      <c r="K978" s="52"/>
    </row>
    <row r="979" customFormat="false" ht="15.75" hidden="false" customHeight="false" outlineLevel="0" collapsed="false">
      <c r="B979" s="50"/>
      <c r="C979" s="51"/>
      <c r="D979" s="52"/>
      <c r="E979" s="52"/>
      <c r="F979" s="52"/>
      <c r="G979" s="51"/>
      <c r="H979" s="52"/>
      <c r="I979" s="52"/>
      <c r="J979" s="52"/>
      <c r="K979" s="52"/>
    </row>
    <row r="980" customFormat="false" ht="15.75" hidden="false" customHeight="false" outlineLevel="0" collapsed="false">
      <c r="B980" s="50"/>
      <c r="C980" s="51"/>
      <c r="D980" s="52"/>
      <c r="E980" s="52"/>
      <c r="F980" s="52"/>
      <c r="G980" s="51"/>
      <c r="H980" s="52"/>
      <c r="I980" s="52"/>
      <c r="J980" s="52"/>
      <c r="K980" s="52"/>
    </row>
    <row r="981" customFormat="false" ht="15.75" hidden="false" customHeight="false" outlineLevel="0" collapsed="false">
      <c r="B981" s="50"/>
      <c r="C981" s="51"/>
      <c r="D981" s="52"/>
      <c r="E981" s="52"/>
      <c r="F981" s="52"/>
      <c r="G981" s="51"/>
      <c r="H981" s="52"/>
      <c r="I981" s="52"/>
      <c r="J981" s="52"/>
      <c r="K981" s="52"/>
    </row>
    <row r="982" customFormat="false" ht="15.75" hidden="false" customHeight="false" outlineLevel="0" collapsed="false">
      <c r="B982" s="50"/>
      <c r="C982" s="51"/>
      <c r="D982" s="52"/>
      <c r="E982" s="52"/>
      <c r="F982" s="52"/>
      <c r="G982" s="51"/>
      <c r="H982" s="52"/>
      <c r="I982" s="52"/>
      <c r="J982" s="52"/>
      <c r="K982" s="52"/>
    </row>
    <row r="983" customFormat="false" ht="15.75" hidden="false" customHeight="false" outlineLevel="0" collapsed="false">
      <c r="B983" s="50"/>
      <c r="C983" s="51"/>
      <c r="D983" s="52"/>
      <c r="E983" s="52"/>
      <c r="F983" s="52"/>
      <c r="G983" s="51"/>
      <c r="H983" s="52"/>
      <c r="I983" s="52"/>
      <c r="J983" s="52"/>
      <c r="K983" s="52"/>
    </row>
    <row r="984" customFormat="false" ht="15.75" hidden="false" customHeight="false" outlineLevel="0" collapsed="false">
      <c r="B984" s="50"/>
      <c r="C984" s="51"/>
      <c r="D984" s="52"/>
      <c r="E984" s="52"/>
      <c r="F984" s="52"/>
      <c r="G984" s="51"/>
      <c r="H984" s="52"/>
      <c r="I984" s="52"/>
      <c r="J984" s="52"/>
      <c r="K984" s="52"/>
    </row>
    <row r="985" customFormat="false" ht="15.75" hidden="false" customHeight="false" outlineLevel="0" collapsed="false">
      <c r="B985" s="50"/>
      <c r="C985" s="51"/>
      <c r="D985" s="52"/>
      <c r="E985" s="52"/>
      <c r="F985" s="52"/>
      <c r="G985" s="51"/>
      <c r="H985" s="52"/>
      <c r="I985" s="52"/>
      <c r="J985" s="52"/>
      <c r="K985" s="52"/>
    </row>
    <row r="986" customFormat="false" ht="15.75" hidden="false" customHeight="false" outlineLevel="0" collapsed="false">
      <c r="B986" s="50"/>
      <c r="C986" s="51"/>
      <c r="D986" s="52"/>
      <c r="E986" s="52"/>
      <c r="F986" s="52"/>
      <c r="G986" s="51"/>
      <c r="H986" s="52"/>
      <c r="I986" s="52"/>
      <c r="J986" s="52"/>
      <c r="K986" s="52"/>
    </row>
    <row r="987" customFormat="false" ht="15.75" hidden="false" customHeight="false" outlineLevel="0" collapsed="false">
      <c r="B987" s="50"/>
      <c r="C987" s="51"/>
      <c r="D987" s="52"/>
      <c r="E987" s="52"/>
      <c r="F987" s="52"/>
      <c r="G987" s="51"/>
      <c r="H987" s="52"/>
      <c r="I987" s="52"/>
      <c r="J987" s="52"/>
      <c r="K987" s="52"/>
    </row>
    <row r="988" customFormat="false" ht="15.75" hidden="false" customHeight="false" outlineLevel="0" collapsed="false">
      <c r="B988" s="50"/>
      <c r="C988" s="51"/>
      <c r="D988" s="52"/>
      <c r="E988" s="52"/>
      <c r="F988" s="52"/>
      <c r="G988" s="51"/>
      <c r="H988" s="52"/>
      <c r="I988" s="52"/>
      <c r="J988" s="52"/>
      <c r="K988" s="52"/>
    </row>
    <row r="989" customFormat="false" ht="15.75" hidden="false" customHeight="false" outlineLevel="0" collapsed="false">
      <c r="B989" s="50"/>
      <c r="C989" s="51"/>
      <c r="D989" s="52"/>
      <c r="E989" s="52"/>
      <c r="F989" s="52"/>
      <c r="G989" s="51"/>
      <c r="H989" s="52"/>
      <c r="I989" s="52"/>
      <c r="J989" s="52"/>
      <c r="K989" s="52"/>
    </row>
    <row r="990" customFormat="false" ht="15.75" hidden="false" customHeight="false" outlineLevel="0" collapsed="false">
      <c r="B990" s="50"/>
      <c r="C990" s="51"/>
      <c r="D990" s="52"/>
      <c r="E990" s="52"/>
      <c r="F990" s="52"/>
      <c r="G990" s="51"/>
      <c r="H990" s="52"/>
      <c r="I990" s="52"/>
      <c r="J990" s="52"/>
      <c r="K990" s="52"/>
    </row>
    <row r="991" customFormat="false" ht="15.75" hidden="false" customHeight="false" outlineLevel="0" collapsed="false">
      <c r="B991" s="50"/>
      <c r="C991" s="51"/>
      <c r="D991" s="52"/>
      <c r="E991" s="52"/>
      <c r="F991" s="52"/>
      <c r="G991" s="51"/>
      <c r="H991" s="52"/>
      <c r="I991" s="52"/>
      <c r="J991" s="52"/>
      <c r="K991" s="52"/>
    </row>
    <row r="992" customFormat="false" ht="15.75" hidden="false" customHeight="false" outlineLevel="0" collapsed="false">
      <c r="B992" s="50"/>
      <c r="C992" s="51"/>
      <c r="D992" s="52"/>
      <c r="E992" s="52"/>
      <c r="F992" s="52"/>
      <c r="G992" s="51"/>
      <c r="H992" s="52"/>
      <c r="I992" s="52"/>
      <c r="J992" s="52"/>
      <c r="K992" s="52"/>
    </row>
    <row r="993" customFormat="false" ht="15.75" hidden="false" customHeight="false" outlineLevel="0" collapsed="false">
      <c r="B993" s="50"/>
      <c r="C993" s="51"/>
      <c r="D993" s="52"/>
      <c r="E993" s="52"/>
      <c r="F993" s="52"/>
      <c r="G993" s="51"/>
      <c r="H993" s="52"/>
      <c r="I993" s="52"/>
      <c r="J993" s="52"/>
      <c r="K993" s="52"/>
    </row>
    <row r="994" customFormat="false" ht="15.75" hidden="false" customHeight="false" outlineLevel="0" collapsed="false">
      <c r="B994" s="50"/>
      <c r="C994" s="51"/>
      <c r="D994" s="52"/>
      <c r="E994" s="52"/>
      <c r="F994" s="52"/>
      <c r="G994" s="51"/>
      <c r="H994" s="52"/>
      <c r="I994" s="52"/>
      <c r="J994" s="52"/>
      <c r="K994" s="52"/>
    </row>
    <row r="995" customFormat="false" ht="15.75" hidden="false" customHeight="false" outlineLevel="0" collapsed="false">
      <c r="B995" s="50"/>
      <c r="C995" s="51"/>
      <c r="D995" s="52"/>
      <c r="E995" s="52"/>
      <c r="F995" s="52"/>
      <c r="G995" s="51"/>
      <c r="H995" s="52"/>
      <c r="I995" s="52"/>
      <c r="J995" s="52"/>
      <c r="K995" s="52"/>
    </row>
    <row r="996" customFormat="false" ht="15.75" hidden="false" customHeight="false" outlineLevel="0" collapsed="false">
      <c r="B996" s="50"/>
      <c r="C996" s="51"/>
      <c r="D996" s="52"/>
      <c r="E996" s="52"/>
      <c r="F996" s="52"/>
      <c r="G996" s="51"/>
      <c r="H996" s="52"/>
      <c r="I996" s="52"/>
      <c r="J996" s="52"/>
      <c r="K996" s="52"/>
    </row>
    <row r="997" customFormat="false" ht="15.75" hidden="false" customHeight="false" outlineLevel="0" collapsed="false">
      <c r="B997" s="50"/>
      <c r="C997" s="51"/>
      <c r="D997" s="52"/>
      <c r="E997" s="52"/>
      <c r="F997" s="52"/>
      <c r="G997" s="51"/>
      <c r="H997" s="52"/>
      <c r="I997" s="52"/>
      <c r="J997" s="52"/>
      <c r="K997" s="52"/>
    </row>
    <row r="998" customFormat="false" ht="15.75" hidden="false" customHeight="false" outlineLevel="0" collapsed="false">
      <c r="B998" s="50"/>
      <c r="C998" s="51"/>
      <c r="D998" s="52"/>
      <c r="E998" s="52"/>
      <c r="F998" s="52"/>
      <c r="G998" s="51"/>
      <c r="H998" s="52"/>
      <c r="I998" s="52"/>
      <c r="J998" s="52"/>
      <c r="K998" s="52"/>
    </row>
    <row r="999" customFormat="false" ht="15.75" hidden="false" customHeight="false" outlineLevel="0" collapsed="false">
      <c r="B999" s="50"/>
      <c r="C999" s="51"/>
      <c r="D999" s="52"/>
      <c r="E999" s="52"/>
      <c r="F999" s="52"/>
      <c r="G999" s="51"/>
      <c r="H999" s="52"/>
      <c r="I999" s="52"/>
      <c r="J999" s="52"/>
      <c r="K999" s="52"/>
    </row>
    <row r="1000" customFormat="false" ht="15.75" hidden="false" customHeight="false" outlineLevel="0" collapsed="false">
      <c r="B1000" s="50"/>
      <c r="C1000" s="51"/>
      <c r="D1000" s="52"/>
      <c r="E1000" s="52"/>
      <c r="F1000" s="52"/>
      <c r="G1000" s="51"/>
      <c r="H1000" s="52"/>
      <c r="I1000" s="52"/>
      <c r="J1000" s="52"/>
      <c r="K1000" s="52"/>
    </row>
    <row r="1001" customFormat="false" ht="15.75" hidden="false" customHeight="false" outlineLevel="0" collapsed="false">
      <c r="B1001" s="50"/>
      <c r="C1001" s="51"/>
      <c r="D1001" s="52"/>
      <c r="E1001" s="52"/>
      <c r="F1001" s="52"/>
      <c r="G1001" s="51"/>
      <c r="H1001" s="52"/>
      <c r="I1001" s="52"/>
      <c r="J1001" s="52"/>
      <c r="K1001" s="52"/>
    </row>
    <row r="1002" customFormat="false" ht="15.75" hidden="false" customHeight="false" outlineLevel="0" collapsed="false">
      <c r="B1002" s="50"/>
      <c r="C1002" s="51"/>
      <c r="D1002" s="52"/>
      <c r="E1002" s="52"/>
      <c r="F1002" s="52"/>
      <c r="G1002" s="51"/>
      <c r="H1002" s="52"/>
      <c r="I1002" s="52"/>
      <c r="J1002" s="52"/>
      <c r="K1002" s="52"/>
    </row>
    <row r="1003" customFormat="false" ht="15.75" hidden="false" customHeight="false" outlineLevel="0" collapsed="false">
      <c r="B1003" s="50"/>
      <c r="C1003" s="51"/>
      <c r="D1003" s="52"/>
      <c r="E1003" s="52"/>
      <c r="F1003" s="52"/>
      <c r="G1003" s="51"/>
      <c r="H1003" s="52"/>
      <c r="I1003" s="52"/>
      <c r="J1003" s="52"/>
      <c r="K1003" s="52"/>
    </row>
    <row r="1004" customFormat="false" ht="15.75" hidden="false" customHeight="false" outlineLevel="0" collapsed="false">
      <c r="B1004" s="50"/>
      <c r="C1004" s="51"/>
      <c r="D1004" s="52"/>
      <c r="E1004" s="52"/>
      <c r="F1004" s="52"/>
      <c r="G1004" s="51"/>
      <c r="H1004" s="52"/>
      <c r="I1004" s="52"/>
      <c r="J1004" s="52"/>
      <c r="K1004" s="52"/>
    </row>
    <row r="1005" customFormat="false" ht="15.75" hidden="false" customHeight="false" outlineLevel="0" collapsed="false">
      <c r="B1005" s="50"/>
      <c r="C1005" s="51"/>
      <c r="D1005" s="52"/>
      <c r="E1005" s="52"/>
      <c r="F1005" s="52"/>
      <c r="G1005" s="51"/>
      <c r="H1005" s="52"/>
      <c r="I1005" s="52"/>
      <c r="J1005" s="52"/>
      <c r="K1005" s="52"/>
    </row>
    <row r="1006" customFormat="false" ht="15.75" hidden="false" customHeight="false" outlineLevel="0" collapsed="false">
      <c r="B1006" s="50"/>
      <c r="C1006" s="51"/>
      <c r="D1006" s="52"/>
      <c r="E1006" s="52"/>
      <c r="F1006" s="52"/>
      <c r="G1006" s="51"/>
      <c r="H1006" s="52"/>
      <c r="I1006" s="52"/>
      <c r="J1006" s="52"/>
      <c r="K1006" s="52"/>
    </row>
    <row r="1007" customFormat="false" ht="15.75" hidden="false" customHeight="false" outlineLevel="0" collapsed="false">
      <c r="B1007" s="50"/>
      <c r="C1007" s="51"/>
      <c r="D1007" s="52"/>
      <c r="E1007" s="52"/>
      <c r="F1007" s="52"/>
      <c r="G1007" s="51"/>
      <c r="H1007" s="52"/>
      <c r="I1007" s="52"/>
      <c r="J1007" s="52"/>
      <c r="K1007" s="52"/>
    </row>
    <row r="1008" customFormat="false" ht="15.75" hidden="false" customHeight="false" outlineLevel="0" collapsed="false">
      <c r="B1008" s="50"/>
      <c r="C1008" s="51"/>
      <c r="D1008" s="52"/>
      <c r="E1008" s="52"/>
      <c r="F1008" s="52"/>
      <c r="G1008" s="51"/>
      <c r="H1008" s="52"/>
      <c r="I1008" s="52"/>
      <c r="J1008" s="52"/>
      <c r="K1008" s="52"/>
    </row>
    <row r="1009" customFormat="false" ht="15.75" hidden="false" customHeight="false" outlineLevel="0" collapsed="false">
      <c r="B1009" s="50"/>
      <c r="C1009" s="51"/>
      <c r="D1009" s="52"/>
      <c r="E1009" s="52"/>
      <c r="F1009" s="52"/>
      <c r="G1009" s="51"/>
      <c r="H1009" s="52"/>
      <c r="I1009" s="52"/>
      <c r="J1009" s="52"/>
      <c r="K1009" s="52"/>
    </row>
    <row r="1010" customFormat="false" ht="15.75" hidden="false" customHeight="false" outlineLevel="0" collapsed="false">
      <c r="B1010" s="50"/>
      <c r="C1010" s="51"/>
      <c r="D1010" s="52"/>
      <c r="E1010" s="52"/>
      <c r="F1010" s="52"/>
      <c r="G1010" s="51"/>
      <c r="H1010" s="52"/>
      <c r="I1010" s="52"/>
      <c r="J1010" s="52"/>
      <c r="K1010" s="52"/>
    </row>
    <row r="1011" customFormat="false" ht="15.75" hidden="false" customHeight="false" outlineLevel="0" collapsed="false">
      <c r="B1011" s="50"/>
      <c r="C1011" s="51"/>
      <c r="D1011" s="52"/>
      <c r="E1011" s="52"/>
      <c r="F1011" s="52"/>
      <c r="G1011" s="51"/>
      <c r="H1011" s="52"/>
      <c r="I1011" s="52"/>
      <c r="J1011" s="52"/>
      <c r="K1011" s="52"/>
    </row>
    <row r="1012" customFormat="false" ht="15.75" hidden="false" customHeight="false" outlineLevel="0" collapsed="false">
      <c r="B1012" s="50"/>
      <c r="C1012" s="51"/>
      <c r="D1012" s="52"/>
      <c r="E1012" s="52"/>
      <c r="F1012" s="52"/>
      <c r="G1012" s="51"/>
      <c r="H1012" s="52"/>
      <c r="I1012" s="52"/>
      <c r="J1012" s="52"/>
      <c r="K1012" s="52"/>
    </row>
    <row r="1013" customFormat="false" ht="15.75" hidden="false" customHeight="false" outlineLevel="0" collapsed="false">
      <c r="B1013" s="50"/>
      <c r="C1013" s="51"/>
      <c r="D1013" s="52"/>
      <c r="E1013" s="52"/>
      <c r="F1013" s="52"/>
      <c r="G1013" s="51"/>
      <c r="H1013" s="52"/>
      <c r="I1013" s="52"/>
      <c r="J1013" s="52"/>
      <c r="K1013" s="52"/>
    </row>
    <row r="1014" customFormat="false" ht="15.75" hidden="false" customHeight="false" outlineLevel="0" collapsed="false">
      <c r="B1014" s="50"/>
      <c r="C1014" s="51"/>
      <c r="D1014" s="52"/>
      <c r="E1014" s="52"/>
      <c r="F1014" s="52"/>
      <c r="G1014" s="51"/>
      <c r="H1014" s="52"/>
      <c r="I1014" s="52"/>
      <c r="J1014" s="52"/>
      <c r="K1014" s="52"/>
    </row>
    <row r="1015" customFormat="false" ht="15.75" hidden="false" customHeight="false" outlineLevel="0" collapsed="false">
      <c r="B1015" s="50"/>
      <c r="C1015" s="51"/>
      <c r="D1015" s="52"/>
      <c r="E1015" s="52"/>
      <c r="F1015" s="52"/>
      <c r="G1015" s="51"/>
      <c r="H1015" s="52"/>
      <c r="I1015" s="52"/>
      <c r="J1015" s="52"/>
      <c r="K1015" s="52"/>
    </row>
    <row r="1016" customFormat="false" ht="15.75" hidden="false" customHeight="false" outlineLevel="0" collapsed="false">
      <c r="B1016" s="50"/>
      <c r="C1016" s="51"/>
      <c r="D1016" s="52"/>
      <c r="E1016" s="52"/>
      <c r="F1016" s="52"/>
      <c r="G1016" s="51"/>
      <c r="H1016" s="52"/>
      <c r="I1016" s="52"/>
      <c r="J1016" s="52"/>
      <c r="K1016" s="52"/>
    </row>
    <row r="1017" customFormat="false" ht="15.75" hidden="false" customHeight="false" outlineLevel="0" collapsed="false">
      <c r="B1017" s="50"/>
      <c r="C1017" s="51"/>
      <c r="D1017" s="52"/>
      <c r="E1017" s="52"/>
      <c r="F1017" s="52"/>
      <c r="G1017" s="51"/>
      <c r="H1017" s="52"/>
      <c r="I1017" s="52"/>
      <c r="J1017" s="52"/>
      <c r="K1017" s="52"/>
    </row>
    <row r="1018" customFormat="false" ht="15.75" hidden="false" customHeight="false" outlineLevel="0" collapsed="false">
      <c r="B1018" s="50"/>
      <c r="C1018" s="51"/>
      <c r="D1018" s="52"/>
      <c r="E1018" s="52"/>
      <c r="F1018" s="52"/>
      <c r="G1018" s="51"/>
      <c r="H1018" s="52"/>
      <c r="I1018" s="52"/>
      <c r="J1018" s="52"/>
      <c r="K1018" s="52"/>
    </row>
    <row r="1019" customFormat="false" ht="15.75" hidden="false" customHeight="false" outlineLevel="0" collapsed="false">
      <c r="B1019" s="50"/>
      <c r="C1019" s="51"/>
      <c r="D1019" s="52"/>
      <c r="E1019" s="52"/>
      <c r="F1019" s="52"/>
      <c r="G1019" s="51"/>
      <c r="H1019" s="52"/>
      <c r="I1019" s="52"/>
      <c r="J1019" s="52"/>
      <c r="K1019" s="52"/>
    </row>
    <row r="1020" customFormat="false" ht="15.75" hidden="false" customHeight="false" outlineLevel="0" collapsed="false">
      <c r="B1020" s="50"/>
      <c r="C1020" s="51"/>
      <c r="D1020" s="52"/>
      <c r="E1020" s="52"/>
      <c r="F1020" s="52"/>
      <c r="G1020" s="51"/>
      <c r="H1020" s="52"/>
      <c r="I1020" s="52"/>
      <c r="J1020" s="52"/>
      <c r="K1020" s="52"/>
    </row>
    <row r="1021" customFormat="false" ht="15.75" hidden="false" customHeight="false" outlineLevel="0" collapsed="false">
      <c r="B1021" s="50"/>
      <c r="C1021" s="51"/>
      <c r="D1021" s="52"/>
      <c r="E1021" s="52"/>
      <c r="F1021" s="52"/>
      <c r="G1021" s="51"/>
      <c r="H1021" s="52"/>
      <c r="I1021" s="52"/>
      <c r="J1021" s="52"/>
      <c r="K1021" s="52"/>
    </row>
    <row r="1022" customFormat="false" ht="15.75" hidden="false" customHeight="false" outlineLevel="0" collapsed="false">
      <c r="B1022" s="50"/>
      <c r="C1022" s="51"/>
      <c r="D1022" s="52"/>
      <c r="E1022" s="52"/>
      <c r="F1022" s="52"/>
      <c r="G1022" s="51"/>
      <c r="H1022" s="52"/>
      <c r="I1022" s="52"/>
      <c r="J1022" s="52"/>
      <c r="K1022" s="52"/>
    </row>
    <row r="1023" customFormat="false" ht="15.75" hidden="false" customHeight="false" outlineLevel="0" collapsed="false">
      <c r="B1023" s="50"/>
      <c r="C1023" s="51"/>
      <c r="D1023" s="52"/>
      <c r="E1023" s="52"/>
      <c r="F1023" s="52"/>
      <c r="G1023" s="51"/>
      <c r="H1023" s="52"/>
      <c r="I1023" s="52"/>
      <c r="J1023" s="52"/>
      <c r="K1023" s="52"/>
    </row>
    <row r="1024" customFormat="false" ht="15.75" hidden="false" customHeight="false" outlineLevel="0" collapsed="false">
      <c r="B1024" s="50"/>
      <c r="C1024" s="51"/>
      <c r="D1024" s="52"/>
      <c r="E1024" s="52"/>
      <c r="F1024" s="52"/>
      <c r="G1024" s="51"/>
      <c r="H1024" s="52"/>
      <c r="I1024" s="52"/>
      <c r="J1024" s="52"/>
      <c r="K1024" s="52"/>
    </row>
    <row r="1025" customFormat="false" ht="15.75" hidden="false" customHeight="false" outlineLevel="0" collapsed="false">
      <c r="B1025" s="50"/>
      <c r="C1025" s="51"/>
      <c r="D1025" s="52"/>
      <c r="E1025" s="52"/>
      <c r="F1025" s="52"/>
      <c r="G1025" s="51"/>
      <c r="H1025" s="52"/>
      <c r="I1025" s="52"/>
      <c r="J1025" s="52"/>
      <c r="K1025" s="52"/>
    </row>
    <row r="1026" customFormat="false" ht="15.75" hidden="false" customHeight="false" outlineLevel="0" collapsed="false">
      <c r="B1026" s="50"/>
      <c r="C1026" s="51"/>
      <c r="D1026" s="52"/>
      <c r="E1026" s="52"/>
      <c r="F1026" s="52"/>
      <c r="G1026" s="51"/>
      <c r="H1026" s="52"/>
      <c r="I1026" s="52"/>
      <c r="J1026" s="52"/>
      <c r="K1026" s="52"/>
    </row>
    <row r="1027" customFormat="false" ht="15.75" hidden="false" customHeight="false" outlineLevel="0" collapsed="false">
      <c r="B1027" s="50"/>
      <c r="C1027" s="51"/>
      <c r="D1027" s="52"/>
      <c r="E1027" s="52"/>
      <c r="F1027" s="52"/>
      <c r="G1027" s="51"/>
      <c r="H1027" s="52"/>
      <c r="I1027" s="52"/>
      <c r="J1027" s="52"/>
      <c r="K1027" s="52"/>
    </row>
    <row r="1028" customFormat="false" ht="15.75" hidden="false" customHeight="false" outlineLevel="0" collapsed="false">
      <c r="B1028" s="50"/>
      <c r="C1028" s="51"/>
      <c r="D1028" s="52"/>
      <c r="E1028" s="52"/>
      <c r="F1028" s="52"/>
      <c r="G1028" s="51"/>
      <c r="H1028" s="52"/>
      <c r="I1028" s="52"/>
      <c r="J1028" s="52"/>
      <c r="K1028" s="52"/>
    </row>
    <row r="1029" customFormat="false" ht="15.75" hidden="false" customHeight="false" outlineLevel="0" collapsed="false">
      <c r="B1029" s="50"/>
      <c r="C1029" s="51"/>
      <c r="D1029" s="52"/>
      <c r="E1029" s="52"/>
      <c r="F1029" s="52"/>
      <c r="G1029" s="51"/>
      <c r="H1029" s="52"/>
      <c r="I1029" s="52"/>
      <c r="J1029" s="52"/>
      <c r="K1029" s="52"/>
    </row>
    <row r="1030" customFormat="false" ht="15.75" hidden="false" customHeight="false" outlineLevel="0" collapsed="false">
      <c r="B1030" s="50"/>
      <c r="C1030" s="51"/>
      <c r="D1030" s="52"/>
      <c r="E1030" s="52"/>
      <c r="F1030" s="52"/>
      <c r="G1030" s="51"/>
      <c r="H1030" s="52"/>
      <c r="I1030" s="52"/>
      <c r="J1030" s="52"/>
      <c r="K1030" s="52"/>
    </row>
    <row r="1031" customFormat="false" ht="15.75" hidden="false" customHeight="false" outlineLevel="0" collapsed="false">
      <c r="B1031" s="50"/>
      <c r="C1031" s="51"/>
      <c r="D1031" s="52"/>
      <c r="E1031" s="52"/>
      <c r="F1031" s="52"/>
      <c r="G1031" s="51"/>
      <c r="H1031" s="52"/>
      <c r="I1031" s="52"/>
      <c r="J1031" s="52"/>
      <c r="K1031" s="52"/>
    </row>
    <row r="1032" customFormat="false" ht="15.75" hidden="false" customHeight="false" outlineLevel="0" collapsed="false">
      <c r="B1032" s="50"/>
      <c r="C1032" s="51"/>
      <c r="D1032" s="52"/>
      <c r="E1032" s="52"/>
      <c r="F1032" s="52"/>
      <c r="G1032" s="51"/>
      <c r="H1032" s="52"/>
      <c r="I1032" s="52"/>
      <c r="J1032" s="52"/>
      <c r="K1032" s="52"/>
    </row>
    <row r="1033" customFormat="false" ht="15.75" hidden="false" customHeight="false" outlineLevel="0" collapsed="false">
      <c r="B1033" s="50"/>
      <c r="C1033" s="51"/>
      <c r="D1033" s="52"/>
      <c r="E1033" s="52"/>
      <c r="F1033" s="52"/>
      <c r="G1033" s="51"/>
      <c r="H1033" s="52"/>
      <c r="I1033" s="52"/>
      <c r="J1033" s="52"/>
      <c r="K1033" s="52"/>
    </row>
    <row r="1034" customFormat="false" ht="15.75" hidden="false" customHeight="false" outlineLevel="0" collapsed="false">
      <c r="B1034" s="50"/>
      <c r="C1034" s="51"/>
      <c r="D1034" s="52"/>
      <c r="E1034" s="52"/>
      <c r="F1034" s="52"/>
      <c r="G1034" s="51"/>
      <c r="H1034" s="52"/>
      <c r="I1034" s="52"/>
      <c r="J1034" s="52"/>
      <c r="K1034" s="52"/>
    </row>
    <row r="1035" customFormat="false" ht="15.75" hidden="false" customHeight="false" outlineLevel="0" collapsed="false">
      <c r="B1035" s="50"/>
      <c r="C1035" s="51"/>
      <c r="D1035" s="52"/>
      <c r="E1035" s="52"/>
      <c r="F1035" s="52"/>
      <c r="G1035" s="51"/>
      <c r="H1035" s="52"/>
      <c r="I1035" s="52"/>
      <c r="J1035" s="52"/>
      <c r="K1035" s="52"/>
    </row>
    <row r="1036" customFormat="false" ht="15.75" hidden="false" customHeight="false" outlineLevel="0" collapsed="false">
      <c r="B1036" s="50"/>
      <c r="C1036" s="51"/>
      <c r="D1036" s="52"/>
      <c r="E1036" s="52"/>
      <c r="F1036" s="52"/>
      <c r="G1036" s="51"/>
      <c r="H1036" s="52"/>
      <c r="I1036" s="52"/>
      <c r="J1036" s="52"/>
      <c r="K1036" s="52"/>
    </row>
    <row r="1037" customFormat="false" ht="15.75" hidden="false" customHeight="false" outlineLevel="0" collapsed="false">
      <c r="B1037" s="50"/>
      <c r="C1037" s="51"/>
      <c r="D1037" s="52"/>
      <c r="E1037" s="52"/>
      <c r="F1037" s="52"/>
      <c r="G1037" s="51"/>
      <c r="H1037" s="52"/>
      <c r="I1037" s="52"/>
      <c r="J1037" s="52"/>
      <c r="K1037" s="52"/>
    </row>
    <row r="1038" customFormat="false" ht="15.75" hidden="false" customHeight="false" outlineLevel="0" collapsed="false">
      <c r="B1038" s="50"/>
      <c r="C1038" s="51"/>
      <c r="D1038" s="52"/>
      <c r="E1038" s="52"/>
      <c r="F1038" s="52"/>
      <c r="G1038" s="51"/>
      <c r="H1038" s="52"/>
      <c r="I1038" s="52"/>
      <c r="J1038" s="52"/>
      <c r="K1038" s="52"/>
    </row>
    <row r="1039" customFormat="false" ht="15.75" hidden="false" customHeight="false" outlineLevel="0" collapsed="false">
      <c r="B1039" s="50"/>
      <c r="C1039" s="51"/>
      <c r="D1039" s="52"/>
      <c r="E1039" s="52"/>
      <c r="F1039" s="52"/>
      <c r="G1039" s="51"/>
      <c r="H1039" s="52"/>
      <c r="I1039" s="52"/>
      <c r="J1039" s="52"/>
      <c r="K1039" s="52"/>
    </row>
    <row r="1040" customFormat="false" ht="15.75" hidden="false" customHeight="false" outlineLevel="0" collapsed="false">
      <c r="B1040" s="50"/>
      <c r="C1040" s="51"/>
      <c r="D1040" s="52"/>
      <c r="E1040" s="52"/>
      <c r="F1040" s="52"/>
      <c r="G1040" s="51"/>
      <c r="H1040" s="52"/>
      <c r="I1040" s="52"/>
      <c r="J1040" s="52"/>
      <c r="K1040" s="52"/>
    </row>
    <row r="1041" customFormat="false" ht="15.75" hidden="false" customHeight="false" outlineLevel="0" collapsed="false">
      <c r="B1041" s="50"/>
      <c r="C1041" s="51"/>
      <c r="D1041" s="52"/>
      <c r="E1041" s="52"/>
      <c r="F1041" s="52"/>
      <c r="G1041" s="51"/>
      <c r="H1041" s="52"/>
      <c r="I1041" s="52"/>
      <c r="J1041" s="52"/>
      <c r="K1041" s="52"/>
    </row>
    <row r="1042" customFormat="false" ht="15.75" hidden="false" customHeight="false" outlineLevel="0" collapsed="false">
      <c r="B1042" s="50"/>
      <c r="C1042" s="51"/>
      <c r="D1042" s="52"/>
      <c r="E1042" s="52"/>
      <c r="F1042" s="52"/>
      <c r="G1042" s="51"/>
      <c r="H1042" s="52"/>
      <c r="I1042" s="52"/>
      <c r="J1042" s="52"/>
      <c r="K1042" s="52"/>
    </row>
    <row r="1043" customFormat="false" ht="15.75" hidden="false" customHeight="false" outlineLevel="0" collapsed="false">
      <c r="B1043" s="50"/>
      <c r="C1043" s="51"/>
      <c r="D1043" s="52"/>
      <c r="E1043" s="52"/>
      <c r="F1043" s="52"/>
      <c r="G1043" s="51"/>
      <c r="H1043" s="52"/>
      <c r="I1043" s="52"/>
      <c r="J1043" s="52"/>
      <c r="K1043" s="52"/>
    </row>
    <row r="1044" customFormat="false" ht="15.75" hidden="false" customHeight="false" outlineLevel="0" collapsed="false">
      <c r="B1044" s="50"/>
      <c r="C1044" s="51"/>
      <c r="D1044" s="52"/>
      <c r="E1044" s="52"/>
      <c r="F1044" s="52"/>
      <c r="G1044" s="51"/>
      <c r="H1044" s="52"/>
      <c r="I1044" s="52"/>
      <c r="J1044" s="52"/>
      <c r="K1044" s="52"/>
    </row>
    <row r="1045" customFormat="false" ht="15.75" hidden="false" customHeight="false" outlineLevel="0" collapsed="false">
      <c r="B1045" s="50"/>
      <c r="C1045" s="51"/>
      <c r="D1045" s="52"/>
      <c r="E1045" s="52"/>
      <c r="F1045" s="52"/>
      <c r="G1045" s="51"/>
      <c r="H1045" s="52"/>
      <c r="I1045" s="52"/>
      <c r="J1045" s="52"/>
      <c r="K1045" s="52"/>
    </row>
    <row r="1046" customFormat="false" ht="15.75" hidden="false" customHeight="false" outlineLevel="0" collapsed="false">
      <c r="B1046" s="50"/>
      <c r="C1046" s="51"/>
      <c r="D1046" s="52"/>
      <c r="E1046" s="52"/>
      <c r="F1046" s="52"/>
      <c r="G1046" s="51"/>
      <c r="H1046" s="52"/>
      <c r="I1046" s="52"/>
      <c r="J1046" s="52"/>
      <c r="K1046" s="52"/>
    </row>
    <row r="1047" customFormat="false" ht="15.75" hidden="false" customHeight="false" outlineLevel="0" collapsed="false">
      <c r="B1047" s="50"/>
      <c r="C1047" s="51"/>
      <c r="D1047" s="52"/>
      <c r="E1047" s="52"/>
      <c r="F1047" s="52"/>
      <c r="G1047" s="51"/>
      <c r="H1047" s="52"/>
      <c r="I1047" s="52"/>
      <c r="J1047" s="52"/>
      <c r="K1047" s="52"/>
    </row>
    <row r="1048" customFormat="false" ht="15.75" hidden="false" customHeight="false" outlineLevel="0" collapsed="false">
      <c r="B1048" s="50"/>
      <c r="C1048" s="51"/>
      <c r="D1048" s="52"/>
      <c r="E1048" s="52"/>
      <c r="F1048" s="52"/>
      <c r="G1048" s="51"/>
      <c r="H1048" s="52"/>
      <c r="I1048" s="52"/>
      <c r="J1048" s="52"/>
      <c r="K1048" s="52"/>
    </row>
    <row r="1049" customFormat="false" ht="15.75" hidden="false" customHeight="false" outlineLevel="0" collapsed="false">
      <c r="B1049" s="50"/>
      <c r="C1049" s="51"/>
      <c r="D1049" s="52"/>
      <c r="E1049" s="52"/>
      <c r="F1049" s="52"/>
      <c r="G1049" s="51"/>
      <c r="H1049" s="52"/>
      <c r="I1049" s="52"/>
      <c r="J1049" s="52"/>
      <c r="K1049" s="52"/>
    </row>
    <row r="1050" customFormat="false" ht="15.75" hidden="false" customHeight="false" outlineLevel="0" collapsed="false">
      <c r="B1050" s="50"/>
      <c r="C1050" s="51"/>
      <c r="D1050" s="52"/>
      <c r="E1050" s="52"/>
      <c r="F1050" s="52"/>
      <c r="G1050" s="51"/>
      <c r="H1050" s="52"/>
      <c r="I1050" s="52"/>
      <c r="J1050" s="52"/>
      <c r="K1050" s="52"/>
    </row>
    <row r="1051" customFormat="false" ht="15.75" hidden="false" customHeight="false" outlineLevel="0" collapsed="false">
      <c r="B1051" s="50"/>
      <c r="C1051" s="51"/>
      <c r="D1051" s="52"/>
      <c r="E1051" s="52"/>
      <c r="F1051" s="52"/>
      <c r="G1051" s="51"/>
      <c r="H1051" s="52"/>
      <c r="I1051" s="52"/>
      <c r="J1051" s="52"/>
      <c r="K1051" s="52"/>
    </row>
    <row r="1052" customFormat="false" ht="15.75" hidden="false" customHeight="false" outlineLevel="0" collapsed="false">
      <c r="B1052" s="50"/>
      <c r="C1052" s="51"/>
      <c r="D1052" s="52"/>
      <c r="E1052" s="52"/>
      <c r="F1052" s="52"/>
      <c r="G1052" s="51"/>
      <c r="H1052" s="52"/>
      <c r="I1052" s="52"/>
      <c r="J1052" s="52"/>
      <c r="K1052" s="52"/>
    </row>
    <row r="1053" customFormat="false" ht="15.75" hidden="false" customHeight="false" outlineLevel="0" collapsed="false">
      <c r="B1053" s="50"/>
      <c r="C1053" s="51"/>
      <c r="D1053" s="52"/>
      <c r="E1053" s="52"/>
      <c r="F1053" s="52"/>
      <c r="G1053" s="51"/>
      <c r="H1053" s="52"/>
      <c r="I1053" s="52"/>
      <c r="J1053" s="52"/>
      <c r="K1053" s="52"/>
    </row>
    <row r="1054" customFormat="false" ht="15.75" hidden="false" customHeight="false" outlineLevel="0" collapsed="false">
      <c r="B1054" s="50"/>
      <c r="C1054" s="51"/>
      <c r="D1054" s="52"/>
      <c r="E1054" s="52"/>
      <c r="F1054" s="52"/>
      <c r="G1054" s="51"/>
      <c r="H1054" s="52"/>
      <c r="I1054" s="52"/>
      <c r="J1054" s="52"/>
      <c r="K1054" s="52"/>
    </row>
    <row r="1055" customFormat="false" ht="15.75" hidden="false" customHeight="false" outlineLevel="0" collapsed="false">
      <c r="B1055" s="50"/>
      <c r="C1055" s="51"/>
      <c r="D1055" s="52"/>
      <c r="E1055" s="52"/>
      <c r="F1055" s="52"/>
      <c r="G1055" s="51"/>
      <c r="H1055" s="52"/>
      <c r="I1055" s="52"/>
      <c r="J1055" s="52"/>
      <c r="K1055" s="52"/>
    </row>
    <row r="1056" customFormat="false" ht="15.75" hidden="false" customHeight="false" outlineLevel="0" collapsed="false">
      <c r="B1056" s="50"/>
      <c r="C1056" s="51"/>
      <c r="D1056" s="52"/>
      <c r="E1056" s="52"/>
      <c r="F1056" s="52"/>
      <c r="G1056" s="51"/>
      <c r="H1056" s="52"/>
      <c r="I1056" s="52"/>
      <c r="J1056" s="52"/>
      <c r="K1056" s="52"/>
    </row>
    <row r="1057" customFormat="false" ht="15.75" hidden="false" customHeight="false" outlineLevel="0" collapsed="false">
      <c r="B1057" s="50"/>
      <c r="C1057" s="51"/>
      <c r="D1057" s="52"/>
      <c r="E1057" s="52"/>
      <c r="F1057" s="52"/>
      <c r="G1057" s="51"/>
      <c r="H1057" s="52"/>
      <c r="I1057" s="52"/>
      <c r="J1057" s="52"/>
      <c r="K1057" s="52"/>
    </row>
    <row r="1058" customFormat="false" ht="15.75" hidden="false" customHeight="false" outlineLevel="0" collapsed="false">
      <c r="B1058" s="50"/>
      <c r="C1058" s="51"/>
      <c r="D1058" s="52"/>
      <c r="E1058" s="52"/>
      <c r="F1058" s="52"/>
      <c r="G1058" s="51"/>
      <c r="H1058" s="52"/>
      <c r="I1058" s="52"/>
      <c r="J1058" s="52"/>
      <c r="K1058" s="52"/>
    </row>
    <row r="1059" customFormat="false" ht="15.75" hidden="false" customHeight="false" outlineLevel="0" collapsed="false">
      <c r="B1059" s="50"/>
      <c r="C1059" s="51"/>
      <c r="D1059" s="52"/>
      <c r="E1059" s="52"/>
      <c r="F1059" s="52"/>
      <c r="G1059" s="51"/>
      <c r="H1059" s="52"/>
      <c r="I1059" s="52"/>
      <c r="J1059" s="52"/>
      <c r="K1059" s="52"/>
    </row>
    <row r="1060" customFormat="false" ht="15.75" hidden="false" customHeight="false" outlineLevel="0" collapsed="false">
      <c r="B1060" s="50"/>
      <c r="C1060" s="51"/>
      <c r="D1060" s="52"/>
      <c r="E1060" s="52"/>
      <c r="F1060" s="52"/>
      <c r="G1060" s="51"/>
      <c r="H1060" s="52"/>
      <c r="I1060" s="52"/>
      <c r="J1060" s="52"/>
      <c r="K1060" s="52"/>
    </row>
    <row r="1061" customFormat="false" ht="15.75" hidden="false" customHeight="false" outlineLevel="0" collapsed="false">
      <c r="B1061" s="50"/>
      <c r="C1061" s="51"/>
      <c r="D1061" s="52"/>
      <c r="E1061" s="52"/>
      <c r="F1061" s="52"/>
      <c r="G1061" s="51"/>
      <c r="H1061" s="52"/>
      <c r="I1061" s="52"/>
      <c r="J1061" s="52"/>
      <c r="K1061" s="52"/>
    </row>
    <row r="1062" customFormat="false" ht="15.75" hidden="false" customHeight="false" outlineLevel="0" collapsed="false">
      <c r="B1062" s="50"/>
      <c r="C1062" s="51"/>
      <c r="D1062" s="52"/>
      <c r="E1062" s="52"/>
      <c r="F1062" s="52"/>
      <c r="G1062" s="51"/>
      <c r="H1062" s="52"/>
      <c r="I1062" s="52"/>
      <c r="J1062" s="52"/>
      <c r="K1062" s="52"/>
    </row>
    <row r="1063" customFormat="false" ht="15.75" hidden="false" customHeight="false" outlineLevel="0" collapsed="false">
      <c r="B1063" s="50"/>
      <c r="C1063" s="51"/>
      <c r="D1063" s="52"/>
      <c r="E1063" s="52"/>
      <c r="F1063" s="52"/>
      <c r="G1063" s="51"/>
      <c r="H1063" s="52"/>
      <c r="I1063" s="52"/>
      <c r="J1063" s="52"/>
      <c r="K1063" s="52"/>
    </row>
    <row r="1064" customFormat="false" ht="15.75" hidden="false" customHeight="false" outlineLevel="0" collapsed="false">
      <c r="B1064" s="50"/>
      <c r="C1064" s="51"/>
      <c r="D1064" s="52"/>
      <c r="E1064" s="52"/>
      <c r="F1064" s="52"/>
      <c r="G1064" s="51"/>
      <c r="H1064" s="52"/>
      <c r="I1064" s="52"/>
      <c r="J1064" s="52"/>
      <c r="K1064" s="52"/>
    </row>
  </sheetData>
  <mergeCells count="1">
    <mergeCell ref="B1:K1"/>
  </mergeCells>
  <dataValidations count="3">
    <dataValidation allowBlank="true" errorStyle="stop" operator="between" showDropDown="true" showErrorMessage="false" showInputMessage="false" sqref="E3:E124" type="none">
      <formula1>0</formula1>
      <formula2>0</formula2>
    </dataValidation>
    <dataValidation allowBlank="true" errorStyle="stop" operator="between" showDropDown="true" showErrorMessage="false" showInputMessage="false" sqref="B3:B124" type="custom">
      <formula1>OR(NOT(ISERROR(DATEVALUE(#ref!))), AND(ISNUMBER(#ref!), LEFT(CELL("format", #ref!))="D"))</formula1>
      <formula2>0</formula2>
    </dataValidation>
    <dataValidation allowBlank="true" errorStyle="stop" operator="between" showDropDown="true" showErrorMessage="false" showInputMessage="false" sqref="D3:D124 F3:F124 H3:K124" type="custom">
      <formula1>AND(ISNUMBER(#ref!),(NOT(OR(NOT(ISERROR(DATEVALUE(#ref!))), AND(ISNUMBER(#ref!), LEFT(CELL("format", #ref!))="D")))))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0" width="23.97"/>
    <col collapsed="false" customWidth="true" hidden="false" outlineLevel="0" max="2" min="2" style="30" width="16.74"/>
    <col collapsed="false" customWidth="true" hidden="false" outlineLevel="0" max="4" min="4" style="30" width="15.49"/>
  </cols>
  <sheetData>
    <row r="1" customFormat="false" ht="13.8" hidden="false" customHeight="false" outlineLevel="0" collapsed="false">
      <c r="A1" s="53" t="s">
        <v>185</v>
      </c>
      <c r="B1" s="54" t="s">
        <v>186</v>
      </c>
      <c r="C1" s="55" t="s">
        <v>1</v>
      </c>
      <c r="D1" s="56" t="s">
        <v>175</v>
      </c>
    </row>
    <row r="2" customFormat="false" ht="13.8" hidden="false" customHeight="false" outlineLevel="0" collapsed="false">
      <c r="A2" s="47" t="s">
        <v>187</v>
      </c>
      <c r="B2" s="48" t="n">
        <v>225</v>
      </c>
      <c r="C2" s="57" t="n">
        <v>45463</v>
      </c>
      <c r="D2" s="47" t="str">
        <f aca="false">PROPER(TEXT((WEEKDAY(C2)),"dddd"))</f>
        <v>Quinta-Feira</v>
      </c>
    </row>
    <row r="3" customFormat="false" ht="13.8" hidden="false" customHeight="false" outlineLevel="0" collapsed="false">
      <c r="A3" s="47" t="s">
        <v>188</v>
      </c>
      <c r="B3" s="48" t="n">
        <f aca="false">60+160</f>
        <v>220</v>
      </c>
      <c r="C3" s="57" t="n">
        <v>45535</v>
      </c>
      <c r="D3" s="47" t="str">
        <f aca="false">PROPER(TEXT((WEEKDAY(C3)),"dddd"))</f>
        <v>Sábado</v>
      </c>
    </row>
    <row r="4" customFormat="false" ht="13.8" hidden="false" customHeight="false" outlineLevel="0" collapsed="false">
      <c r="A4" s="31" t="s">
        <v>189</v>
      </c>
      <c r="B4" s="45" t="n">
        <v>80</v>
      </c>
      <c r="C4" s="57" t="n">
        <v>45463</v>
      </c>
      <c r="D4" s="47" t="str">
        <f aca="false">PROPER(TEXT((WEEKDAY(C4)),"dddd"))</f>
        <v>Quinta-Feira</v>
      </c>
    </row>
    <row r="5" customFormat="false" ht="13.8" hidden="false" customHeight="false" outlineLevel="0" collapsed="false">
      <c r="A5" s="31" t="s">
        <v>190</v>
      </c>
      <c r="B5" s="45" t="n">
        <v>99</v>
      </c>
      <c r="C5" s="58"/>
      <c r="D5" s="31"/>
    </row>
    <row r="6" customFormat="false" ht="13.8" hidden="false" customHeight="false" outlineLevel="0" collapsed="false">
      <c r="A6" s="31" t="s">
        <v>191</v>
      </c>
      <c r="B6" s="45" t="n">
        <v>1600</v>
      </c>
      <c r="C6" s="58"/>
      <c r="D6" s="31"/>
    </row>
    <row r="7" customFormat="false" ht="13.8" hidden="false" customHeight="false" outlineLevel="0" collapsed="false">
      <c r="A7" s="31" t="s">
        <v>192</v>
      </c>
      <c r="B7" s="45" t="n">
        <v>70</v>
      </c>
      <c r="C7" s="57" t="n">
        <v>45535</v>
      </c>
      <c r="D7" s="47" t="str">
        <f aca="false">PROPER(TEXT((WEEKDAY(C7)),"dddd"))</f>
        <v>Sábado</v>
      </c>
    </row>
    <row r="8" customFormat="false" ht="13.8" hidden="false" customHeight="false" outlineLevel="0" collapsed="false">
      <c r="A8" s="31" t="s">
        <v>193</v>
      </c>
      <c r="B8" s="45" t="n">
        <v>175</v>
      </c>
      <c r="C8" s="58"/>
      <c r="D8" s="31"/>
    </row>
    <row r="9" customFormat="false" ht="13.8" hidden="false" customHeight="false" outlineLevel="0" collapsed="false">
      <c r="A9" s="31" t="s">
        <v>194</v>
      </c>
      <c r="B9" s="45" t="n">
        <v>370</v>
      </c>
      <c r="C9" s="58"/>
      <c r="D9" s="31"/>
    </row>
    <row r="10" customFormat="false" ht="13.8" hidden="false" customHeight="false" outlineLevel="0" collapsed="false">
      <c r="A10" s="31" t="s">
        <v>195</v>
      </c>
      <c r="B10" s="45" t="n">
        <v>400</v>
      </c>
      <c r="C10" s="58"/>
      <c r="D10" s="31"/>
    </row>
    <row r="11" customFormat="false" ht="13.8" hidden="false" customHeight="false" outlineLevel="0" collapsed="false">
      <c r="A11" s="31" t="s">
        <v>196</v>
      </c>
      <c r="B11" s="45" t="n">
        <v>200</v>
      </c>
      <c r="C11" s="58"/>
      <c r="D11" s="31"/>
    </row>
  </sheetData>
  <dataValidations count="2">
    <dataValidation allowBlank="true" errorStyle="stop" operator="between" showDropDown="true" showErrorMessage="false" showInputMessage="false" sqref="C2:C4 C7" type="custom">
      <formula1>OR(NOT(ISERROR(DATEVALUE(#ref!))), AND(ISNUMBER(#ref!), LEFT(CELL("format", #ref!))="D"))</formula1>
      <formula2>0</formula2>
    </dataValidation>
    <dataValidation allowBlank="true" errorStyle="stop" operator="between" showDropDown="true" showErrorMessage="false" showInputMessage="false" sqref="B2:B3" type="custom">
      <formula1>AND(ISNUMBER(#ref!),(NOT(OR(NOT(ISERROR(DATEVALUE(#ref!))), AND(ISNUMBER(#ref!), LEFT(CELL("format", #ref!))="D")))))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5529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2025-10-13T08:41:50Z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