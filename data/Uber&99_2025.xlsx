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771D5A09-9CB3-4C2A-B2D8-1B51789AAFB4}" xr6:coauthVersionLast="36" xr6:coauthVersionMax="36" xr10:uidLastSave="{00000000-0000-0000-0000-000000000000}"/>
  <bookViews>
    <workbookView xWindow="0" yWindow="0" windowWidth="21600" windowHeight="9525" xr2:uid="{040551EE-EA37-4237-813B-3533D35435C9}"/>
  </bookViews>
  <sheets>
    <sheet name="Corridas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</sheets>
  <definedNames>
    <definedName name="_xlnm._FilterDatabase" localSheetId="0" hidden="1">Corridas!$A$1:$K$1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1" i="3" l="1"/>
  <c r="M141" i="3" s="1"/>
  <c r="C141" i="1"/>
  <c r="L140" i="3"/>
  <c r="M140" i="3" s="1"/>
  <c r="C140" i="1"/>
  <c r="L139" i="3"/>
  <c r="M139" i="3"/>
  <c r="C139" i="1"/>
  <c r="L138" i="3"/>
  <c r="M138" i="3" s="1"/>
  <c r="C138" i="1"/>
  <c r="L137" i="3"/>
  <c r="M137" i="3" s="1"/>
  <c r="C137" i="1"/>
  <c r="L136" i="3"/>
  <c r="M136" i="3" s="1"/>
  <c r="C136" i="1"/>
  <c r="L135" i="3"/>
  <c r="M135" i="3" s="1"/>
  <c r="C135" i="1"/>
  <c r="L134" i="3"/>
  <c r="M134" i="3"/>
  <c r="C134" i="1"/>
  <c r="L133" i="3"/>
  <c r="M133" i="3"/>
  <c r="C133" i="1"/>
  <c r="L132" i="3"/>
  <c r="M132" i="3" s="1"/>
  <c r="C132" i="1"/>
  <c r="L131" i="3"/>
  <c r="M131" i="3" s="1"/>
  <c r="C131" i="1"/>
  <c r="L130" i="3"/>
  <c r="M130" i="3"/>
  <c r="C130" i="1"/>
  <c r="L129" i="3"/>
  <c r="M129" i="3"/>
  <c r="C129" i="1"/>
  <c r="L128" i="3"/>
  <c r="M128" i="3" s="1"/>
  <c r="C128" i="1"/>
  <c r="L127" i="3"/>
  <c r="M127" i="3"/>
  <c r="C127" i="1"/>
  <c r="L126" i="3"/>
  <c r="M126" i="3" s="1"/>
  <c r="C126" i="1"/>
  <c r="L125" i="3"/>
  <c r="M125" i="3"/>
  <c r="C125" i="1"/>
  <c r="L124" i="3"/>
  <c r="M124" i="3" s="1"/>
  <c r="C124" i="1"/>
  <c r="L123" i="3"/>
  <c r="M123" i="3"/>
  <c r="C123" i="1"/>
  <c r="L122" i="3"/>
  <c r="M122" i="3" s="1"/>
  <c r="C122" i="1"/>
  <c r="L121" i="3"/>
  <c r="M121" i="3"/>
  <c r="C121" i="1"/>
  <c r="L120" i="3"/>
  <c r="M120" i="3"/>
  <c r="C120" i="1"/>
  <c r="L119" i="3"/>
  <c r="M119" i="3" s="1"/>
  <c r="C119" i="1"/>
  <c r="L118" i="3"/>
  <c r="M118" i="3"/>
  <c r="C118" i="1"/>
  <c r="L117" i="3"/>
  <c r="M117" i="3" s="1"/>
  <c r="C117" i="1"/>
  <c r="L116" i="3"/>
  <c r="M116" i="3" s="1"/>
  <c r="C116" i="1"/>
  <c r="L115" i="3"/>
  <c r="M115" i="3" s="1"/>
  <c r="C115" i="1"/>
  <c r="L114" i="3"/>
  <c r="M114" i="3"/>
  <c r="C114" i="1"/>
  <c r="L113" i="3"/>
  <c r="M113" i="3" s="1"/>
  <c r="C113" i="1"/>
  <c r="L112" i="3"/>
  <c r="M112" i="3" s="1"/>
  <c r="C112" i="1"/>
  <c r="L111" i="3"/>
  <c r="M111" i="3"/>
  <c r="C111" i="1"/>
  <c r="L110" i="3"/>
  <c r="M110" i="3" s="1"/>
  <c r="C110" i="1"/>
  <c r="L109" i="3"/>
  <c r="M109" i="3"/>
  <c r="C109" i="1"/>
  <c r="L108" i="3"/>
  <c r="M108" i="3" s="1"/>
  <c r="C108" i="1"/>
  <c r="L107" i="3"/>
  <c r="M107" i="3" s="1"/>
  <c r="C107" i="1"/>
  <c r="L106" i="3"/>
  <c r="M106" i="3" s="1"/>
  <c r="C106" i="1"/>
  <c r="L105" i="3"/>
  <c r="M105" i="3" s="1"/>
  <c r="C105" i="1"/>
  <c r="L104" i="3"/>
  <c r="M104" i="3"/>
  <c r="L103" i="3"/>
  <c r="M103" i="3" s="1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C104" i="1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C103" i="1"/>
  <c r="L102" i="3"/>
  <c r="M102" i="3" s="1"/>
  <c r="C102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2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2" i="1"/>
  <c r="L3" i="3" l="1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6" i="3"/>
  <c r="M66" i="3" s="1"/>
  <c r="L67" i="3"/>
  <c r="M67" i="3" s="1"/>
  <c r="L68" i="3"/>
  <c r="M68" i="3" s="1"/>
  <c r="L69" i="3"/>
  <c r="M69" i="3" s="1"/>
  <c r="L70" i="3"/>
  <c r="M70" i="3" s="1"/>
  <c r="L71" i="3"/>
  <c r="M71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88" i="3"/>
  <c r="M88" i="3" s="1"/>
  <c r="L89" i="3"/>
  <c r="M89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2" i="3"/>
  <c r="M2" i="3" s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3" i="1"/>
  <c r="C2" i="1"/>
</calcChain>
</file>

<file path=xl/sharedStrings.xml><?xml version="1.0" encoding="utf-8"?>
<sst xmlns="http://schemas.openxmlformats.org/spreadsheetml/2006/main" count="594" uniqueCount="130">
  <si>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</si>
  <si>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</si>
  <si>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</si>
  <si>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</si>
  <si>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</si>
  <si>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</si>
  <si>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</si>
  <si>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</si>
  <si>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</si>
  <si>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</si>
  <si>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</si>
  <si>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</si>
  <si>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</si>
  <si>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</si>
  <si>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</si>
  <si>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Distância_Corrida(KM)</t>
  </si>
  <si>
    <t>Distância_Embarque(KM)</t>
  </si>
  <si>
    <t>Preço_Dinamico</t>
  </si>
  <si>
    <t>Turbo+</t>
  </si>
  <si>
    <t>PG_Motorista</t>
  </si>
  <si>
    <t>PG_Usuario</t>
  </si>
  <si>
    <t>Promo_Usuario</t>
  </si>
  <si>
    <t>ID</t>
  </si>
  <si>
    <t>Nome</t>
  </si>
  <si>
    <t>Uber</t>
  </si>
  <si>
    <t>Indriver</t>
  </si>
  <si>
    <t>Particular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</si>
  <si>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</si>
  <si>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</si>
  <si>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</si>
  <si>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</si>
  <si>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</si>
  <si>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</si>
  <si>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</si>
  <si>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</si>
  <si>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</si>
  <si>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</si>
  <si>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</si>
  <si>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</si>
  <si>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</si>
  <si>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</si>
  <si>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</si>
  <si>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</si>
  <si>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</si>
  <si>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Idade(anos)</t>
  </si>
  <si>
    <t>Niterói</t>
  </si>
  <si>
    <t>DSC_App</t>
  </si>
  <si>
    <t>Centro</t>
  </si>
  <si>
    <t>São Gonçalo</t>
  </si>
  <si>
    <t>Galo Branco</t>
  </si>
  <si>
    <t>Estrela do Norte</t>
  </si>
  <si>
    <t>Coelho</t>
  </si>
  <si>
    <t>Alcântara</t>
  </si>
  <si>
    <t>Vista Alegre</t>
  </si>
  <si>
    <t>Maria Paula</t>
  </si>
  <si>
    <t>Colubandê</t>
  </si>
  <si>
    <t>%_Pago_App</t>
  </si>
  <si>
    <t>Maricá</t>
  </si>
  <si>
    <t>Araçatiba</t>
  </si>
  <si>
    <t>Trindade</t>
  </si>
  <si>
    <t>Mutondo</t>
  </si>
  <si>
    <t>São Miguel</t>
  </si>
  <si>
    <t>Ititioca</t>
  </si>
  <si>
    <t>Fonseca</t>
  </si>
  <si>
    <t>Lindo Parque</t>
  </si>
  <si>
    <t>Sete Pontes</t>
  </si>
  <si>
    <t>Camarão</t>
  </si>
  <si>
    <t>Zé Garoto</t>
  </si>
  <si>
    <t>Porto Novo</t>
  </si>
  <si>
    <t>Vila Lage</t>
  </si>
  <si>
    <t>Porto Velho</t>
  </si>
  <si>
    <t>Patronato</t>
  </si>
  <si>
    <t>Rocha</t>
  </si>
  <si>
    <t>Santa Rosa</t>
  </si>
  <si>
    <t>Jardim Catarina</t>
  </si>
  <si>
    <t>Icaraí</t>
  </si>
  <si>
    <t>Pita</t>
  </si>
  <si>
    <t>Venda da Cruz</t>
  </si>
  <si>
    <t>Barro Vermelho</t>
  </si>
  <si>
    <t>Vital Brasil</t>
  </si>
  <si>
    <t>Barreto</t>
  </si>
  <si>
    <t>Engenho Pequeno</t>
  </si>
  <si>
    <t>Santa Catarina</t>
  </si>
  <si>
    <t>Itaboraí</t>
  </si>
  <si>
    <t>Ampliação</t>
  </si>
  <si>
    <t>Retiro São Joaquim</t>
  </si>
  <si>
    <t>Amendoeira</t>
  </si>
  <si>
    <t>Cubango</t>
  </si>
  <si>
    <t>Charitas</t>
  </si>
  <si>
    <t>Prioridade</t>
  </si>
  <si>
    <t>Tx_Espera</t>
  </si>
  <si>
    <t>Tx_Deslocamento</t>
  </si>
  <si>
    <t>Engenhoca</t>
  </si>
  <si>
    <t>Boa Vista</t>
  </si>
  <si>
    <t>Itaipu</t>
  </si>
  <si>
    <t>Baldeador</t>
  </si>
  <si>
    <t>Santa Barbara</t>
  </si>
  <si>
    <t>Largo do Barradas</t>
  </si>
  <si>
    <t>Tribobó</t>
  </si>
  <si>
    <t>Ponta D'areia</t>
  </si>
  <si>
    <t>Covanca</t>
  </si>
  <si>
    <t>Sapê</t>
  </si>
  <si>
    <t>Jardim Alcântara</t>
  </si>
  <si>
    <t>Porto da Madama</t>
  </si>
  <si>
    <t>Paraíso</t>
  </si>
  <si>
    <t>Brasilândia</t>
  </si>
  <si>
    <t>Largo da Batalha</t>
  </si>
  <si>
    <t>Maceio</t>
  </si>
  <si>
    <t>Cantagalo</t>
  </si>
  <si>
    <t>Piratininga</t>
  </si>
  <si>
    <t>Laranjal</t>
  </si>
  <si>
    <t>Miriambi</t>
  </si>
  <si>
    <t>Arsenal</t>
  </si>
  <si>
    <t>Morro do Estado</t>
  </si>
  <si>
    <t>São Domingos</t>
  </si>
  <si>
    <t>São Francisco</t>
  </si>
  <si>
    <t>Ingá</t>
  </si>
  <si>
    <t>Caramujo</t>
  </si>
  <si>
    <t>Raul Veiga</t>
  </si>
  <si>
    <t>Vila Três</t>
  </si>
  <si>
    <t>$_extra</t>
  </si>
  <si>
    <t>São Lourenço</t>
  </si>
  <si>
    <t>Monjolo</t>
  </si>
  <si>
    <t>Nova Cidade</t>
  </si>
  <si>
    <t>Mutuá</t>
  </si>
  <si>
    <t>Porto da Pedra</t>
  </si>
  <si>
    <t>Boaçu</t>
  </si>
  <si>
    <t>Mutua</t>
  </si>
  <si>
    <t>Neves</t>
  </si>
  <si>
    <t>Santana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</si>
</sst>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4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49" fontId="5" fillId="0" borderId="1" xfId="0" applyNumberFormat="1" applyFont="1" applyBorder="1" applyAlignment="1" applyProtection="1">
      <alignment horizontal="center" vertical="center"/>
    </xf>
    <xf numFmtId="49" fontId="4" fillId="0" borderId="1" xfId="0" applyNumberFormat="1" applyFont="1" applyBorder="1" applyAlignment="1" applyProtection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Font="1" applyBorder="1" applyAlignment="1">
      <alignment horizontal="center" vertical="center"/>
    </xf>
    <xf numFmtId="165" fontId="0" fillId="0" borderId="1" xfId="0" applyNumberFormat="1" applyFont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0" fontId="4" fillId="0" borderId="1" xfId="1" applyNumberFormat="1" applyFont="1" applyBorder="1" applyAlignment="1" applyProtection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8472-2685-40D3-824E-FED05F46CE0E}">
  <dimension ref="A1:K201"/>
  <sheetViews>
    <sheetView tabSelected="1" workbookViewId="0">
      <pane ySplit="1" topLeftCell="A139" activePane="bottomLeft" state="frozen"/>
      <selection pane="bottomLeft" activeCell="B142" sqref="B142"/>
    </sheetView>
  </sheetViews>
  <sheetFormatPr defaultRowHeight="15" x14ac:dyDescent="0.25"/>
  <cols>
    <col min="1" max="1" width="10.42578125" style="13" bestFit="1" customWidth="1"/>
    <col min="2" max="2" width="10.7109375" style="13" bestFit="1" customWidth="1"/>
    <col min="3" max="3" width="15.140625" style="13" bestFit="1" customWidth="1"/>
    <col min="4" max="4" width="12" style="20" bestFit="1" customWidth="1"/>
    <col min="5" max="5" width="8.28515625" style="13" bestFit="1" customWidth="1"/>
    <col min="6" max="6" width="8.5703125" style="13" bestFit="1" customWidth="1"/>
    <col min="7" max="7" width="14" style="13" bestFit="1" customWidth="1"/>
    <col min="8" max="8" width="9.28515625" style="13" bestFit="1" customWidth="1"/>
    <col min="9" max="9" width="12.42578125" style="13" bestFit="1" customWidth="1"/>
    <col min="10" max="10" width="12.85546875" style="13" bestFit="1" customWidth="1"/>
    <col min="11" max="11" width="12.42578125" style="19" bestFit="1" customWidth="1"/>
    <col min="12" max="16384" width="9.140625" style="13"/>
  </cols>
  <sheetData>
    <row r="1" spans="1:11" s="17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25">
      <c r="A2" s="13">
        <v>1</v>
      </c>
      <c r="B2" s="14">
        <v>45871</v>
      </c>
      <c r="C2" s="13" t="str">
        <f t="shared" ref="C2:C33" si="0">PROPER(TEXT(WEEKDAY(B2),"dddd"))</f>
        <v>Sábado</v>
      </c>
      <c r="D2" s="20">
        <v>0.41944444444444445</v>
      </c>
      <c r="E2" s="13">
        <f>A2</f>
        <v>1</v>
      </c>
      <c r="F2" s="13">
        <f>A2</f>
        <v>1</v>
      </c>
      <c r="G2" s="13">
        <v>1</v>
      </c>
      <c r="H2" s="13">
        <v>1</v>
      </c>
      <c r="I2" s="13">
        <v>1</v>
      </c>
      <c r="J2" s="13">
        <v>2</v>
      </c>
      <c r="K2" s="19">
        <v>6.75</v>
      </c>
    </row>
    <row r="3" spans="1:11" x14ac:dyDescent="0.25">
      <c r="A3" s="13">
        <v>2</v>
      </c>
      <c r="B3" s="14">
        <v>45911</v>
      </c>
      <c r="C3" s="13" t="str">
        <f t="shared" si="0"/>
        <v>Quinta-Feira</v>
      </c>
      <c r="D3" s="20">
        <v>0.65208333333333335</v>
      </c>
      <c r="E3" s="13">
        <f t="shared" ref="E3:E66" si="1">A3</f>
        <v>2</v>
      </c>
      <c r="F3" s="13">
        <f t="shared" ref="F3:F66" si="2">A3</f>
        <v>2</v>
      </c>
      <c r="G3" s="13">
        <v>2</v>
      </c>
      <c r="H3" s="13">
        <v>1</v>
      </c>
      <c r="I3" s="13">
        <v>1</v>
      </c>
      <c r="J3" s="13">
        <v>2</v>
      </c>
      <c r="K3" s="19">
        <v>8.51</v>
      </c>
    </row>
    <row r="4" spans="1:11" x14ac:dyDescent="0.25">
      <c r="A4" s="13">
        <v>3</v>
      </c>
      <c r="B4" s="14">
        <v>45913</v>
      </c>
      <c r="C4" s="13" t="str">
        <f t="shared" si="0"/>
        <v>Sábado</v>
      </c>
      <c r="D4" s="20">
        <v>0.47638888888888892</v>
      </c>
      <c r="E4" s="13">
        <f t="shared" si="1"/>
        <v>3</v>
      </c>
      <c r="F4" s="13">
        <f t="shared" si="2"/>
        <v>3</v>
      </c>
      <c r="G4" s="13">
        <v>1</v>
      </c>
      <c r="H4" s="13">
        <v>1</v>
      </c>
      <c r="I4" s="13">
        <v>1</v>
      </c>
      <c r="J4" s="13">
        <v>2</v>
      </c>
      <c r="K4" s="19">
        <v>8.35</v>
      </c>
    </row>
    <row r="5" spans="1:11" x14ac:dyDescent="0.25">
      <c r="A5" s="13">
        <v>4</v>
      </c>
      <c r="B5" s="14">
        <v>45913</v>
      </c>
      <c r="C5" s="13" t="str">
        <f t="shared" si="0"/>
        <v>Sábado</v>
      </c>
      <c r="D5" s="20">
        <v>0.5</v>
      </c>
      <c r="E5" s="13">
        <f t="shared" si="1"/>
        <v>4</v>
      </c>
      <c r="F5" s="13">
        <f t="shared" si="2"/>
        <v>4</v>
      </c>
      <c r="G5" s="13">
        <v>1</v>
      </c>
      <c r="H5" s="13">
        <v>1</v>
      </c>
      <c r="I5" s="13">
        <v>1</v>
      </c>
      <c r="J5" s="13">
        <v>2</v>
      </c>
      <c r="K5" s="19">
        <v>10.8</v>
      </c>
    </row>
    <row r="6" spans="1:11" x14ac:dyDescent="0.25">
      <c r="A6" s="13">
        <v>5</v>
      </c>
      <c r="B6" s="14">
        <v>45913</v>
      </c>
      <c r="C6" s="13" t="str">
        <f t="shared" si="0"/>
        <v>Sábado</v>
      </c>
      <c r="D6" s="20">
        <v>0.52847222222222223</v>
      </c>
      <c r="E6" s="13">
        <f t="shared" si="1"/>
        <v>5</v>
      </c>
      <c r="F6" s="13">
        <f t="shared" si="2"/>
        <v>5</v>
      </c>
      <c r="G6" s="13">
        <v>2</v>
      </c>
      <c r="H6" s="13">
        <v>1</v>
      </c>
      <c r="I6" s="13">
        <v>1</v>
      </c>
      <c r="J6" s="13">
        <v>2</v>
      </c>
      <c r="K6" s="19">
        <v>15.6</v>
      </c>
    </row>
    <row r="7" spans="1:11" x14ac:dyDescent="0.25">
      <c r="A7" s="13">
        <v>6</v>
      </c>
      <c r="B7" s="14">
        <v>45913</v>
      </c>
      <c r="C7" s="13" t="str">
        <f t="shared" si="0"/>
        <v>Sábado</v>
      </c>
      <c r="D7" s="20">
        <v>0.54166666666666663</v>
      </c>
      <c r="E7" s="13">
        <f t="shared" si="1"/>
        <v>6</v>
      </c>
      <c r="F7" s="13">
        <f t="shared" si="2"/>
        <v>6</v>
      </c>
      <c r="G7" s="13">
        <v>3</v>
      </c>
      <c r="H7" s="13">
        <v>1</v>
      </c>
      <c r="I7" s="13">
        <v>1</v>
      </c>
      <c r="J7" s="13">
        <v>2</v>
      </c>
      <c r="K7" s="19">
        <v>0</v>
      </c>
    </row>
    <row r="8" spans="1:11" x14ac:dyDescent="0.25">
      <c r="A8" s="13">
        <v>7</v>
      </c>
      <c r="B8" s="14">
        <v>45913</v>
      </c>
      <c r="C8" s="13" t="str">
        <f t="shared" si="0"/>
        <v>Sábado</v>
      </c>
      <c r="D8" s="20">
        <v>0.60833333333333328</v>
      </c>
      <c r="E8" s="13">
        <f t="shared" si="1"/>
        <v>7</v>
      </c>
      <c r="F8" s="13">
        <f t="shared" si="2"/>
        <v>7</v>
      </c>
      <c r="G8" s="13">
        <v>2</v>
      </c>
      <c r="H8" s="13">
        <v>1</v>
      </c>
      <c r="I8" s="13">
        <v>1</v>
      </c>
      <c r="J8" s="13">
        <v>2</v>
      </c>
      <c r="K8" s="19">
        <v>14.51</v>
      </c>
    </row>
    <row r="9" spans="1:11" x14ac:dyDescent="0.25">
      <c r="A9" s="13">
        <v>8</v>
      </c>
      <c r="B9" s="14">
        <v>45913</v>
      </c>
      <c r="C9" s="13" t="str">
        <f t="shared" si="0"/>
        <v>Sábado</v>
      </c>
      <c r="D9" s="20">
        <v>0.62430555555555556</v>
      </c>
      <c r="E9" s="13">
        <f t="shared" si="1"/>
        <v>8</v>
      </c>
      <c r="F9" s="13">
        <f t="shared" si="2"/>
        <v>8</v>
      </c>
      <c r="G9" s="13">
        <v>5</v>
      </c>
      <c r="H9" s="13">
        <v>1</v>
      </c>
      <c r="I9" s="13">
        <v>1</v>
      </c>
      <c r="J9" s="13">
        <v>2</v>
      </c>
      <c r="K9" s="19">
        <v>0</v>
      </c>
    </row>
    <row r="10" spans="1:11" x14ac:dyDescent="0.25">
      <c r="A10" s="13">
        <v>9</v>
      </c>
      <c r="B10" s="14">
        <v>45913</v>
      </c>
      <c r="C10" s="13" t="str">
        <f t="shared" si="0"/>
        <v>Sábado</v>
      </c>
      <c r="D10" s="20">
        <v>0.63958333333333328</v>
      </c>
      <c r="E10" s="13">
        <f t="shared" si="1"/>
        <v>9</v>
      </c>
      <c r="F10" s="13">
        <f t="shared" si="2"/>
        <v>9</v>
      </c>
      <c r="G10" s="13">
        <v>2</v>
      </c>
      <c r="H10" s="13">
        <v>1</v>
      </c>
      <c r="I10" s="13">
        <v>1</v>
      </c>
      <c r="J10" s="13">
        <v>2</v>
      </c>
      <c r="K10" s="19">
        <v>13.3</v>
      </c>
    </row>
    <row r="11" spans="1:11" x14ac:dyDescent="0.25">
      <c r="A11" s="13">
        <v>10</v>
      </c>
      <c r="B11" s="14">
        <v>45929</v>
      </c>
      <c r="C11" s="13" t="str">
        <f t="shared" si="0"/>
        <v>Segunda-Feira</v>
      </c>
      <c r="D11" s="20">
        <v>0.46388888888888885</v>
      </c>
      <c r="E11" s="13">
        <f t="shared" si="1"/>
        <v>10</v>
      </c>
      <c r="F11" s="13">
        <f t="shared" si="2"/>
        <v>10</v>
      </c>
      <c r="G11" s="13">
        <v>1</v>
      </c>
      <c r="H11" s="13">
        <v>1</v>
      </c>
      <c r="I11" s="13">
        <v>1</v>
      </c>
      <c r="J11" s="13">
        <v>2</v>
      </c>
      <c r="K11" s="19">
        <v>6.7</v>
      </c>
    </row>
    <row r="12" spans="1:11" x14ac:dyDescent="0.25">
      <c r="A12" s="13">
        <v>11</v>
      </c>
      <c r="B12" s="14">
        <v>45929</v>
      </c>
      <c r="C12" s="13" t="str">
        <f t="shared" si="0"/>
        <v>Segunda-Feira</v>
      </c>
      <c r="D12" s="20">
        <v>0.47361111111111115</v>
      </c>
      <c r="E12" s="13">
        <f t="shared" si="1"/>
        <v>11</v>
      </c>
      <c r="F12" s="13">
        <f t="shared" si="2"/>
        <v>11</v>
      </c>
      <c r="G12" s="13">
        <v>3</v>
      </c>
      <c r="H12" s="13">
        <v>1</v>
      </c>
      <c r="I12" s="13">
        <v>1</v>
      </c>
      <c r="J12" s="13">
        <v>2</v>
      </c>
      <c r="K12" s="19">
        <v>0</v>
      </c>
    </row>
    <row r="13" spans="1:11" x14ac:dyDescent="0.25">
      <c r="A13" s="13">
        <v>12</v>
      </c>
      <c r="B13" s="14">
        <v>45932</v>
      </c>
      <c r="C13" s="13" t="str">
        <f t="shared" si="0"/>
        <v>Quinta-Feira</v>
      </c>
      <c r="D13" s="20">
        <v>0.65416666666666667</v>
      </c>
      <c r="E13" s="13">
        <f t="shared" si="1"/>
        <v>12</v>
      </c>
      <c r="F13" s="13">
        <f t="shared" si="2"/>
        <v>12</v>
      </c>
      <c r="G13" s="13">
        <v>1</v>
      </c>
      <c r="H13" s="13">
        <v>1</v>
      </c>
      <c r="I13" s="13">
        <v>1</v>
      </c>
      <c r="J13" s="13">
        <v>2</v>
      </c>
      <c r="K13" s="19">
        <v>13.35</v>
      </c>
    </row>
    <row r="14" spans="1:11" x14ac:dyDescent="0.25">
      <c r="A14" s="13">
        <v>13</v>
      </c>
      <c r="B14" s="14">
        <v>45932</v>
      </c>
      <c r="C14" s="13" t="str">
        <f t="shared" si="0"/>
        <v>Quinta-Feira</v>
      </c>
      <c r="D14" s="20">
        <v>0.66597222222222219</v>
      </c>
      <c r="E14" s="13">
        <f t="shared" si="1"/>
        <v>13</v>
      </c>
      <c r="F14" s="13">
        <f t="shared" si="2"/>
        <v>13</v>
      </c>
      <c r="G14" s="13">
        <v>2</v>
      </c>
      <c r="H14" s="13">
        <v>1</v>
      </c>
      <c r="I14" s="13">
        <v>1</v>
      </c>
      <c r="J14" s="13">
        <v>2</v>
      </c>
      <c r="K14" s="19">
        <v>10.51</v>
      </c>
    </row>
    <row r="15" spans="1:11" x14ac:dyDescent="0.25">
      <c r="A15" s="13">
        <v>14</v>
      </c>
      <c r="B15" s="14">
        <v>45932</v>
      </c>
      <c r="C15" s="13" t="str">
        <f t="shared" si="0"/>
        <v>Quinta-Feira</v>
      </c>
      <c r="D15" s="20">
        <v>0.67986111111111114</v>
      </c>
      <c r="E15" s="13">
        <f t="shared" si="1"/>
        <v>14</v>
      </c>
      <c r="F15" s="13">
        <f t="shared" si="2"/>
        <v>14</v>
      </c>
      <c r="G15" s="13">
        <v>1</v>
      </c>
      <c r="H15" s="13">
        <v>1</v>
      </c>
      <c r="I15" s="13">
        <v>1</v>
      </c>
      <c r="J15" s="13">
        <v>2</v>
      </c>
      <c r="K15" s="19">
        <v>30.5</v>
      </c>
    </row>
    <row r="16" spans="1:11" x14ac:dyDescent="0.25">
      <c r="A16" s="13">
        <v>15</v>
      </c>
      <c r="B16" s="14">
        <v>45932</v>
      </c>
      <c r="C16" s="13" t="str">
        <f t="shared" si="0"/>
        <v>Quinta-Feira</v>
      </c>
      <c r="D16" s="20">
        <v>0.70486111111111116</v>
      </c>
      <c r="E16" s="13">
        <f t="shared" si="1"/>
        <v>15</v>
      </c>
      <c r="F16" s="13">
        <f t="shared" si="2"/>
        <v>15</v>
      </c>
      <c r="G16" s="13">
        <v>1</v>
      </c>
      <c r="H16" s="13">
        <v>1</v>
      </c>
      <c r="I16" s="13">
        <v>1</v>
      </c>
      <c r="J16" s="13">
        <v>2</v>
      </c>
      <c r="K16" s="19">
        <v>37</v>
      </c>
    </row>
    <row r="17" spans="1:11" x14ac:dyDescent="0.25">
      <c r="A17" s="13">
        <v>16</v>
      </c>
      <c r="B17" s="14">
        <v>45932</v>
      </c>
      <c r="C17" s="13" t="str">
        <f t="shared" si="0"/>
        <v>Quinta-Feira</v>
      </c>
      <c r="D17" s="20">
        <v>0.73958333333333337</v>
      </c>
      <c r="E17" s="13">
        <f t="shared" si="1"/>
        <v>16</v>
      </c>
      <c r="F17" s="13">
        <f t="shared" si="2"/>
        <v>16</v>
      </c>
      <c r="G17" s="13">
        <v>2</v>
      </c>
      <c r="H17" s="13">
        <v>1</v>
      </c>
      <c r="I17" s="13">
        <v>1</v>
      </c>
      <c r="J17" s="13">
        <v>2</v>
      </c>
      <c r="K17" s="19">
        <v>9</v>
      </c>
    </row>
    <row r="18" spans="1:11" x14ac:dyDescent="0.25">
      <c r="A18" s="13">
        <v>17</v>
      </c>
      <c r="B18" s="14">
        <v>45932</v>
      </c>
      <c r="C18" s="13" t="str">
        <f t="shared" si="0"/>
        <v>Quinta-Feira</v>
      </c>
      <c r="D18" s="20">
        <v>0.74652777777777779</v>
      </c>
      <c r="E18" s="13">
        <f t="shared" si="1"/>
        <v>17</v>
      </c>
      <c r="F18" s="13">
        <f t="shared" si="2"/>
        <v>17</v>
      </c>
      <c r="G18" s="13">
        <v>1</v>
      </c>
      <c r="H18" s="13">
        <v>1</v>
      </c>
      <c r="I18" s="13">
        <v>1</v>
      </c>
      <c r="J18" s="13">
        <v>2</v>
      </c>
      <c r="K18" s="19">
        <v>12.5</v>
      </c>
    </row>
    <row r="19" spans="1:11" x14ac:dyDescent="0.25">
      <c r="A19" s="13">
        <v>18</v>
      </c>
      <c r="B19" s="14">
        <v>45932</v>
      </c>
      <c r="C19" s="13" t="str">
        <f t="shared" si="0"/>
        <v>Quinta-Feira</v>
      </c>
      <c r="D19" s="20">
        <v>0.77500000000000002</v>
      </c>
      <c r="E19" s="13">
        <f t="shared" si="1"/>
        <v>18</v>
      </c>
      <c r="F19" s="13">
        <f t="shared" si="2"/>
        <v>18</v>
      </c>
      <c r="G19" s="13">
        <v>3</v>
      </c>
      <c r="H19" s="13">
        <v>1</v>
      </c>
      <c r="I19" s="13">
        <v>1</v>
      </c>
      <c r="J19" s="13">
        <v>2</v>
      </c>
      <c r="K19" s="19">
        <v>0</v>
      </c>
    </row>
    <row r="20" spans="1:11" x14ac:dyDescent="0.25">
      <c r="A20" s="13">
        <v>19</v>
      </c>
      <c r="B20" s="14">
        <v>45933</v>
      </c>
      <c r="C20" s="13" t="str">
        <f t="shared" si="0"/>
        <v>Sexta-Feira</v>
      </c>
      <c r="D20" s="20">
        <v>0.59791666666666665</v>
      </c>
      <c r="E20" s="13">
        <f t="shared" si="1"/>
        <v>19</v>
      </c>
      <c r="F20" s="13">
        <f t="shared" si="2"/>
        <v>19</v>
      </c>
      <c r="G20" s="13">
        <v>1</v>
      </c>
      <c r="H20" s="13">
        <v>1</v>
      </c>
      <c r="I20" s="13">
        <v>1</v>
      </c>
      <c r="J20" s="13">
        <v>2</v>
      </c>
      <c r="K20" s="19">
        <v>41.9</v>
      </c>
    </row>
    <row r="21" spans="1:11" x14ac:dyDescent="0.25">
      <c r="A21" s="13">
        <v>20</v>
      </c>
      <c r="B21" s="14">
        <v>45933</v>
      </c>
      <c r="C21" s="13" t="str">
        <f t="shared" si="0"/>
        <v>Sexta-Feira</v>
      </c>
      <c r="D21" s="20">
        <v>0.63958333333333328</v>
      </c>
      <c r="E21" s="13">
        <f t="shared" si="1"/>
        <v>20</v>
      </c>
      <c r="F21" s="13">
        <f t="shared" si="2"/>
        <v>20</v>
      </c>
      <c r="G21" s="13">
        <v>2</v>
      </c>
      <c r="H21" s="13">
        <v>1</v>
      </c>
      <c r="I21" s="13">
        <v>1</v>
      </c>
      <c r="J21" s="13">
        <v>2</v>
      </c>
      <c r="K21" s="19">
        <v>5.6</v>
      </c>
    </row>
    <row r="22" spans="1:11" x14ac:dyDescent="0.25">
      <c r="A22" s="13">
        <v>21</v>
      </c>
      <c r="B22" s="14">
        <v>45933</v>
      </c>
      <c r="C22" s="13" t="str">
        <f t="shared" si="0"/>
        <v>Sexta-Feira</v>
      </c>
      <c r="D22" s="20">
        <v>0.64861111111111114</v>
      </c>
      <c r="E22" s="13">
        <f t="shared" si="1"/>
        <v>21</v>
      </c>
      <c r="F22" s="13">
        <f t="shared" si="2"/>
        <v>21</v>
      </c>
      <c r="G22" s="13">
        <v>2</v>
      </c>
      <c r="H22" s="13">
        <v>1</v>
      </c>
      <c r="I22" s="13">
        <v>1</v>
      </c>
      <c r="J22" s="13">
        <v>2</v>
      </c>
      <c r="K22" s="19">
        <v>6.4</v>
      </c>
    </row>
    <row r="23" spans="1:11" x14ac:dyDescent="0.25">
      <c r="A23" s="13">
        <v>22</v>
      </c>
      <c r="B23" s="14">
        <v>45933</v>
      </c>
      <c r="C23" s="13" t="str">
        <f t="shared" si="0"/>
        <v>Sexta-Feira</v>
      </c>
      <c r="D23" s="20">
        <v>0.66666666666666663</v>
      </c>
      <c r="E23" s="13">
        <f t="shared" si="1"/>
        <v>22</v>
      </c>
      <c r="F23" s="13">
        <f t="shared" si="2"/>
        <v>22</v>
      </c>
      <c r="G23" s="13">
        <v>1</v>
      </c>
      <c r="H23" s="13">
        <v>1</v>
      </c>
      <c r="I23" s="13">
        <v>1</v>
      </c>
      <c r="J23" s="13">
        <v>2</v>
      </c>
      <c r="K23" s="19">
        <v>2.9</v>
      </c>
    </row>
    <row r="24" spans="1:11" x14ac:dyDescent="0.25">
      <c r="A24" s="13">
        <v>23</v>
      </c>
      <c r="B24" s="14">
        <v>45936</v>
      </c>
      <c r="C24" s="13" t="str">
        <f t="shared" si="0"/>
        <v>Segunda-Feira</v>
      </c>
      <c r="D24" s="20">
        <v>0.22013888888888888</v>
      </c>
      <c r="E24" s="13">
        <f t="shared" si="1"/>
        <v>23</v>
      </c>
      <c r="F24" s="13">
        <f t="shared" si="2"/>
        <v>23</v>
      </c>
      <c r="G24" s="13">
        <v>2</v>
      </c>
      <c r="H24" s="13">
        <v>1</v>
      </c>
      <c r="I24" s="13">
        <v>1</v>
      </c>
      <c r="J24" s="13">
        <v>2</v>
      </c>
      <c r="K24" s="19">
        <v>4.6100000000000003</v>
      </c>
    </row>
    <row r="25" spans="1:11" x14ac:dyDescent="0.25">
      <c r="A25" s="13">
        <v>24</v>
      </c>
      <c r="B25" s="14">
        <v>45936</v>
      </c>
      <c r="C25" s="13" t="str">
        <f t="shared" si="0"/>
        <v>Segunda-Feira</v>
      </c>
      <c r="D25" s="20">
        <v>0.42986111111111108</v>
      </c>
      <c r="E25" s="13">
        <f t="shared" si="1"/>
        <v>24</v>
      </c>
      <c r="F25" s="13">
        <f t="shared" si="2"/>
        <v>24</v>
      </c>
      <c r="G25" s="13">
        <v>2</v>
      </c>
      <c r="H25" s="13">
        <v>1</v>
      </c>
      <c r="I25" s="13">
        <v>1</v>
      </c>
      <c r="J25" s="13">
        <v>2</v>
      </c>
      <c r="K25" s="19">
        <v>24.7</v>
      </c>
    </row>
    <row r="26" spans="1:11" x14ac:dyDescent="0.25">
      <c r="A26" s="13">
        <v>25</v>
      </c>
      <c r="B26" s="14">
        <v>45937</v>
      </c>
      <c r="C26" s="13" t="str">
        <f t="shared" si="0"/>
        <v>Terça-Feira</v>
      </c>
      <c r="D26" s="20">
        <v>0.21736111111111112</v>
      </c>
      <c r="E26" s="13">
        <f t="shared" si="1"/>
        <v>25</v>
      </c>
      <c r="F26" s="13">
        <f t="shared" si="2"/>
        <v>25</v>
      </c>
      <c r="G26" s="13">
        <v>1</v>
      </c>
      <c r="H26" s="13">
        <v>1</v>
      </c>
      <c r="I26" s="13">
        <v>1</v>
      </c>
      <c r="J26" s="13">
        <v>2</v>
      </c>
      <c r="K26" s="19">
        <v>7.4</v>
      </c>
    </row>
    <row r="27" spans="1:11" x14ac:dyDescent="0.25">
      <c r="A27" s="13">
        <v>26</v>
      </c>
      <c r="B27" s="14">
        <v>45937</v>
      </c>
      <c r="C27" s="13" t="str">
        <f t="shared" si="0"/>
        <v>Terça-Feira</v>
      </c>
      <c r="D27" s="20">
        <v>0.23819444444444446</v>
      </c>
      <c r="E27" s="13">
        <f t="shared" si="1"/>
        <v>26</v>
      </c>
      <c r="F27" s="13">
        <f t="shared" si="2"/>
        <v>26</v>
      </c>
      <c r="G27" s="13">
        <v>2</v>
      </c>
      <c r="H27" s="13">
        <v>1</v>
      </c>
      <c r="I27" s="13">
        <v>1</v>
      </c>
      <c r="J27" s="13">
        <v>2</v>
      </c>
      <c r="K27" s="19">
        <v>46</v>
      </c>
    </row>
    <row r="28" spans="1:11" x14ac:dyDescent="0.25">
      <c r="A28" s="13">
        <v>27</v>
      </c>
      <c r="B28" s="14">
        <v>45937</v>
      </c>
      <c r="C28" s="13" t="str">
        <f t="shared" si="0"/>
        <v>Terça-Feira</v>
      </c>
      <c r="D28" s="20">
        <v>0.3</v>
      </c>
      <c r="E28" s="13">
        <f t="shared" si="1"/>
        <v>27</v>
      </c>
      <c r="F28" s="13">
        <f t="shared" si="2"/>
        <v>27</v>
      </c>
      <c r="G28" s="13">
        <v>1</v>
      </c>
      <c r="H28" s="13">
        <v>1</v>
      </c>
      <c r="I28" s="13">
        <v>1</v>
      </c>
      <c r="J28" s="13">
        <v>2</v>
      </c>
      <c r="K28" s="19">
        <v>16.05</v>
      </c>
    </row>
    <row r="29" spans="1:11" x14ac:dyDescent="0.25">
      <c r="A29" s="13">
        <v>28</v>
      </c>
      <c r="B29" s="14">
        <v>45937</v>
      </c>
      <c r="C29" s="13" t="str">
        <f t="shared" si="0"/>
        <v>Terça-Feira</v>
      </c>
      <c r="D29" s="20">
        <v>0.33263888888888887</v>
      </c>
      <c r="E29" s="13">
        <f t="shared" si="1"/>
        <v>28</v>
      </c>
      <c r="F29" s="13">
        <f t="shared" si="2"/>
        <v>28</v>
      </c>
      <c r="G29" s="13">
        <v>2</v>
      </c>
      <c r="H29" s="13">
        <v>1</v>
      </c>
      <c r="I29" s="13">
        <v>1</v>
      </c>
      <c r="J29" s="13">
        <v>2</v>
      </c>
      <c r="K29" s="19">
        <v>9.1999999999999993</v>
      </c>
    </row>
    <row r="30" spans="1:11" x14ac:dyDescent="0.25">
      <c r="A30" s="13">
        <v>29</v>
      </c>
      <c r="B30" s="14">
        <v>45937</v>
      </c>
      <c r="C30" s="13" t="str">
        <f t="shared" si="0"/>
        <v>Terça-Feira</v>
      </c>
      <c r="D30" s="20">
        <v>0.33680555555555558</v>
      </c>
      <c r="E30" s="13">
        <f t="shared" si="1"/>
        <v>29</v>
      </c>
      <c r="F30" s="13">
        <f t="shared" si="2"/>
        <v>29</v>
      </c>
      <c r="G30" s="13">
        <v>1</v>
      </c>
      <c r="H30" s="13">
        <v>1</v>
      </c>
      <c r="I30" s="13">
        <v>1</v>
      </c>
      <c r="J30" s="13">
        <v>2</v>
      </c>
      <c r="K30" s="19">
        <v>14.4</v>
      </c>
    </row>
    <row r="31" spans="1:11" x14ac:dyDescent="0.25">
      <c r="A31" s="13">
        <v>30</v>
      </c>
      <c r="B31" s="14">
        <v>45937</v>
      </c>
      <c r="C31" s="13" t="str">
        <f t="shared" si="0"/>
        <v>Terça-Feira</v>
      </c>
      <c r="D31" s="20">
        <v>0.37222222222222223</v>
      </c>
      <c r="E31" s="13">
        <f t="shared" si="1"/>
        <v>30</v>
      </c>
      <c r="F31" s="13">
        <f t="shared" si="2"/>
        <v>30</v>
      </c>
      <c r="G31" s="13">
        <v>2</v>
      </c>
      <c r="H31" s="13">
        <v>1</v>
      </c>
      <c r="I31" s="13">
        <v>1</v>
      </c>
      <c r="J31" s="13">
        <v>2</v>
      </c>
      <c r="K31" s="19">
        <v>10.1</v>
      </c>
    </row>
    <row r="32" spans="1:11" x14ac:dyDescent="0.25">
      <c r="A32" s="13">
        <v>31</v>
      </c>
      <c r="B32" s="14">
        <v>45937</v>
      </c>
      <c r="C32" s="13" t="str">
        <f t="shared" si="0"/>
        <v>Terça-Feira</v>
      </c>
      <c r="D32" s="20">
        <v>0.40416666666666662</v>
      </c>
      <c r="E32" s="13">
        <f t="shared" si="1"/>
        <v>31</v>
      </c>
      <c r="F32" s="13">
        <f t="shared" si="2"/>
        <v>31</v>
      </c>
      <c r="G32" s="13">
        <v>1</v>
      </c>
      <c r="H32" s="13">
        <v>1</v>
      </c>
      <c r="I32" s="13">
        <v>1</v>
      </c>
      <c r="J32" s="13">
        <v>2</v>
      </c>
      <c r="K32" s="19">
        <v>60</v>
      </c>
    </row>
    <row r="33" spans="1:11" x14ac:dyDescent="0.25">
      <c r="A33" s="13">
        <v>32</v>
      </c>
      <c r="B33" s="14">
        <v>45937</v>
      </c>
      <c r="C33" s="13" t="str">
        <f t="shared" si="0"/>
        <v>Terça-Feira</v>
      </c>
      <c r="D33" s="20">
        <v>0.44930555555555557</v>
      </c>
      <c r="E33" s="13">
        <f t="shared" si="1"/>
        <v>32</v>
      </c>
      <c r="F33" s="13">
        <f t="shared" si="2"/>
        <v>32</v>
      </c>
      <c r="G33" s="13">
        <v>1</v>
      </c>
      <c r="H33" s="13">
        <v>1</v>
      </c>
      <c r="I33" s="13">
        <v>1</v>
      </c>
      <c r="J33" s="13">
        <v>2</v>
      </c>
      <c r="K33" s="19">
        <v>18.3</v>
      </c>
    </row>
    <row r="34" spans="1:11" x14ac:dyDescent="0.25">
      <c r="A34" s="13">
        <v>33</v>
      </c>
      <c r="B34" s="14">
        <v>45937</v>
      </c>
      <c r="C34" s="13" t="str">
        <f t="shared" ref="C34:C65" si="3">PROPER(TEXT(WEEKDAY(B34),"dddd"))</f>
        <v>Terça-Feira</v>
      </c>
      <c r="D34" s="20">
        <v>0.47847222222222219</v>
      </c>
      <c r="E34" s="13">
        <f t="shared" si="1"/>
        <v>33</v>
      </c>
      <c r="F34" s="13">
        <f t="shared" si="2"/>
        <v>33</v>
      </c>
      <c r="G34" s="13">
        <v>2</v>
      </c>
      <c r="H34" s="13">
        <v>1</v>
      </c>
      <c r="I34" s="13">
        <v>1</v>
      </c>
      <c r="J34" s="13">
        <v>2</v>
      </c>
      <c r="K34" s="19">
        <v>17.899999999999999</v>
      </c>
    </row>
    <row r="35" spans="1:11" x14ac:dyDescent="0.25">
      <c r="A35" s="13">
        <v>34</v>
      </c>
      <c r="B35" s="14">
        <v>45937</v>
      </c>
      <c r="C35" s="13" t="str">
        <f t="shared" si="3"/>
        <v>Terça-Feira</v>
      </c>
      <c r="D35" s="20">
        <v>0.4993055555555555</v>
      </c>
      <c r="E35" s="13">
        <f t="shared" si="1"/>
        <v>34</v>
      </c>
      <c r="F35" s="13">
        <f t="shared" si="2"/>
        <v>34</v>
      </c>
      <c r="G35" s="13">
        <v>2</v>
      </c>
      <c r="H35" s="13">
        <v>1</v>
      </c>
      <c r="I35" s="13">
        <v>1</v>
      </c>
      <c r="J35" s="13">
        <v>2</v>
      </c>
      <c r="K35" s="19">
        <v>24.25</v>
      </c>
    </row>
    <row r="36" spans="1:11" x14ac:dyDescent="0.25">
      <c r="A36" s="13">
        <v>35</v>
      </c>
      <c r="B36" s="14">
        <v>45937</v>
      </c>
      <c r="C36" s="13" t="str">
        <f t="shared" si="3"/>
        <v>Terça-Feira</v>
      </c>
      <c r="D36" s="20">
        <v>0.51597222222222217</v>
      </c>
      <c r="E36" s="13">
        <f t="shared" si="1"/>
        <v>35</v>
      </c>
      <c r="F36" s="13">
        <f t="shared" si="2"/>
        <v>35</v>
      </c>
      <c r="G36" s="13">
        <v>1</v>
      </c>
      <c r="H36" s="13">
        <v>1</v>
      </c>
      <c r="I36" s="13">
        <v>1</v>
      </c>
      <c r="J36" s="13">
        <v>2</v>
      </c>
      <c r="K36" s="19">
        <v>24.9</v>
      </c>
    </row>
    <row r="37" spans="1:11" x14ac:dyDescent="0.25">
      <c r="A37" s="13">
        <v>36</v>
      </c>
      <c r="B37" s="14">
        <v>45944</v>
      </c>
      <c r="C37" s="13" t="str">
        <f t="shared" si="3"/>
        <v>Terça-Feira</v>
      </c>
      <c r="D37" s="20">
        <v>0.22013888888888888</v>
      </c>
      <c r="E37" s="13">
        <f t="shared" si="1"/>
        <v>36</v>
      </c>
      <c r="F37" s="13">
        <f t="shared" si="2"/>
        <v>36</v>
      </c>
      <c r="G37" s="13">
        <v>2</v>
      </c>
      <c r="H37" s="13">
        <v>1</v>
      </c>
      <c r="I37" s="13">
        <v>1</v>
      </c>
      <c r="J37" s="13">
        <v>2</v>
      </c>
      <c r="K37" s="19">
        <v>5.5</v>
      </c>
    </row>
    <row r="38" spans="1:11" x14ac:dyDescent="0.25">
      <c r="A38" s="13">
        <v>37</v>
      </c>
      <c r="B38" s="14">
        <v>45944</v>
      </c>
      <c r="C38" s="13" t="str">
        <f t="shared" si="3"/>
        <v>Terça-Feira</v>
      </c>
      <c r="D38" s="20">
        <v>0.2298611111111111</v>
      </c>
      <c r="E38" s="13">
        <f t="shared" si="1"/>
        <v>37</v>
      </c>
      <c r="F38" s="13">
        <f t="shared" si="2"/>
        <v>37</v>
      </c>
      <c r="G38" s="13">
        <v>1</v>
      </c>
      <c r="H38" s="13">
        <v>1</v>
      </c>
      <c r="I38" s="13">
        <v>1</v>
      </c>
      <c r="J38" s="13">
        <v>2</v>
      </c>
      <c r="K38" s="19">
        <v>17.100000000000001</v>
      </c>
    </row>
    <row r="39" spans="1:11" x14ac:dyDescent="0.25">
      <c r="A39" s="13">
        <v>38</v>
      </c>
      <c r="B39" s="14">
        <v>45944</v>
      </c>
      <c r="C39" s="13" t="str">
        <f t="shared" si="3"/>
        <v>Terça-Feira</v>
      </c>
      <c r="D39" s="20">
        <v>0.25763888888888892</v>
      </c>
      <c r="E39" s="13">
        <f t="shared" si="1"/>
        <v>38</v>
      </c>
      <c r="F39" s="13">
        <f t="shared" si="2"/>
        <v>38</v>
      </c>
      <c r="G39" s="13">
        <v>1</v>
      </c>
      <c r="H39" s="13">
        <v>1</v>
      </c>
      <c r="I39" s="13">
        <v>1</v>
      </c>
      <c r="J39" s="13">
        <v>2</v>
      </c>
      <c r="K39" s="19">
        <v>43.55</v>
      </c>
    </row>
    <row r="40" spans="1:11" x14ac:dyDescent="0.25">
      <c r="A40" s="13">
        <v>39</v>
      </c>
      <c r="B40" s="14">
        <v>45944</v>
      </c>
      <c r="C40" s="13" t="str">
        <f t="shared" si="3"/>
        <v>Terça-Feira</v>
      </c>
      <c r="D40" s="20">
        <v>0.2902777777777778</v>
      </c>
      <c r="E40" s="13">
        <f t="shared" si="1"/>
        <v>39</v>
      </c>
      <c r="F40" s="13">
        <f t="shared" si="2"/>
        <v>39</v>
      </c>
      <c r="G40" s="13">
        <v>1</v>
      </c>
      <c r="H40" s="13">
        <v>1</v>
      </c>
      <c r="I40" s="13">
        <v>1</v>
      </c>
      <c r="J40" s="13">
        <v>2</v>
      </c>
      <c r="K40" s="19">
        <v>7.3</v>
      </c>
    </row>
    <row r="41" spans="1:11" x14ac:dyDescent="0.25">
      <c r="A41" s="13">
        <v>40</v>
      </c>
      <c r="B41" s="14">
        <v>45944</v>
      </c>
      <c r="C41" s="13" t="str">
        <f t="shared" si="3"/>
        <v>Terça-Feira</v>
      </c>
      <c r="D41" s="20">
        <v>0.36041666666666666</v>
      </c>
      <c r="E41" s="13">
        <f t="shared" si="1"/>
        <v>40</v>
      </c>
      <c r="F41" s="13">
        <f t="shared" si="2"/>
        <v>40</v>
      </c>
      <c r="G41" s="13">
        <v>1</v>
      </c>
      <c r="H41" s="13">
        <v>1</v>
      </c>
      <c r="I41" s="13">
        <v>1</v>
      </c>
      <c r="J41" s="13">
        <v>2</v>
      </c>
      <c r="K41" s="19">
        <v>33.700000000000003</v>
      </c>
    </row>
    <row r="42" spans="1:11" x14ac:dyDescent="0.25">
      <c r="A42" s="13">
        <v>41</v>
      </c>
      <c r="B42" s="14">
        <v>45944</v>
      </c>
      <c r="C42" s="13" t="str">
        <f t="shared" si="3"/>
        <v>Terça-Feira</v>
      </c>
      <c r="D42" s="20">
        <v>0.39930555555555558</v>
      </c>
      <c r="E42" s="13">
        <f t="shared" si="1"/>
        <v>41</v>
      </c>
      <c r="F42" s="13">
        <f t="shared" si="2"/>
        <v>41</v>
      </c>
      <c r="G42" s="13">
        <v>2</v>
      </c>
      <c r="H42" s="13">
        <v>1</v>
      </c>
      <c r="I42" s="13">
        <v>1</v>
      </c>
      <c r="J42" s="13">
        <v>2</v>
      </c>
      <c r="K42" s="19">
        <v>12</v>
      </c>
    </row>
    <row r="43" spans="1:11" x14ac:dyDescent="0.25">
      <c r="A43" s="13">
        <v>42</v>
      </c>
      <c r="B43" s="14">
        <v>45944</v>
      </c>
      <c r="C43" s="13" t="str">
        <f t="shared" si="3"/>
        <v>Terça-Feira</v>
      </c>
      <c r="D43" s="20">
        <v>0.45624999999999999</v>
      </c>
      <c r="E43" s="13">
        <f t="shared" si="1"/>
        <v>42</v>
      </c>
      <c r="F43" s="13">
        <f t="shared" si="2"/>
        <v>42</v>
      </c>
      <c r="G43" s="13">
        <v>4</v>
      </c>
      <c r="H43" s="13">
        <v>1</v>
      </c>
      <c r="I43" s="13">
        <v>1</v>
      </c>
      <c r="J43" s="13">
        <v>2</v>
      </c>
      <c r="K43" s="19">
        <v>3.7</v>
      </c>
    </row>
    <row r="44" spans="1:11" x14ac:dyDescent="0.25">
      <c r="A44" s="13">
        <v>43</v>
      </c>
      <c r="B44" s="14">
        <v>45944</v>
      </c>
      <c r="C44" s="13" t="str">
        <f t="shared" si="3"/>
        <v>Terça-Feira</v>
      </c>
      <c r="D44" s="20">
        <v>0.46319444444444446</v>
      </c>
      <c r="E44" s="13">
        <f t="shared" si="1"/>
        <v>43</v>
      </c>
      <c r="F44" s="13">
        <f t="shared" si="2"/>
        <v>43</v>
      </c>
      <c r="G44" s="13">
        <v>1</v>
      </c>
      <c r="H44" s="13">
        <v>1</v>
      </c>
      <c r="I44" s="13">
        <v>1</v>
      </c>
      <c r="J44" s="13">
        <v>2</v>
      </c>
      <c r="K44" s="19">
        <v>24.1</v>
      </c>
    </row>
    <row r="45" spans="1:11" x14ac:dyDescent="0.25">
      <c r="A45" s="13">
        <v>44</v>
      </c>
      <c r="B45" s="14">
        <v>45944</v>
      </c>
      <c r="C45" s="13" t="str">
        <f t="shared" si="3"/>
        <v>Terça-Feira</v>
      </c>
      <c r="D45" s="20">
        <v>0.5083333333333333</v>
      </c>
      <c r="E45" s="13">
        <f t="shared" si="1"/>
        <v>44</v>
      </c>
      <c r="F45" s="13">
        <f t="shared" si="2"/>
        <v>44</v>
      </c>
      <c r="G45" s="13">
        <v>1</v>
      </c>
      <c r="H45" s="13">
        <v>1</v>
      </c>
      <c r="I45" s="13">
        <v>1</v>
      </c>
      <c r="J45" s="13">
        <v>2</v>
      </c>
      <c r="K45" s="19">
        <v>17</v>
      </c>
    </row>
    <row r="46" spans="1:11" x14ac:dyDescent="0.25">
      <c r="A46" s="13">
        <v>45</v>
      </c>
      <c r="B46" s="14">
        <v>45944</v>
      </c>
      <c r="C46" s="13" t="str">
        <f t="shared" si="3"/>
        <v>Terça-Feira</v>
      </c>
      <c r="D46" s="20">
        <v>0.54861111111111105</v>
      </c>
      <c r="E46" s="13">
        <f t="shared" si="1"/>
        <v>45</v>
      </c>
      <c r="F46" s="13">
        <f t="shared" si="2"/>
        <v>45</v>
      </c>
      <c r="G46" s="13">
        <v>2</v>
      </c>
      <c r="H46" s="13">
        <v>1</v>
      </c>
      <c r="I46" s="13">
        <v>1</v>
      </c>
      <c r="J46" s="13">
        <v>2</v>
      </c>
      <c r="K46" s="19">
        <v>10</v>
      </c>
    </row>
    <row r="47" spans="1:11" x14ac:dyDescent="0.25">
      <c r="A47" s="13">
        <v>46</v>
      </c>
      <c r="B47" s="14">
        <v>45944</v>
      </c>
      <c r="C47" s="13" t="str">
        <f t="shared" si="3"/>
        <v>Terça-Feira</v>
      </c>
      <c r="D47" s="20">
        <v>0.55763888888888891</v>
      </c>
      <c r="E47" s="13">
        <f t="shared" si="1"/>
        <v>46</v>
      </c>
      <c r="F47" s="13">
        <f t="shared" si="2"/>
        <v>46</v>
      </c>
      <c r="G47" s="13">
        <v>2</v>
      </c>
      <c r="H47" s="13">
        <v>1</v>
      </c>
      <c r="I47" s="13">
        <v>1</v>
      </c>
      <c r="J47" s="13">
        <v>2</v>
      </c>
      <c r="K47" s="19">
        <v>17.510000000000002</v>
      </c>
    </row>
    <row r="48" spans="1:11" x14ac:dyDescent="0.25">
      <c r="A48" s="13">
        <v>47</v>
      </c>
      <c r="B48" s="14">
        <v>45944</v>
      </c>
      <c r="C48" s="13" t="str">
        <f t="shared" si="3"/>
        <v>Terça-Feira</v>
      </c>
      <c r="D48" s="20">
        <v>0.63055555555555554</v>
      </c>
      <c r="E48" s="13">
        <f t="shared" si="1"/>
        <v>47</v>
      </c>
      <c r="F48" s="13">
        <f t="shared" si="2"/>
        <v>47</v>
      </c>
      <c r="G48" s="13">
        <v>2</v>
      </c>
      <c r="H48" s="13">
        <v>1</v>
      </c>
      <c r="I48" s="13">
        <v>1</v>
      </c>
      <c r="J48" s="13">
        <v>2</v>
      </c>
      <c r="K48" s="19">
        <v>10.7</v>
      </c>
    </row>
    <row r="49" spans="1:11" x14ac:dyDescent="0.25">
      <c r="A49" s="13">
        <v>48</v>
      </c>
      <c r="B49" s="14">
        <v>45945</v>
      </c>
      <c r="C49" s="13" t="str">
        <f t="shared" si="3"/>
        <v>Quarta-Feira</v>
      </c>
      <c r="D49" s="20">
        <v>0.29375000000000001</v>
      </c>
      <c r="E49" s="13">
        <f t="shared" si="1"/>
        <v>48</v>
      </c>
      <c r="F49" s="13">
        <f t="shared" si="2"/>
        <v>48</v>
      </c>
      <c r="G49" s="13">
        <v>2</v>
      </c>
      <c r="H49" s="13">
        <v>1</v>
      </c>
      <c r="I49" s="13">
        <v>1</v>
      </c>
      <c r="J49" s="13">
        <v>2</v>
      </c>
      <c r="K49" s="19">
        <v>36.1</v>
      </c>
    </row>
    <row r="50" spans="1:11" x14ac:dyDescent="0.25">
      <c r="A50" s="13">
        <v>49</v>
      </c>
      <c r="B50" s="14">
        <v>45946</v>
      </c>
      <c r="C50" s="13" t="str">
        <f t="shared" si="3"/>
        <v>Quinta-Feira</v>
      </c>
      <c r="D50" s="20">
        <v>0.65277777777777779</v>
      </c>
      <c r="E50" s="13">
        <f t="shared" si="1"/>
        <v>49</v>
      </c>
      <c r="F50" s="13">
        <f t="shared" si="2"/>
        <v>49</v>
      </c>
      <c r="G50" s="13">
        <v>1</v>
      </c>
      <c r="H50" s="13">
        <v>1</v>
      </c>
      <c r="I50" s="13">
        <v>1</v>
      </c>
      <c r="J50" s="13">
        <v>2</v>
      </c>
      <c r="K50" s="19">
        <v>13.4</v>
      </c>
    </row>
    <row r="51" spans="1:11" x14ac:dyDescent="0.25">
      <c r="A51" s="13">
        <v>50</v>
      </c>
      <c r="B51" s="14">
        <v>45946</v>
      </c>
      <c r="C51" s="13" t="str">
        <f t="shared" si="3"/>
        <v>Quinta-Feira</v>
      </c>
      <c r="D51" s="20">
        <v>0.65625</v>
      </c>
      <c r="E51" s="13">
        <f t="shared" si="1"/>
        <v>50</v>
      </c>
      <c r="F51" s="13">
        <f t="shared" si="2"/>
        <v>50</v>
      </c>
      <c r="G51" s="13">
        <v>2</v>
      </c>
      <c r="H51" s="13">
        <v>1</v>
      </c>
      <c r="I51" s="13">
        <v>1</v>
      </c>
      <c r="J51" s="13">
        <v>2</v>
      </c>
      <c r="K51" s="19">
        <v>10.199999999999999</v>
      </c>
    </row>
    <row r="52" spans="1:11" x14ac:dyDescent="0.25">
      <c r="A52" s="13">
        <v>51</v>
      </c>
      <c r="B52" s="14">
        <v>45946</v>
      </c>
      <c r="C52" s="13" t="str">
        <f t="shared" si="3"/>
        <v>Quinta-Feira</v>
      </c>
      <c r="D52" s="20">
        <v>0.67499999999999993</v>
      </c>
      <c r="E52" s="13">
        <f t="shared" si="1"/>
        <v>51</v>
      </c>
      <c r="F52" s="13">
        <f t="shared" si="2"/>
        <v>51</v>
      </c>
      <c r="G52" s="13">
        <v>2</v>
      </c>
      <c r="H52" s="13">
        <v>1</v>
      </c>
      <c r="I52" s="13">
        <v>1</v>
      </c>
      <c r="J52" s="13">
        <v>2</v>
      </c>
      <c r="K52" s="19">
        <v>13.75</v>
      </c>
    </row>
    <row r="53" spans="1:11" x14ac:dyDescent="0.25">
      <c r="A53" s="13">
        <v>52</v>
      </c>
      <c r="B53" s="14">
        <v>45946</v>
      </c>
      <c r="C53" s="13" t="str">
        <f t="shared" si="3"/>
        <v>Quinta-Feira</v>
      </c>
      <c r="D53" s="20">
        <v>0.69236111111111109</v>
      </c>
      <c r="E53" s="13">
        <f t="shared" si="1"/>
        <v>52</v>
      </c>
      <c r="F53" s="13">
        <f t="shared" si="2"/>
        <v>52</v>
      </c>
      <c r="G53" s="13">
        <v>2</v>
      </c>
      <c r="H53" s="13">
        <v>1</v>
      </c>
      <c r="I53" s="13">
        <v>1</v>
      </c>
      <c r="J53" s="13">
        <v>2</v>
      </c>
      <c r="K53" s="19">
        <v>27.2</v>
      </c>
    </row>
    <row r="54" spans="1:11" x14ac:dyDescent="0.25">
      <c r="A54" s="13">
        <v>53</v>
      </c>
      <c r="B54" s="14">
        <v>45946</v>
      </c>
      <c r="C54" s="13" t="str">
        <f t="shared" si="3"/>
        <v>Quinta-Feira</v>
      </c>
      <c r="D54" s="20">
        <v>0.74652777777777779</v>
      </c>
      <c r="E54" s="13">
        <f t="shared" si="1"/>
        <v>53</v>
      </c>
      <c r="F54" s="13">
        <f t="shared" si="2"/>
        <v>53</v>
      </c>
      <c r="G54" s="13">
        <v>1</v>
      </c>
      <c r="H54" s="13">
        <v>1</v>
      </c>
      <c r="I54" s="13">
        <v>1</v>
      </c>
      <c r="J54" s="13">
        <v>2</v>
      </c>
      <c r="K54" s="19">
        <v>55.4</v>
      </c>
    </row>
    <row r="55" spans="1:11" x14ac:dyDescent="0.25">
      <c r="A55" s="13">
        <v>54</v>
      </c>
      <c r="B55" s="14">
        <v>45947</v>
      </c>
      <c r="C55" s="13" t="str">
        <f t="shared" si="3"/>
        <v>Sexta-Feira</v>
      </c>
      <c r="D55" s="20">
        <v>0.22222222222222221</v>
      </c>
      <c r="E55" s="13">
        <f t="shared" si="1"/>
        <v>54</v>
      </c>
      <c r="F55" s="13">
        <f t="shared" si="2"/>
        <v>54</v>
      </c>
      <c r="G55" s="13">
        <v>2</v>
      </c>
      <c r="H55" s="13">
        <v>1</v>
      </c>
      <c r="I55" s="13">
        <v>1</v>
      </c>
      <c r="J55" s="13">
        <v>2</v>
      </c>
      <c r="K55" s="19">
        <v>7.85</v>
      </c>
    </row>
    <row r="56" spans="1:11" x14ac:dyDescent="0.25">
      <c r="A56" s="13">
        <v>55</v>
      </c>
      <c r="B56" s="14">
        <v>45947</v>
      </c>
      <c r="C56" s="13" t="str">
        <f t="shared" si="3"/>
        <v>Sexta-Feira</v>
      </c>
      <c r="D56" s="20">
        <v>0.2638888888888889</v>
      </c>
      <c r="E56" s="13">
        <f t="shared" si="1"/>
        <v>55</v>
      </c>
      <c r="F56" s="13">
        <f t="shared" si="2"/>
        <v>55</v>
      </c>
      <c r="G56" s="13">
        <v>1</v>
      </c>
      <c r="H56" s="13">
        <v>1</v>
      </c>
      <c r="I56" s="13">
        <v>1</v>
      </c>
      <c r="J56" s="13">
        <v>2</v>
      </c>
      <c r="K56" s="19">
        <v>26.9</v>
      </c>
    </row>
    <row r="57" spans="1:11" x14ac:dyDescent="0.25">
      <c r="A57" s="13">
        <v>56</v>
      </c>
      <c r="B57" s="14">
        <v>45947</v>
      </c>
      <c r="C57" s="13" t="str">
        <f t="shared" si="3"/>
        <v>Sexta-Feira</v>
      </c>
      <c r="D57" s="20">
        <v>0.28888888888888892</v>
      </c>
      <c r="E57" s="13">
        <f t="shared" si="1"/>
        <v>56</v>
      </c>
      <c r="F57" s="13">
        <f t="shared" si="2"/>
        <v>56</v>
      </c>
      <c r="G57" s="13">
        <v>2</v>
      </c>
      <c r="H57" s="13">
        <v>1</v>
      </c>
      <c r="I57" s="13">
        <v>1</v>
      </c>
      <c r="J57" s="13">
        <v>2</v>
      </c>
      <c r="K57" s="19">
        <v>9.35</v>
      </c>
    </row>
    <row r="58" spans="1:11" x14ac:dyDescent="0.25">
      <c r="A58" s="13">
        <v>57</v>
      </c>
      <c r="B58" s="14">
        <v>45947</v>
      </c>
      <c r="C58" s="13" t="str">
        <f t="shared" si="3"/>
        <v>Sexta-Feira</v>
      </c>
      <c r="D58" s="20">
        <v>0.29583333333333334</v>
      </c>
      <c r="E58" s="13">
        <f t="shared" si="1"/>
        <v>57</v>
      </c>
      <c r="F58" s="13">
        <f t="shared" si="2"/>
        <v>57</v>
      </c>
      <c r="G58" s="13">
        <v>2</v>
      </c>
      <c r="H58" s="13">
        <v>1</v>
      </c>
      <c r="I58" s="13">
        <v>1</v>
      </c>
      <c r="J58" s="13">
        <v>2</v>
      </c>
      <c r="K58" s="19">
        <v>6.2</v>
      </c>
    </row>
    <row r="59" spans="1:11" x14ac:dyDescent="0.25">
      <c r="A59" s="13">
        <v>58</v>
      </c>
      <c r="B59" s="14">
        <v>45947</v>
      </c>
      <c r="C59" s="13" t="str">
        <f t="shared" si="3"/>
        <v>Sexta-Feira</v>
      </c>
      <c r="D59" s="20">
        <v>0.35069444444444442</v>
      </c>
      <c r="E59" s="13">
        <f t="shared" si="1"/>
        <v>58</v>
      </c>
      <c r="F59" s="13">
        <f t="shared" si="2"/>
        <v>58</v>
      </c>
      <c r="G59" s="13">
        <v>2</v>
      </c>
      <c r="H59" s="13">
        <v>1</v>
      </c>
      <c r="I59" s="13">
        <v>1</v>
      </c>
      <c r="J59" s="13">
        <v>2</v>
      </c>
      <c r="K59" s="19">
        <v>13.85</v>
      </c>
    </row>
    <row r="60" spans="1:11" x14ac:dyDescent="0.25">
      <c r="A60" s="13">
        <v>59</v>
      </c>
      <c r="B60" s="14">
        <v>45947</v>
      </c>
      <c r="C60" s="13" t="str">
        <f t="shared" si="3"/>
        <v>Sexta-Feira</v>
      </c>
      <c r="D60" s="20">
        <v>0.36319444444444443</v>
      </c>
      <c r="E60" s="13">
        <f t="shared" si="1"/>
        <v>59</v>
      </c>
      <c r="F60" s="13">
        <f t="shared" si="2"/>
        <v>59</v>
      </c>
      <c r="G60" s="13">
        <v>1</v>
      </c>
      <c r="H60" s="13">
        <v>1</v>
      </c>
      <c r="I60" s="13">
        <v>1</v>
      </c>
      <c r="J60" s="13">
        <v>2</v>
      </c>
      <c r="K60" s="19">
        <v>30.7</v>
      </c>
    </row>
    <row r="61" spans="1:11" x14ac:dyDescent="0.25">
      <c r="A61" s="13">
        <v>60</v>
      </c>
      <c r="B61" s="14">
        <v>45947</v>
      </c>
      <c r="C61" s="13" t="str">
        <f t="shared" si="3"/>
        <v>Sexta-Feira</v>
      </c>
      <c r="D61" s="20">
        <v>0.47500000000000003</v>
      </c>
      <c r="E61" s="13">
        <f t="shared" si="1"/>
        <v>60</v>
      </c>
      <c r="F61" s="13">
        <f t="shared" si="2"/>
        <v>60</v>
      </c>
      <c r="G61" s="13">
        <v>2</v>
      </c>
      <c r="H61" s="13">
        <v>1</v>
      </c>
      <c r="I61" s="13">
        <v>1</v>
      </c>
      <c r="J61" s="13">
        <v>2</v>
      </c>
      <c r="K61" s="19">
        <v>5.3</v>
      </c>
    </row>
    <row r="62" spans="1:11" x14ac:dyDescent="0.25">
      <c r="A62" s="13">
        <v>61</v>
      </c>
      <c r="B62" s="14">
        <v>45947</v>
      </c>
      <c r="C62" s="13" t="str">
        <f t="shared" si="3"/>
        <v>Sexta-Feira</v>
      </c>
      <c r="D62" s="20">
        <v>0.4861111111111111</v>
      </c>
      <c r="E62" s="13">
        <f t="shared" si="1"/>
        <v>61</v>
      </c>
      <c r="F62" s="13">
        <f t="shared" si="2"/>
        <v>61</v>
      </c>
      <c r="G62" s="13">
        <v>1</v>
      </c>
      <c r="H62" s="13">
        <v>1</v>
      </c>
      <c r="I62" s="13">
        <v>1</v>
      </c>
      <c r="J62" s="13">
        <v>2</v>
      </c>
      <c r="K62" s="19">
        <v>10.35</v>
      </c>
    </row>
    <row r="63" spans="1:11" x14ac:dyDescent="0.25">
      <c r="A63" s="13">
        <v>62</v>
      </c>
      <c r="B63" s="14">
        <v>45947</v>
      </c>
      <c r="C63" s="13" t="str">
        <f t="shared" si="3"/>
        <v>Sexta-Feira</v>
      </c>
      <c r="D63" s="20">
        <v>0.54027777777777775</v>
      </c>
      <c r="E63" s="13">
        <f t="shared" si="1"/>
        <v>62</v>
      </c>
      <c r="F63" s="13">
        <f t="shared" si="2"/>
        <v>62</v>
      </c>
      <c r="G63" s="13">
        <v>2</v>
      </c>
      <c r="H63" s="13">
        <v>1</v>
      </c>
      <c r="I63" s="13">
        <v>1</v>
      </c>
      <c r="J63" s="13">
        <v>2</v>
      </c>
      <c r="K63" s="19">
        <v>5.7</v>
      </c>
    </row>
    <row r="64" spans="1:11" x14ac:dyDescent="0.25">
      <c r="A64" s="13">
        <v>63</v>
      </c>
      <c r="B64" s="14">
        <v>45948</v>
      </c>
      <c r="C64" s="13" t="str">
        <f t="shared" si="3"/>
        <v>Sábado</v>
      </c>
      <c r="D64" s="20">
        <v>0.38472222222222219</v>
      </c>
      <c r="E64" s="13">
        <f t="shared" si="1"/>
        <v>63</v>
      </c>
      <c r="F64" s="13">
        <f t="shared" si="2"/>
        <v>63</v>
      </c>
      <c r="G64" s="13">
        <v>2</v>
      </c>
      <c r="H64" s="13">
        <v>1</v>
      </c>
      <c r="I64" s="13">
        <v>1</v>
      </c>
      <c r="J64" s="13">
        <v>2</v>
      </c>
      <c r="K64" s="19">
        <v>5.35</v>
      </c>
    </row>
    <row r="65" spans="1:11" x14ac:dyDescent="0.25">
      <c r="A65" s="13">
        <v>64</v>
      </c>
      <c r="B65" s="14">
        <v>45948</v>
      </c>
      <c r="C65" s="13" t="str">
        <f t="shared" si="3"/>
        <v>Sábado</v>
      </c>
      <c r="D65" s="20">
        <v>0.75763888888888886</v>
      </c>
      <c r="E65" s="13">
        <f t="shared" si="1"/>
        <v>64</v>
      </c>
      <c r="F65" s="13">
        <f t="shared" si="2"/>
        <v>64</v>
      </c>
      <c r="G65" s="13">
        <v>2</v>
      </c>
      <c r="H65" s="13">
        <v>1</v>
      </c>
      <c r="I65" s="13">
        <v>1</v>
      </c>
      <c r="J65" s="13">
        <v>2</v>
      </c>
      <c r="K65" s="19">
        <v>19.899999999999999</v>
      </c>
    </row>
    <row r="66" spans="1:11" x14ac:dyDescent="0.25">
      <c r="A66" s="13">
        <v>65</v>
      </c>
      <c r="B66" s="14">
        <v>45948</v>
      </c>
      <c r="C66" s="13" t="str">
        <f t="shared" ref="C66:C97" si="4">PROPER(TEXT(WEEKDAY(B66),"dddd"))</f>
        <v>Sábado</v>
      </c>
      <c r="D66" s="20">
        <v>0.7715277777777777</v>
      </c>
      <c r="E66" s="13">
        <f t="shared" si="1"/>
        <v>65</v>
      </c>
      <c r="F66" s="13">
        <f t="shared" si="2"/>
        <v>65</v>
      </c>
      <c r="G66" s="13">
        <v>1</v>
      </c>
      <c r="H66" s="13">
        <v>1</v>
      </c>
      <c r="I66" s="13">
        <v>1</v>
      </c>
      <c r="J66" s="13">
        <v>2</v>
      </c>
      <c r="K66" s="19">
        <v>13.75</v>
      </c>
    </row>
    <row r="67" spans="1:11" x14ac:dyDescent="0.25">
      <c r="A67" s="13">
        <v>66</v>
      </c>
      <c r="B67" s="14">
        <v>45948</v>
      </c>
      <c r="C67" s="13" t="str">
        <f t="shared" si="4"/>
        <v>Sábado</v>
      </c>
      <c r="D67" s="20">
        <v>0.78402777777777777</v>
      </c>
      <c r="E67" s="13">
        <f t="shared" ref="E67:E130" si="5">A67</f>
        <v>66</v>
      </c>
      <c r="F67" s="13">
        <f t="shared" ref="F67:F101" si="6">A67</f>
        <v>66</v>
      </c>
      <c r="G67" s="13">
        <v>1</v>
      </c>
      <c r="H67" s="13">
        <v>1</v>
      </c>
      <c r="I67" s="13">
        <v>1</v>
      </c>
      <c r="J67" s="13">
        <v>2</v>
      </c>
      <c r="K67" s="19">
        <v>14.25</v>
      </c>
    </row>
    <row r="68" spans="1:11" x14ac:dyDescent="0.25">
      <c r="A68" s="13">
        <v>67</v>
      </c>
      <c r="B68" s="14">
        <v>45948</v>
      </c>
      <c r="C68" s="13" t="str">
        <f t="shared" si="4"/>
        <v>Sábado</v>
      </c>
      <c r="D68" s="20">
        <v>0.79999999999999993</v>
      </c>
      <c r="E68" s="13">
        <f t="shared" si="5"/>
        <v>67</v>
      </c>
      <c r="F68" s="13">
        <f t="shared" si="6"/>
        <v>67</v>
      </c>
      <c r="G68" s="13">
        <v>2</v>
      </c>
      <c r="H68" s="13">
        <v>1</v>
      </c>
      <c r="I68" s="13">
        <v>1</v>
      </c>
      <c r="J68" s="13">
        <v>2</v>
      </c>
      <c r="K68" s="19">
        <v>39.799999999999997</v>
      </c>
    </row>
    <row r="69" spans="1:11" x14ac:dyDescent="0.25">
      <c r="A69" s="13">
        <v>68</v>
      </c>
      <c r="B69" s="14">
        <v>45949</v>
      </c>
      <c r="C69" s="13" t="str">
        <f t="shared" si="4"/>
        <v>Domingo</v>
      </c>
      <c r="D69" s="20">
        <v>0.54999999999999993</v>
      </c>
      <c r="E69" s="13">
        <f t="shared" si="5"/>
        <v>68</v>
      </c>
      <c r="F69" s="13">
        <f t="shared" si="6"/>
        <v>68</v>
      </c>
      <c r="G69" s="13">
        <v>2</v>
      </c>
      <c r="H69" s="13">
        <v>1</v>
      </c>
      <c r="I69" s="13">
        <v>1</v>
      </c>
      <c r="J69" s="13">
        <v>2</v>
      </c>
      <c r="K69" s="19">
        <v>34.65</v>
      </c>
    </row>
    <row r="70" spans="1:11" x14ac:dyDescent="0.25">
      <c r="A70" s="13">
        <v>69</v>
      </c>
      <c r="B70" s="14">
        <v>45949</v>
      </c>
      <c r="C70" s="13" t="str">
        <f t="shared" si="4"/>
        <v>Domingo</v>
      </c>
      <c r="D70" s="20">
        <v>0.5854166666666667</v>
      </c>
      <c r="E70" s="13">
        <f t="shared" si="5"/>
        <v>69</v>
      </c>
      <c r="F70" s="13">
        <f t="shared" si="6"/>
        <v>69</v>
      </c>
      <c r="G70" s="13">
        <v>1</v>
      </c>
      <c r="H70" s="13">
        <v>1</v>
      </c>
      <c r="I70" s="13">
        <v>1</v>
      </c>
      <c r="J70" s="13">
        <v>2</v>
      </c>
      <c r="K70" s="19">
        <v>9.8000000000000007</v>
      </c>
    </row>
    <row r="71" spans="1:11" x14ac:dyDescent="0.25">
      <c r="A71" s="13">
        <v>70</v>
      </c>
      <c r="B71" s="14">
        <v>45949</v>
      </c>
      <c r="C71" s="13" t="str">
        <f t="shared" si="4"/>
        <v>Domingo</v>
      </c>
      <c r="D71" s="20">
        <v>0.62569444444444444</v>
      </c>
      <c r="E71" s="13">
        <f t="shared" si="5"/>
        <v>70</v>
      </c>
      <c r="F71" s="13">
        <f t="shared" si="6"/>
        <v>70</v>
      </c>
      <c r="G71" s="13">
        <v>3</v>
      </c>
      <c r="H71" s="13">
        <v>1</v>
      </c>
      <c r="I71" s="13">
        <v>1</v>
      </c>
      <c r="J71" s="13">
        <v>2</v>
      </c>
      <c r="K71" s="19">
        <v>0</v>
      </c>
    </row>
    <row r="72" spans="1:11" x14ac:dyDescent="0.25">
      <c r="A72" s="13">
        <v>71</v>
      </c>
      <c r="B72" s="14">
        <v>45949</v>
      </c>
      <c r="C72" s="13" t="str">
        <f t="shared" si="4"/>
        <v>Domingo</v>
      </c>
      <c r="D72" s="20">
        <v>0.62638888888888888</v>
      </c>
      <c r="E72" s="13">
        <f t="shared" si="5"/>
        <v>71</v>
      </c>
      <c r="F72" s="13">
        <f t="shared" si="6"/>
        <v>71</v>
      </c>
      <c r="G72" s="13">
        <v>1</v>
      </c>
      <c r="H72" s="13">
        <v>1</v>
      </c>
      <c r="I72" s="13">
        <v>1</v>
      </c>
      <c r="J72" s="13">
        <v>2</v>
      </c>
      <c r="K72" s="19">
        <v>16.149999999999999</v>
      </c>
    </row>
    <row r="73" spans="1:11" x14ac:dyDescent="0.25">
      <c r="A73" s="13">
        <v>72</v>
      </c>
      <c r="B73" s="14">
        <v>45949</v>
      </c>
      <c r="C73" s="13" t="str">
        <f t="shared" si="4"/>
        <v>Domingo</v>
      </c>
      <c r="D73" s="20">
        <v>0.63541666666666663</v>
      </c>
      <c r="E73" s="13">
        <f t="shared" si="5"/>
        <v>72</v>
      </c>
      <c r="F73" s="13">
        <f t="shared" si="6"/>
        <v>72</v>
      </c>
      <c r="G73" s="13">
        <v>2</v>
      </c>
      <c r="H73" s="13">
        <v>1</v>
      </c>
      <c r="I73" s="13">
        <v>1</v>
      </c>
      <c r="J73" s="13">
        <v>2</v>
      </c>
      <c r="K73" s="19">
        <v>3.3</v>
      </c>
    </row>
    <row r="74" spans="1:11" x14ac:dyDescent="0.25">
      <c r="A74" s="13">
        <v>73</v>
      </c>
      <c r="B74" s="14">
        <v>45949</v>
      </c>
      <c r="C74" s="13" t="str">
        <f t="shared" si="4"/>
        <v>Domingo</v>
      </c>
      <c r="D74" s="20">
        <v>0.64583333333333337</v>
      </c>
      <c r="E74" s="13">
        <f t="shared" si="5"/>
        <v>73</v>
      </c>
      <c r="F74" s="13">
        <f t="shared" si="6"/>
        <v>73</v>
      </c>
      <c r="G74" s="13">
        <v>4</v>
      </c>
      <c r="H74" s="13">
        <v>1</v>
      </c>
      <c r="I74" s="13">
        <v>1</v>
      </c>
      <c r="J74" s="13">
        <v>2</v>
      </c>
      <c r="K74" s="19">
        <v>0</v>
      </c>
    </row>
    <row r="75" spans="1:11" x14ac:dyDescent="0.25">
      <c r="A75" s="13">
        <v>74</v>
      </c>
      <c r="B75" s="14">
        <v>45951</v>
      </c>
      <c r="C75" s="13" t="str">
        <f t="shared" si="4"/>
        <v>Terça-Feira</v>
      </c>
      <c r="D75" s="20">
        <v>0.34097222222222223</v>
      </c>
      <c r="E75" s="13">
        <f t="shared" si="5"/>
        <v>74</v>
      </c>
      <c r="F75" s="13">
        <f t="shared" si="6"/>
        <v>74</v>
      </c>
      <c r="G75" s="13">
        <v>1</v>
      </c>
      <c r="H75" s="13">
        <v>1</v>
      </c>
      <c r="I75" s="13">
        <v>1</v>
      </c>
      <c r="J75" s="13">
        <v>2</v>
      </c>
      <c r="K75" s="19">
        <v>12.1</v>
      </c>
    </row>
    <row r="76" spans="1:11" x14ac:dyDescent="0.25">
      <c r="A76" s="13">
        <v>75</v>
      </c>
      <c r="B76" s="14">
        <v>45951</v>
      </c>
      <c r="C76" s="13" t="str">
        <f t="shared" si="4"/>
        <v>Terça-Feira</v>
      </c>
      <c r="D76" s="20">
        <v>0.38541666666666669</v>
      </c>
      <c r="E76" s="13">
        <f t="shared" si="5"/>
        <v>75</v>
      </c>
      <c r="F76" s="13">
        <f t="shared" si="6"/>
        <v>75</v>
      </c>
      <c r="G76" s="13">
        <v>1</v>
      </c>
      <c r="H76" s="13">
        <v>1</v>
      </c>
      <c r="I76" s="13">
        <v>1</v>
      </c>
      <c r="J76" s="13">
        <v>2</v>
      </c>
      <c r="K76" s="19">
        <v>22.55</v>
      </c>
    </row>
    <row r="77" spans="1:11" x14ac:dyDescent="0.25">
      <c r="A77" s="13">
        <v>76</v>
      </c>
      <c r="B77" s="14">
        <v>45951</v>
      </c>
      <c r="C77" s="13" t="str">
        <f t="shared" si="4"/>
        <v>Terça-Feira</v>
      </c>
      <c r="D77" s="20">
        <v>0.41319444444444442</v>
      </c>
      <c r="E77" s="13">
        <f t="shared" si="5"/>
        <v>76</v>
      </c>
      <c r="F77" s="13">
        <f t="shared" si="6"/>
        <v>76</v>
      </c>
      <c r="G77" s="13">
        <v>2</v>
      </c>
      <c r="H77" s="13">
        <v>1</v>
      </c>
      <c r="I77" s="13">
        <v>1</v>
      </c>
      <c r="J77" s="13">
        <v>2</v>
      </c>
      <c r="K77" s="19">
        <v>12.5</v>
      </c>
    </row>
    <row r="78" spans="1:11" x14ac:dyDescent="0.25">
      <c r="A78" s="13">
        <v>77</v>
      </c>
      <c r="B78" s="14">
        <v>45951</v>
      </c>
      <c r="C78" s="13" t="str">
        <f t="shared" si="4"/>
        <v>Terça-Feira</v>
      </c>
      <c r="D78" s="20">
        <v>0.41875000000000001</v>
      </c>
      <c r="E78" s="13">
        <f t="shared" si="5"/>
        <v>77</v>
      </c>
      <c r="F78" s="13">
        <f t="shared" si="6"/>
        <v>77</v>
      </c>
      <c r="G78" s="13">
        <v>1</v>
      </c>
      <c r="H78" s="13">
        <v>1</v>
      </c>
      <c r="I78" s="13">
        <v>1</v>
      </c>
      <c r="J78" s="13">
        <v>2</v>
      </c>
      <c r="K78" s="19">
        <v>34.1</v>
      </c>
    </row>
    <row r="79" spans="1:11" x14ac:dyDescent="0.25">
      <c r="A79" s="13">
        <v>78</v>
      </c>
      <c r="B79" s="14">
        <v>45951</v>
      </c>
      <c r="C79" s="13" t="str">
        <f t="shared" si="4"/>
        <v>Terça-Feira</v>
      </c>
      <c r="D79" s="20">
        <v>0.45</v>
      </c>
      <c r="E79" s="13">
        <f t="shared" si="5"/>
        <v>78</v>
      </c>
      <c r="F79" s="13">
        <f t="shared" si="6"/>
        <v>78</v>
      </c>
      <c r="G79" s="13">
        <v>3</v>
      </c>
      <c r="H79" s="13">
        <v>1</v>
      </c>
      <c r="I79" s="13">
        <v>1</v>
      </c>
      <c r="J79" s="13">
        <v>2</v>
      </c>
      <c r="K79" s="19">
        <v>0</v>
      </c>
    </row>
    <row r="80" spans="1:11" x14ac:dyDescent="0.25">
      <c r="A80" s="13">
        <v>79</v>
      </c>
      <c r="B80" s="14">
        <v>45952</v>
      </c>
      <c r="C80" s="13" t="str">
        <f t="shared" si="4"/>
        <v>Quarta-Feira</v>
      </c>
      <c r="D80" s="20">
        <v>0.40069444444444446</v>
      </c>
      <c r="E80" s="13">
        <f t="shared" si="5"/>
        <v>79</v>
      </c>
      <c r="F80" s="13">
        <f t="shared" si="6"/>
        <v>79</v>
      </c>
      <c r="G80" s="13">
        <v>2</v>
      </c>
      <c r="H80" s="13">
        <v>1</v>
      </c>
      <c r="I80" s="13">
        <v>1</v>
      </c>
      <c r="J80" s="13">
        <v>2</v>
      </c>
      <c r="K80" s="19">
        <v>11.7</v>
      </c>
    </row>
    <row r="81" spans="1:11" x14ac:dyDescent="0.25">
      <c r="A81" s="13">
        <v>80</v>
      </c>
      <c r="B81" s="14">
        <v>45952</v>
      </c>
      <c r="C81" s="13" t="str">
        <f t="shared" si="4"/>
        <v>Quarta-Feira</v>
      </c>
      <c r="D81" s="20">
        <v>0.40833333333333338</v>
      </c>
      <c r="E81" s="13">
        <f t="shared" si="5"/>
        <v>80</v>
      </c>
      <c r="F81" s="13">
        <f t="shared" si="6"/>
        <v>80</v>
      </c>
      <c r="G81" s="13">
        <v>1</v>
      </c>
      <c r="H81" s="13">
        <v>1</v>
      </c>
      <c r="I81" s="13">
        <v>1</v>
      </c>
      <c r="J81" s="13">
        <v>2</v>
      </c>
      <c r="K81" s="19">
        <v>6.25</v>
      </c>
    </row>
    <row r="82" spans="1:11" x14ac:dyDescent="0.25">
      <c r="A82" s="13">
        <v>81</v>
      </c>
      <c r="B82" s="14">
        <v>45871</v>
      </c>
      <c r="C82" s="13" t="str">
        <f t="shared" si="4"/>
        <v>Sábado</v>
      </c>
      <c r="D82" s="20">
        <v>0.36527777777777781</v>
      </c>
      <c r="E82" s="13">
        <f t="shared" si="5"/>
        <v>81</v>
      </c>
      <c r="F82" s="13">
        <f t="shared" si="6"/>
        <v>81</v>
      </c>
      <c r="G82" s="13">
        <v>2</v>
      </c>
      <c r="H82" s="13">
        <v>1</v>
      </c>
      <c r="I82" s="13">
        <v>1</v>
      </c>
      <c r="J82" s="13">
        <v>1</v>
      </c>
      <c r="K82" s="19">
        <v>32.950000000000003</v>
      </c>
    </row>
    <row r="83" spans="1:11" x14ac:dyDescent="0.25">
      <c r="A83" s="13">
        <v>82</v>
      </c>
      <c r="B83" s="14">
        <v>45871</v>
      </c>
      <c r="C83" s="13" t="str">
        <f t="shared" si="4"/>
        <v>Sábado</v>
      </c>
      <c r="D83" s="20">
        <v>0.39444444444444443</v>
      </c>
      <c r="E83" s="13">
        <f t="shared" si="5"/>
        <v>82</v>
      </c>
      <c r="F83" s="13">
        <f t="shared" si="6"/>
        <v>82</v>
      </c>
      <c r="G83" s="13">
        <v>2</v>
      </c>
      <c r="H83" s="13">
        <v>1</v>
      </c>
      <c r="I83" s="13">
        <v>1</v>
      </c>
      <c r="J83" s="13">
        <v>1</v>
      </c>
      <c r="K83" s="19">
        <v>10</v>
      </c>
    </row>
    <row r="84" spans="1:11" x14ac:dyDescent="0.25">
      <c r="A84" s="13">
        <v>83</v>
      </c>
      <c r="B84" s="14">
        <v>45871</v>
      </c>
      <c r="C84" s="13" t="str">
        <f t="shared" si="4"/>
        <v>Sábado</v>
      </c>
      <c r="D84" s="20">
        <v>0.4069444444444445</v>
      </c>
      <c r="E84" s="13">
        <f t="shared" si="5"/>
        <v>83</v>
      </c>
      <c r="F84" s="13">
        <f t="shared" si="6"/>
        <v>83</v>
      </c>
      <c r="G84" s="13">
        <v>2</v>
      </c>
      <c r="H84" s="13">
        <v>1</v>
      </c>
      <c r="I84" s="13">
        <v>1</v>
      </c>
      <c r="J84" s="13">
        <v>1</v>
      </c>
      <c r="K84" s="19">
        <v>3.2</v>
      </c>
    </row>
    <row r="85" spans="1:11" x14ac:dyDescent="0.25">
      <c r="A85" s="13">
        <v>84</v>
      </c>
      <c r="B85" s="14">
        <v>45871</v>
      </c>
      <c r="C85" s="13" t="str">
        <f t="shared" si="4"/>
        <v>Sábado</v>
      </c>
      <c r="D85" s="20">
        <v>0.4236111111111111</v>
      </c>
      <c r="E85" s="13">
        <f t="shared" si="5"/>
        <v>84</v>
      </c>
      <c r="F85" s="13">
        <f t="shared" si="6"/>
        <v>84</v>
      </c>
      <c r="G85" s="13">
        <v>1</v>
      </c>
      <c r="H85" s="13">
        <v>1</v>
      </c>
      <c r="I85" s="13">
        <v>1</v>
      </c>
      <c r="J85" s="13">
        <v>1</v>
      </c>
      <c r="K85" s="19">
        <v>9.35</v>
      </c>
    </row>
    <row r="86" spans="1:11" x14ac:dyDescent="0.25">
      <c r="A86" s="13">
        <v>85</v>
      </c>
      <c r="B86" s="14">
        <v>45871</v>
      </c>
      <c r="C86" s="13" t="str">
        <f t="shared" si="4"/>
        <v>Sábado</v>
      </c>
      <c r="D86" s="20">
        <v>0.4381944444444445</v>
      </c>
      <c r="E86" s="13">
        <f t="shared" si="5"/>
        <v>85</v>
      </c>
      <c r="F86" s="13">
        <f t="shared" si="6"/>
        <v>85</v>
      </c>
      <c r="G86" s="13">
        <v>2</v>
      </c>
      <c r="H86" s="13">
        <v>1</v>
      </c>
      <c r="I86" s="13">
        <v>1</v>
      </c>
      <c r="J86" s="13">
        <v>1</v>
      </c>
      <c r="K86" s="19">
        <v>16.149999999999999</v>
      </c>
    </row>
    <row r="87" spans="1:11" x14ac:dyDescent="0.25">
      <c r="A87" s="13">
        <v>86</v>
      </c>
      <c r="B87" s="14">
        <v>45871</v>
      </c>
      <c r="C87" s="13" t="str">
        <f t="shared" si="4"/>
        <v>Sábado</v>
      </c>
      <c r="D87" s="20">
        <v>0.45</v>
      </c>
      <c r="E87" s="13">
        <f t="shared" si="5"/>
        <v>86</v>
      </c>
      <c r="F87" s="13">
        <f t="shared" si="6"/>
        <v>86</v>
      </c>
      <c r="G87" s="13">
        <v>2</v>
      </c>
      <c r="H87" s="13">
        <v>1</v>
      </c>
      <c r="I87" s="13">
        <v>1</v>
      </c>
      <c r="J87" s="13">
        <v>1</v>
      </c>
      <c r="K87" s="19">
        <v>15</v>
      </c>
    </row>
    <row r="88" spans="1:11" x14ac:dyDescent="0.25">
      <c r="A88" s="13">
        <v>87</v>
      </c>
      <c r="B88" s="14">
        <v>45871</v>
      </c>
      <c r="C88" s="13" t="str">
        <f t="shared" si="4"/>
        <v>Sábado</v>
      </c>
      <c r="D88" s="20">
        <v>0.46249999999999997</v>
      </c>
      <c r="E88" s="13">
        <f t="shared" si="5"/>
        <v>87</v>
      </c>
      <c r="F88" s="13">
        <f t="shared" si="6"/>
        <v>87</v>
      </c>
      <c r="G88" s="13">
        <v>2</v>
      </c>
      <c r="H88" s="13">
        <v>1</v>
      </c>
      <c r="I88" s="13">
        <v>1</v>
      </c>
      <c r="J88" s="13">
        <v>1</v>
      </c>
      <c r="K88" s="19">
        <v>8.5</v>
      </c>
    </row>
    <row r="89" spans="1:11" x14ac:dyDescent="0.25">
      <c r="A89" s="13">
        <v>88</v>
      </c>
      <c r="B89" s="14">
        <v>45871</v>
      </c>
      <c r="C89" s="13" t="str">
        <f t="shared" si="4"/>
        <v>Sábado</v>
      </c>
      <c r="D89" s="20">
        <v>0.47222222222222227</v>
      </c>
      <c r="E89" s="13">
        <f t="shared" si="5"/>
        <v>88</v>
      </c>
      <c r="F89" s="13">
        <f t="shared" si="6"/>
        <v>88</v>
      </c>
      <c r="G89" s="13">
        <v>2</v>
      </c>
      <c r="H89" s="13">
        <v>1</v>
      </c>
      <c r="I89" s="13">
        <v>1</v>
      </c>
      <c r="J89" s="13">
        <v>1</v>
      </c>
      <c r="K89" s="19">
        <v>11</v>
      </c>
    </row>
    <row r="90" spans="1:11" x14ac:dyDescent="0.25">
      <c r="A90" s="13">
        <v>89</v>
      </c>
      <c r="B90" s="14">
        <v>45871</v>
      </c>
      <c r="C90" s="13" t="str">
        <f t="shared" si="4"/>
        <v>Sábado</v>
      </c>
      <c r="D90" s="20">
        <v>0.4826388888888889</v>
      </c>
      <c r="E90" s="13">
        <f t="shared" si="5"/>
        <v>89</v>
      </c>
      <c r="F90" s="13">
        <f t="shared" si="6"/>
        <v>89</v>
      </c>
      <c r="G90" s="13">
        <v>2</v>
      </c>
      <c r="H90" s="13">
        <v>1</v>
      </c>
      <c r="I90" s="13">
        <v>1</v>
      </c>
      <c r="J90" s="13">
        <v>1</v>
      </c>
      <c r="K90" s="19">
        <v>30.51</v>
      </c>
    </row>
    <row r="91" spans="1:11" x14ac:dyDescent="0.25">
      <c r="A91" s="13">
        <v>90</v>
      </c>
      <c r="B91" s="14">
        <v>45871</v>
      </c>
      <c r="C91" s="13" t="str">
        <f t="shared" si="4"/>
        <v>Sábado</v>
      </c>
      <c r="D91" s="20">
        <v>0.51180555555555551</v>
      </c>
      <c r="E91" s="13">
        <f t="shared" si="5"/>
        <v>90</v>
      </c>
      <c r="F91" s="13">
        <f t="shared" si="6"/>
        <v>90</v>
      </c>
      <c r="G91" s="13">
        <v>1</v>
      </c>
      <c r="H91" s="13">
        <v>1</v>
      </c>
      <c r="I91" s="13">
        <v>1</v>
      </c>
      <c r="J91" s="13">
        <v>1</v>
      </c>
      <c r="K91" s="19">
        <v>9.4</v>
      </c>
    </row>
    <row r="92" spans="1:11" x14ac:dyDescent="0.25">
      <c r="A92" s="13">
        <v>91</v>
      </c>
      <c r="B92" s="14">
        <v>45871</v>
      </c>
      <c r="C92" s="13" t="str">
        <f t="shared" si="4"/>
        <v>Sábado</v>
      </c>
      <c r="D92" s="20">
        <v>0.53819444444444442</v>
      </c>
      <c r="E92" s="13">
        <f t="shared" si="5"/>
        <v>91</v>
      </c>
      <c r="F92" s="13">
        <f t="shared" si="6"/>
        <v>91</v>
      </c>
      <c r="G92" s="13">
        <v>2</v>
      </c>
      <c r="H92" s="13">
        <v>1</v>
      </c>
      <c r="I92" s="13">
        <v>1</v>
      </c>
      <c r="J92" s="13">
        <v>1</v>
      </c>
      <c r="K92" s="19">
        <v>15.1</v>
      </c>
    </row>
    <row r="93" spans="1:11" x14ac:dyDescent="0.25">
      <c r="A93" s="13">
        <v>92</v>
      </c>
      <c r="B93" s="14">
        <v>45871</v>
      </c>
      <c r="C93" s="13" t="str">
        <f t="shared" si="4"/>
        <v>Sábado</v>
      </c>
      <c r="D93" s="20">
        <v>0.55972222222222223</v>
      </c>
      <c r="E93" s="13">
        <f t="shared" si="5"/>
        <v>92</v>
      </c>
      <c r="F93" s="13">
        <f t="shared" si="6"/>
        <v>92</v>
      </c>
      <c r="G93" s="13">
        <v>1</v>
      </c>
      <c r="H93" s="13">
        <v>1</v>
      </c>
      <c r="I93" s="13">
        <v>1</v>
      </c>
      <c r="J93" s="13">
        <v>1</v>
      </c>
      <c r="K93" s="19">
        <v>9</v>
      </c>
    </row>
    <row r="94" spans="1:11" x14ac:dyDescent="0.25">
      <c r="A94" s="13">
        <v>93</v>
      </c>
      <c r="B94" s="14">
        <v>45871</v>
      </c>
      <c r="C94" s="13" t="str">
        <f t="shared" si="4"/>
        <v>Sábado</v>
      </c>
      <c r="D94" s="20">
        <v>0.5708333333333333</v>
      </c>
      <c r="E94" s="13">
        <f t="shared" si="5"/>
        <v>93</v>
      </c>
      <c r="F94" s="13">
        <f t="shared" si="6"/>
        <v>93</v>
      </c>
      <c r="G94" s="13">
        <v>2</v>
      </c>
      <c r="H94" s="13">
        <v>1</v>
      </c>
      <c r="I94" s="13">
        <v>1</v>
      </c>
      <c r="J94" s="13">
        <v>1</v>
      </c>
      <c r="K94" s="19">
        <v>38</v>
      </c>
    </row>
    <row r="95" spans="1:11" x14ac:dyDescent="0.25">
      <c r="A95" s="13">
        <v>94</v>
      </c>
      <c r="B95" s="14">
        <v>45871</v>
      </c>
      <c r="C95" s="13" t="str">
        <f t="shared" si="4"/>
        <v>Sábado</v>
      </c>
      <c r="D95" s="20">
        <v>0.6069444444444444</v>
      </c>
      <c r="E95" s="13">
        <f t="shared" si="5"/>
        <v>94</v>
      </c>
      <c r="F95" s="13">
        <f t="shared" si="6"/>
        <v>94</v>
      </c>
      <c r="G95" s="13">
        <v>1</v>
      </c>
      <c r="H95" s="13">
        <v>1</v>
      </c>
      <c r="I95" s="13">
        <v>1</v>
      </c>
      <c r="J95" s="13">
        <v>1</v>
      </c>
      <c r="K95" s="19">
        <v>17.399999999999999</v>
      </c>
    </row>
    <row r="96" spans="1:11" x14ac:dyDescent="0.25">
      <c r="A96" s="13">
        <v>95</v>
      </c>
      <c r="B96" s="14">
        <v>45871</v>
      </c>
      <c r="C96" s="13" t="str">
        <f t="shared" si="4"/>
        <v>Sábado</v>
      </c>
      <c r="D96" s="20">
        <v>0.62916666666666665</v>
      </c>
      <c r="E96" s="13">
        <f t="shared" si="5"/>
        <v>95</v>
      </c>
      <c r="F96" s="13">
        <f t="shared" si="6"/>
        <v>95</v>
      </c>
      <c r="G96" s="13">
        <v>4</v>
      </c>
      <c r="H96" s="13">
        <v>1</v>
      </c>
      <c r="I96" s="13">
        <v>1</v>
      </c>
      <c r="J96" s="13">
        <v>1</v>
      </c>
      <c r="K96" s="19">
        <v>0</v>
      </c>
    </row>
    <row r="97" spans="1:11" x14ac:dyDescent="0.25">
      <c r="A97" s="13">
        <v>96</v>
      </c>
      <c r="B97" s="14">
        <v>45871</v>
      </c>
      <c r="C97" s="13" t="str">
        <f t="shared" si="4"/>
        <v>Sábado</v>
      </c>
      <c r="D97" s="20">
        <v>0.74791666666666667</v>
      </c>
      <c r="E97" s="13">
        <f t="shared" si="5"/>
        <v>96</v>
      </c>
      <c r="F97" s="13">
        <f t="shared" si="6"/>
        <v>96</v>
      </c>
      <c r="G97" s="13">
        <v>1</v>
      </c>
      <c r="H97" s="13">
        <v>1</v>
      </c>
      <c r="I97" s="13">
        <v>1</v>
      </c>
      <c r="J97" s="13">
        <v>1</v>
      </c>
      <c r="K97" s="19">
        <v>8.4</v>
      </c>
    </row>
    <row r="98" spans="1:11" x14ac:dyDescent="0.25">
      <c r="A98" s="13">
        <v>97</v>
      </c>
      <c r="B98" s="14">
        <v>45871</v>
      </c>
      <c r="C98" s="13" t="str">
        <f t="shared" ref="C98:C141" si="7">PROPER(TEXT(WEEKDAY(B98),"dddd"))</f>
        <v>Sábado</v>
      </c>
      <c r="D98" s="20">
        <v>0.75763888888888886</v>
      </c>
      <c r="E98" s="13">
        <f t="shared" si="5"/>
        <v>97</v>
      </c>
      <c r="F98" s="13">
        <f t="shared" si="6"/>
        <v>97</v>
      </c>
      <c r="G98" s="13">
        <v>2</v>
      </c>
      <c r="H98" s="13">
        <v>1</v>
      </c>
      <c r="I98" s="13">
        <v>1</v>
      </c>
      <c r="J98" s="13">
        <v>1</v>
      </c>
      <c r="K98" s="19">
        <v>16.75</v>
      </c>
    </row>
    <row r="99" spans="1:11" x14ac:dyDescent="0.25">
      <c r="A99" s="13">
        <v>98</v>
      </c>
      <c r="B99" s="14">
        <v>45871</v>
      </c>
      <c r="C99" s="13" t="str">
        <f t="shared" si="7"/>
        <v>Sábado</v>
      </c>
      <c r="D99" s="20">
        <v>0.7729166666666667</v>
      </c>
      <c r="E99" s="13">
        <f t="shared" si="5"/>
        <v>98</v>
      </c>
      <c r="F99" s="13">
        <f t="shared" si="6"/>
        <v>98</v>
      </c>
      <c r="G99" s="13">
        <v>2</v>
      </c>
      <c r="H99" s="13">
        <v>1</v>
      </c>
      <c r="I99" s="13">
        <v>1</v>
      </c>
      <c r="J99" s="13">
        <v>1</v>
      </c>
      <c r="K99" s="19">
        <v>10</v>
      </c>
    </row>
    <row r="100" spans="1:11" x14ac:dyDescent="0.25">
      <c r="A100" s="13">
        <v>99</v>
      </c>
      <c r="B100" s="14">
        <v>45875</v>
      </c>
      <c r="C100" s="13" t="str">
        <f t="shared" si="7"/>
        <v>Quarta-Feira</v>
      </c>
      <c r="D100" s="20">
        <v>0.72013888888888899</v>
      </c>
      <c r="E100" s="13">
        <f t="shared" si="5"/>
        <v>99</v>
      </c>
      <c r="F100" s="13">
        <f t="shared" si="6"/>
        <v>99</v>
      </c>
      <c r="G100" s="13">
        <v>2</v>
      </c>
      <c r="H100" s="13">
        <v>1</v>
      </c>
      <c r="I100" s="13">
        <v>1</v>
      </c>
      <c r="J100" s="13">
        <v>1</v>
      </c>
      <c r="K100" s="19">
        <v>5.4</v>
      </c>
    </row>
    <row r="101" spans="1:11" x14ac:dyDescent="0.25">
      <c r="A101" s="13">
        <v>100</v>
      </c>
      <c r="B101" s="14">
        <v>45875</v>
      </c>
      <c r="C101" s="13" t="str">
        <f t="shared" si="7"/>
        <v>Quarta-Feira</v>
      </c>
      <c r="D101" s="20">
        <v>0.72638888888888886</v>
      </c>
      <c r="E101" s="13">
        <f t="shared" si="5"/>
        <v>100</v>
      </c>
      <c r="F101" s="13">
        <f t="shared" si="6"/>
        <v>100</v>
      </c>
      <c r="G101" s="13">
        <v>1</v>
      </c>
      <c r="H101" s="13">
        <v>1</v>
      </c>
      <c r="I101" s="13">
        <v>1</v>
      </c>
      <c r="J101" s="13">
        <v>1</v>
      </c>
      <c r="K101" s="19">
        <v>12.5</v>
      </c>
    </row>
    <row r="102" spans="1:11" x14ac:dyDescent="0.25">
      <c r="A102" s="13">
        <v>101</v>
      </c>
      <c r="B102" s="14">
        <v>45875</v>
      </c>
      <c r="C102" s="13" t="str">
        <f t="shared" si="7"/>
        <v>Quarta-Feira</v>
      </c>
      <c r="D102" s="20">
        <v>0.74097222222222225</v>
      </c>
      <c r="E102" s="13">
        <f t="shared" si="5"/>
        <v>101</v>
      </c>
      <c r="F102" s="13">
        <f>A102</f>
        <v>101</v>
      </c>
      <c r="G102" s="13">
        <v>2</v>
      </c>
      <c r="H102" s="13">
        <v>1</v>
      </c>
      <c r="I102" s="13">
        <v>1</v>
      </c>
      <c r="J102" s="13">
        <v>1</v>
      </c>
      <c r="K102" s="19">
        <v>10.5</v>
      </c>
    </row>
    <row r="103" spans="1:11" x14ac:dyDescent="0.25">
      <c r="A103" s="13">
        <v>102</v>
      </c>
      <c r="B103" s="14">
        <v>45875</v>
      </c>
      <c r="C103" s="13" t="str">
        <f t="shared" si="7"/>
        <v>Quarta-Feira</v>
      </c>
      <c r="D103" s="20">
        <v>0.74513888888888891</v>
      </c>
      <c r="E103" s="13">
        <f t="shared" si="5"/>
        <v>102</v>
      </c>
      <c r="F103" s="13">
        <f t="shared" ref="F103:F166" si="8">A103</f>
        <v>102</v>
      </c>
      <c r="G103" s="13">
        <v>1</v>
      </c>
      <c r="H103" s="13">
        <v>1</v>
      </c>
      <c r="I103" s="13">
        <v>1</v>
      </c>
      <c r="J103" s="13">
        <v>1</v>
      </c>
      <c r="K103" s="19">
        <v>32.700000000000003</v>
      </c>
    </row>
    <row r="104" spans="1:11" x14ac:dyDescent="0.25">
      <c r="A104" s="13">
        <v>103</v>
      </c>
      <c r="B104" s="14">
        <v>45875</v>
      </c>
      <c r="C104" s="13" t="str">
        <f t="shared" si="7"/>
        <v>Quarta-Feira</v>
      </c>
      <c r="D104" s="20">
        <v>0.77083333333333337</v>
      </c>
      <c r="E104" s="13">
        <f t="shared" si="5"/>
        <v>103</v>
      </c>
      <c r="F104" s="13">
        <f t="shared" si="8"/>
        <v>103</v>
      </c>
      <c r="G104" s="13">
        <v>2</v>
      </c>
      <c r="H104" s="13">
        <v>1</v>
      </c>
      <c r="I104" s="13">
        <v>1</v>
      </c>
      <c r="J104" s="13">
        <v>1</v>
      </c>
      <c r="K104" s="19">
        <v>24.9</v>
      </c>
    </row>
    <row r="105" spans="1:11" x14ac:dyDescent="0.25">
      <c r="A105" s="13">
        <v>104</v>
      </c>
      <c r="B105" s="14">
        <v>45875</v>
      </c>
      <c r="C105" s="13" t="str">
        <f t="shared" si="7"/>
        <v>Quarta-Feira</v>
      </c>
      <c r="D105" s="20">
        <v>0.79861111111111116</v>
      </c>
      <c r="E105" s="13">
        <f t="shared" si="5"/>
        <v>104</v>
      </c>
      <c r="F105" s="13">
        <f t="shared" si="8"/>
        <v>104</v>
      </c>
      <c r="G105" s="13">
        <v>2</v>
      </c>
      <c r="H105" s="13">
        <v>1</v>
      </c>
      <c r="I105" s="13">
        <v>1</v>
      </c>
      <c r="J105" s="13">
        <v>1</v>
      </c>
      <c r="K105" s="19">
        <v>3.5</v>
      </c>
    </row>
    <row r="106" spans="1:11" x14ac:dyDescent="0.25">
      <c r="A106" s="13">
        <v>105</v>
      </c>
      <c r="B106" s="14">
        <v>45876</v>
      </c>
      <c r="C106" s="13" t="str">
        <f t="shared" si="7"/>
        <v>Quinta-Feira</v>
      </c>
      <c r="D106" s="20">
        <v>0.7284722222222223</v>
      </c>
      <c r="E106" s="13">
        <f t="shared" si="5"/>
        <v>105</v>
      </c>
      <c r="F106" s="13">
        <f t="shared" si="8"/>
        <v>105</v>
      </c>
      <c r="G106" s="13">
        <v>4</v>
      </c>
      <c r="H106" s="13">
        <v>1</v>
      </c>
      <c r="I106" s="13">
        <v>1</v>
      </c>
      <c r="J106" s="13">
        <v>1</v>
      </c>
      <c r="K106" s="19">
        <v>0</v>
      </c>
    </row>
    <row r="107" spans="1:11" x14ac:dyDescent="0.25">
      <c r="A107" s="13">
        <v>106</v>
      </c>
      <c r="B107" s="14">
        <v>45876</v>
      </c>
      <c r="C107" s="13" t="str">
        <f t="shared" si="7"/>
        <v>Quinta-Feira</v>
      </c>
      <c r="D107" s="20">
        <v>0.73125000000000007</v>
      </c>
      <c r="E107" s="13">
        <f t="shared" si="5"/>
        <v>106</v>
      </c>
      <c r="F107" s="13">
        <f t="shared" si="8"/>
        <v>106</v>
      </c>
      <c r="G107" s="13">
        <v>2</v>
      </c>
      <c r="H107" s="13">
        <v>1</v>
      </c>
      <c r="I107" s="13">
        <v>1</v>
      </c>
      <c r="J107" s="13">
        <v>1</v>
      </c>
      <c r="K107" s="19">
        <v>10.199999999999999</v>
      </c>
    </row>
    <row r="108" spans="1:11" x14ac:dyDescent="0.25">
      <c r="A108" s="13">
        <v>107</v>
      </c>
      <c r="B108" s="14">
        <v>45876</v>
      </c>
      <c r="C108" s="13" t="str">
        <f t="shared" si="7"/>
        <v>Quinta-Feira</v>
      </c>
      <c r="D108" s="20">
        <v>0.74583333333333324</v>
      </c>
      <c r="E108" s="13">
        <f t="shared" si="5"/>
        <v>107</v>
      </c>
      <c r="F108" s="13">
        <f t="shared" si="8"/>
        <v>107</v>
      </c>
      <c r="G108" s="13">
        <v>2</v>
      </c>
      <c r="H108" s="13">
        <v>1</v>
      </c>
      <c r="I108" s="13">
        <v>1</v>
      </c>
      <c r="J108" s="13">
        <v>1</v>
      </c>
      <c r="K108" s="19">
        <v>12</v>
      </c>
    </row>
    <row r="109" spans="1:11" x14ac:dyDescent="0.25">
      <c r="A109" s="13">
        <v>108</v>
      </c>
      <c r="B109" s="14">
        <v>45876</v>
      </c>
      <c r="C109" s="13" t="str">
        <f t="shared" si="7"/>
        <v>Quinta-Feira</v>
      </c>
      <c r="D109" s="20">
        <v>0.76041666666666663</v>
      </c>
      <c r="E109" s="13">
        <f t="shared" si="5"/>
        <v>108</v>
      </c>
      <c r="F109" s="13">
        <f t="shared" si="8"/>
        <v>108</v>
      </c>
      <c r="G109" s="13">
        <v>2</v>
      </c>
      <c r="H109" s="13">
        <v>1</v>
      </c>
      <c r="I109" s="13">
        <v>1</v>
      </c>
      <c r="J109" s="13">
        <v>1</v>
      </c>
      <c r="K109" s="19">
        <v>12.1</v>
      </c>
    </row>
    <row r="110" spans="1:11" x14ac:dyDescent="0.25">
      <c r="A110" s="13">
        <v>109</v>
      </c>
      <c r="B110" s="14">
        <v>45876</v>
      </c>
      <c r="C110" s="13" t="str">
        <f t="shared" si="7"/>
        <v>Quinta-Feira</v>
      </c>
      <c r="D110" s="20">
        <v>0.77222222222222225</v>
      </c>
      <c r="E110" s="13">
        <f t="shared" si="5"/>
        <v>109</v>
      </c>
      <c r="F110" s="13">
        <f t="shared" si="8"/>
        <v>109</v>
      </c>
      <c r="G110" s="13">
        <v>2</v>
      </c>
      <c r="H110" s="13">
        <v>1</v>
      </c>
      <c r="I110" s="13">
        <v>1</v>
      </c>
      <c r="J110" s="13">
        <v>1</v>
      </c>
      <c r="K110" s="19">
        <v>4.9000000000000004</v>
      </c>
    </row>
    <row r="111" spans="1:11" x14ac:dyDescent="0.25">
      <c r="A111" s="13">
        <v>110</v>
      </c>
      <c r="B111" s="14">
        <v>45876</v>
      </c>
      <c r="C111" s="13" t="str">
        <f t="shared" si="7"/>
        <v>Quinta-Feira</v>
      </c>
      <c r="D111" s="20">
        <v>0.77847222222222223</v>
      </c>
      <c r="E111" s="13">
        <f t="shared" si="5"/>
        <v>110</v>
      </c>
      <c r="F111" s="13">
        <f t="shared" si="8"/>
        <v>110</v>
      </c>
      <c r="G111" s="13">
        <v>4</v>
      </c>
      <c r="H111" s="13">
        <v>1</v>
      </c>
      <c r="I111" s="13">
        <v>1</v>
      </c>
      <c r="J111" s="13">
        <v>1</v>
      </c>
      <c r="K111" s="19">
        <v>0</v>
      </c>
    </row>
    <row r="112" spans="1:11" x14ac:dyDescent="0.25">
      <c r="A112" s="13">
        <v>111</v>
      </c>
      <c r="B112" s="14">
        <v>45876</v>
      </c>
      <c r="C112" s="13" t="str">
        <f t="shared" si="7"/>
        <v>Quinta-Feira</v>
      </c>
      <c r="D112" s="20">
        <v>0.77847222222222223</v>
      </c>
      <c r="E112" s="13">
        <f t="shared" si="5"/>
        <v>111</v>
      </c>
      <c r="F112" s="13">
        <f t="shared" si="8"/>
        <v>111</v>
      </c>
      <c r="G112" s="13">
        <v>2</v>
      </c>
      <c r="H112" s="13">
        <v>1</v>
      </c>
      <c r="I112" s="13">
        <v>1</v>
      </c>
      <c r="J112" s="13">
        <v>1</v>
      </c>
      <c r="K112" s="19">
        <v>31.7</v>
      </c>
    </row>
    <row r="113" spans="1:11" x14ac:dyDescent="0.25">
      <c r="A113" s="13">
        <v>112</v>
      </c>
      <c r="B113" s="14">
        <v>45876</v>
      </c>
      <c r="C113" s="13" t="str">
        <f t="shared" si="7"/>
        <v>Quinta-Feira</v>
      </c>
      <c r="D113" s="20">
        <v>0.80555555555555547</v>
      </c>
      <c r="E113" s="13">
        <f t="shared" si="5"/>
        <v>112</v>
      </c>
      <c r="F113" s="13">
        <f t="shared" si="8"/>
        <v>112</v>
      </c>
      <c r="G113" s="13">
        <v>2</v>
      </c>
      <c r="H113" s="13">
        <v>1</v>
      </c>
      <c r="I113" s="13">
        <v>1</v>
      </c>
      <c r="J113" s="13">
        <v>1</v>
      </c>
      <c r="K113" s="19">
        <v>18.350000000000001</v>
      </c>
    </row>
    <row r="114" spans="1:11" x14ac:dyDescent="0.25">
      <c r="A114" s="13">
        <v>113</v>
      </c>
      <c r="B114" s="14">
        <v>45878</v>
      </c>
      <c r="C114" s="13" t="str">
        <f t="shared" si="7"/>
        <v>Sábado</v>
      </c>
      <c r="D114" s="20">
        <v>0.49861111111111112</v>
      </c>
      <c r="E114" s="13">
        <f t="shared" si="5"/>
        <v>113</v>
      </c>
      <c r="F114" s="13">
        <f t="shared" si="8"/>
        <v>113</v>
      </c>
      <c r="G114" s="13">
        <v>2</v>
      </c>
      <c r="H114" s="13">
        <v>1</v>
      </c>
      <c r="I114" s="13">
        <v>1</v>
      </c>
      <c r="J114" s="13">
        <v>1</v>
      </c>
      <c r="K114" s="19">
        <v>46.6</v>
      </c>
    </row>
    <row r="115" spans="1:11" x14ac:dyDescent="0.25">
      <c r="A115" s="13">
        <v>114</v>
      </c>
      <c r="B115" s="14">
        <v>45878</v>
      </c>
      <c r="C115" s="13" t="str">
        <f t="shared" si="7"/>
        <v>Sábado</v>
      </c>
      <c r="D115" s="20">
        <v>0.53402777777777777</v>
      </c>
      <c r="E115" s="13">
        <f t="shared" si="5"/>
        <v>114</v>
      </c>
      <c r="F115" s="13">
        <f t="shared" si="8"/>
        <v>114</v>
      </c>
      <c r="G115" s="13">
        <v>2</v>
      </c>
      <c r="H115" s="13">
        <v>1</v>
      </c>
      <c r="I115" s="13">
        <v>1</v>
      </c>
      <c r="J115" s="13">
        <v>1</v>
      </c>
      <c r="K115" s="19">
        <v>39.799999999999997</v>
      </c>
    </row>
    <row r="116" spans="1:11" x14ac:dyDescent="0.25">
      <c r="A116" s="13">
        <v>115</v>
      </c>
      <c r="B116" s="14">
        <v>45878</v>
      </c>
      <c r="C116" s="13" t="str">
        <f t="shared" si="7"/>
        <v>Sábado</v>
      </c>
      <c r="D116" s="20">
        <v>0.69513888888888886</v>
      </c>
      <c r="E116" s="13">
        <f t="shared" si="5"/>
        <v>115</v>
      </c>
      <c r="F116" s="13">
        <f t="shared" si="8"/>
        <v>115</v>
      </c>
      <c r="G116" s="13">
        <v>2</v>
      </c>
      <c r="H116" s="13">
        <v>1</v>
      </c>
      <c r="I116" s="13">
        <v>1</v>
      </c>
      <c r="J116" s="13">
        <v>1</v>
      </c>
      <c r="K116" s="19">
        <v>7.4</v>
      </c>
    </row>
    <row r="117" spans="1:11" x14ac:dyDescent="0.25">
      <c r="A117" s="13">
        <v>116</v>
      </c>
      <c r="B117" s="14">
        <v>45878</v>
      </c>
      <c r="C117" s="13" t="str">
        <f t="shared" si="7"/>
        <v>Sábado</v>
      </c>
      <c r="D117" s="20">
        <v>0.70347222222222217</v>
      </c>
      <c r="E117" s="13">
        <f t="shared" si="5"/>
        <v>116</v>
      </c>
      <c r="F117" s="13">
        <f t="shared" si="8"/>
        <v>116</v>
      </c>
      <c r="G117" s="13">
        <v>2</v>
      </c>
      <c r="H117" s="13">
        <v>1</v>
      </c>
      <c r="I117" s="13">
        <v>1</v>
      </c>
      <c r="J117" s="13">
        <v>1</v>
      </c>
      <c r="K117" s="19">
        <v>8</v>
      </c>
    </row>
    <row r="118" spans="1:11" x14ac:dyDescent="0.25">
      <c r="A118" s="13">
        <v>117</v>
      </c>
      <c r="B118" s="14">
        <v>45878</v>
      </c>
      <c r="C118" s="13" t="str">
        <f t="shared" si="7"/>
        <v>Sábado</v>
      </c>
      <c r="D118" s="20">
        <v>0.72361111111111109</v>
      </c>
      <c r="E118" s="13">
        <f t="shared" si="5"/>
        <v>117</v>
      </c>
      <c r="F118" s="13">
        <f t="shared" si="8"/>
        <v>117</v>
      </c>
      <c r="G118" s="13">
        <v>2</v>
      </c>
      <c r="H118" s="13">
        <v>1</v>
      </c>
      <c r="I118" s="13">
        <v>1</v>
      </c>
      <c r="J118" s="13">
        <v>1</v>
      </c>
      <c r="K118" s="19">
        <v>4.0999999999999996</v>
      </c>
    </row>
    <row r="119" spans="1:11" x14ac:dyDescent="0.25">
      <c r="A119" s="13">
        <v>118</v>
      </c>
      <c r="B119" s="14">
        <v>45878</v>
      </c>
      <c r="C119" s="13" t="str">
        <f t="shared" si="7"/>
        <v>Sábado</v>
      </c>
      <c r="D119" s="20">
        <v>0.73055555555555562</v>
      </c>
      <c r="E119" s="13">
        <f t="shared" si="5"/>
        <v>118</v>
      </c>
      <c r="F119" s="13">
        <f t="shared" si="8"/>
        <v>118</v>
      </c>
      <c r="G119" s="13">
        <v>2</v>
      </c>
      <c r="H119" s="13">
        <v>1</v>
      </c>
      <c r="I119" s="13">
        <v>1</v>
      </c>
      <c r="J119" s="13">
        <v>1</v>
      </c>
      <c r="K119" s="19">
        <v>18.75</v>
      </c>
    </row>
    <row r="120" spans="1:11" x14ac:dyDescent="0.25">
      <c r="A120" s="13">
        <v>119</v>
      </c>
      <c r="B120" s="14">
        <v>45878</v>
      </c>
      <c r="C120" s="13" t="str">
        <f t="shared" si="7"/>
        <v>Sábado</v>
      </c>
      <c r="D120" s="20">
        <v>0.74861111111111101</v>
      </c>
      <c r="E120" s="13">
        <f t="shared" si="5"/>
        <v>119</v>
      </c>
      <c r="F120" s="13">
        <f t="shared" si="8"/>
        <v>119</v>
      </c>
      <c r="G120" s="13">
        <v>2</v>
      </c>
      <c r="H120" s="13">
        <v>1</v>
      </c>
      <c r="I120" s="13">
        <v>1</v>
      </c>
      <c r="J120" s="13">
        <v>1</v>
      </c>
      <c r="K120" s="19">
        <v>17.5</v>
      </c>
    </row>
    <row r="121" spans="1:11" x14ac:dyDescent="0.25">
      <c r="A121" s="13">
        <v>120</v>
      </c>
      <c r="B121" s="14">
        <v>45878</v>
      </c>
      <c r="C121" s="13" t="str">
        <f t="shared" si="7"/>
        <v>Sábado</v>
      </c>
      <c r="D121" s="20">
        <v>0.7631944444444444</v>
      </c>
      <c r="E121" s="13">
        <f t="shared" si="5"/>
        <v>120</v>
      </c>
      <c r="F121" s="13">
        <f t="shared" si="8"/>
        <v>120</v>
      </c>
      <c r="G121" s="13">
        <v>2</v>
      </c>
      <c r="H121" s="13">
        <v>1</v>
      </c>
      <c r="I121" s="13">
        <v>1</v>
      </c>
      <c r="J121" s="13">
        <v>1</v>
      </c>
      <c r="K121" s="19">
        <v>31.65</v>
      </c>
    </row>
    <row r="122" spans="1:11" x14ac:dyDescent="0.25">
      <c r="A122" s="13">
        <v>121</v>
      </c>
      <c r="B122" s="14">
        <v>45878</v>
      </c>
      <c r="C122" s="13" t="str">
        <f t="shared" si="7"/>
        <v>Sábado</v>
      </c>
      <c r="D122" s="20">
        <v>0.78541666666666676</v>
      </c>
      <c r="E122" s="13">
        <f t="shared" si="5"/>
        <v>121</v>
      </c>
      <c r="F122" s="13">
        <f t="shared" si="8"/>
        <v>121</v>
      </c>
      <c r="G122" s="13">
        <v>2</v>
      </c>
      <c r="H122" s="13">
        <v>1</v>
      </c>
      <c r="I122" s="13">
        <v>1</v>
      </c>
      <c r="J122" s="13">
        <v>1</v>
      </c>
      <c r="K122" s="19">
        <v>33</v>
      </c>
    </row>
    <row r="123" spans="1:11" x14ac:dyDescent="0.25">
      <c r="A123" s="13">
        <v>122</v>
      </c>
      <c r="B123" s="14">
        <v>45878</v>
      </c>
      <c r="C123" s="13" t="str">
        <f t="shared" si="7"/>
        <v>Sábado</v>
      </c>
      <c r="D123" s="20">
        <v>0.80694444444444446</v>
      </c>
      <c r="E123" s="13">
        <f t="shared" si="5"/>
        <v>122</v>
      </c>
      <c r="F123" s="13">
        <f t="shared" si="8"/>
        <v>122</v>
      </c>
      <c r="G123" s="13">
        <v>2</v>
      </c>
      <c r="H123" s="13">
        <v>1</v>
      </c>
      <c r="I123" s="13">
        <v>1</v>
      </c>
      <c r="J123" s="13">
        <v>1</v>
      </c>
      <c r="K123" s="19">
        <v>9.5</v>
      </c>
    </row>
    <row r="124" spans="1:11" x14ac:dyDescent="0.25">
      <c r="A124" s="13">
        <v>123</v>
      </c>
      <c r="B124" s="14">
        <v>45878</v>
      </c>
      <c r="C124" s="13" t="str">
        <f t="shared" si="7"/>
        <v>Sábado</v>
      </c>
      <c r="D124" s="20">
        <v>0.82916666666666661</v>
      </c>
      <c r="E124" s="13">
        <f t="shared" si="5"/>
        <v>123</v>
      </c>
      <c r="F124" s="13">
        <f t="shared" si="8"/>
        <v>123</v>
      </c>
      <c r="G124" s="13">
        <v>2</v>
      </c>
      <c r="H124" s="13">
        <v>1</v>
      </c>
      <c r="I124" s="13">
        <v>1</v>
      </c>
      <c r="J124" s="13">
        <v>1</v>
      </c>
      <c r="K124" s="19">
        <v>8.25</v>
      </c>
    </row>
    <row r="125" spans="1:11" x14ac:dyDescent="0.25">
      <c r="A125" s="13">
        <v>124</v>
      </c>
      <c r="B125" s="14">
        <v>45880</v>
      </c>
      <c r="C125" s="13" t="str">
        <f t="shared" si="7"/>
        <v>Segunda-Feira</v>
      </c>
      <c r="D125" s="20">
        <v>0.76874999999999993</v>
      </c>
      <c r="E125" s="13">
        <f t="shared" si="5"/>
        <v>124</v>
      </c>
      <c r="F125" s="13">
        <f t="shared" si="8"/>
        <v>124</v>
      </c>
      <c r="G125" s="13">
        <v>2</v>
      </c>
      <c r="H125" s="13">
        <v>1</v>
      </c>
      <c r="I125" s="13">
        <v>1</v>
      </c>
      <c r="J125" s="13">
        <v>1</v>
      </c>
      <c r="K125" s="19">
        <v>23.7</v>
      </c>
    </row>
    <row r="126" spans="1:11" x14ac:dyDescent="0.25">
      <c r="A126" s="13">
        <v>125</v>
      </c>
      <c r="B126" s="14">
        <v>45880</v>
      </c>
      <c r="C126" s="13" t="str">
        <f t="shared" si="7"/>
        <v>Segunda-Feira</v>
      </c>
      <c r="D126" s="20">
        <v>0.78888888888888886</v>
      </c>
      <c r="E126" s="13">
        <f t="shared" si="5"/>
        <v>125</v>
      </c>
      <c r="F126" s="13">
        <f t="shared" si="8"/>
        <v>125</v>
      </c>
      <c r="G126" s="13">
        <v>2</v>
      </c>
      <c r="H126" s="13">
        <v>1</v>
      </c>
      <c r="I126" s="13">
        <v>1</v>
      </c>
      <c r="J126" s="13">
        <v>1</v>
      </c>
      <c r="K126" s="19">
        <v>13.1</v>
      </c>
    </row>
    <row r="127" spans="1:11" x14ac:dyDescent="0.25">
      <c r="A127" s="13">
        <v>126</v>
      </c>
      <c r="B127" s="14">
        <v>45880</v>
      </c>
      <c r="C127" s="13" t="str">
        <f t="shared" si="7"/>
        <v>Segunda-Feira</v>
      </c>
      <c r="D127" s="20">
        <v>0.80555555555555547</v>
      </c>
      <c r="E127" s="13">
        <f t="shared" si="5"/>
        <v>126</v>
      </c>
      <c r="F127" s="13">
        <f t="shared" si="8"/>
        <v>126</v>
      </c>
      <c r="G127" s="13">
        <v>2</v>
      </c>
      <c r="H127" s="13">
        <v>1</v>
      </c>
      <c r="I127" s="13">
        <v>1</v>
      </c>
      <c r="J127" s="13">
        <v>1</v>
      </c>
      <c r="K127" s="19">
        <v>14.75</v>
      </c>
    </row>
    <row r="128" spans="1:11" x14ac:dyDescent="0.25">
      <c r="A128" s="13">
        <v>127</v>
      </c>
      <c r="B128" s="14">
        <v>45880</v>
      </c>
      <c r="C128" s="13" t="str">
        <f t="shared" si="7"/>
        <v>Segunda-Feira</v>
      </c>
      <c r="D128" s="20">
        <v>0.82708333333333339</v>
      </c>
      <c r="E128" s="13">
        <f t="shared" si="5"/>
        <v>127</v>
      </c>
      <c r="F128" s="13">
        <f t="shared" si="8"/>
        <v>127</v>
      </c>
      <c r="G128" s="13">
        <v>2</v>
      </c>
      <c r="H128" s="13">
        <v>1</v>
      </c>
      <c r="I128" s="13">
        <v>1</v>
      </c>
      <c r="J128" s="13">
        <v>1</v>
      </c>
      <c r="K128" s="19">
        <v>14.8</v>
      </c>
    </row>
    <row r="129" spans="1:11" x14ac:dyDescent="0.25">
      <c r="A129" s="13">
        <v>128</v>
      </c>
      <c r="B129" s="14">
        <v>45891</v>
      </c>
      <c r="C129" s="13" t="str">
        <f t="shared" si="7"/>
        <v>Sexta-Feira</v>
      </c>
      <c r="D129" s="20">
        <v>0.77708333333333324</v>
      </c>
      <c r="E129" s="13">
        <f t="shared" si="5"/>
        <v>128</v>
      </c>
      <c r="F129" s="13">
        <f t="shared" si="8"/>
        <v>128</v>
      </c>
      <c r="G129" s="13">
        <v>1</v>
      </c>
      <c r="H129" s="13">
        <v>1</v>
      </c>
      <c r="I129" s="13">
        <v>1</v>
      </c>
      <c r="J129" s="13">
        <v>1</v>
      </c>
      <c r="K129" s="19">
        <v>19.5</v>
      </c>
    </row>
    <row r="130" spans="1:11" x14ac:dyDescent="0.25">
      <c r="A130" s="13">
        <v>129</v>
      </c>
      <c r="B130" s="14">
        <v>45891</v>
      </c>
      <c r="C130" s="13" t="str">
        <f t="shared" si="7"/>
        <v>Sexta-Feira</v>
      </c>
      <c r="D130" s="20">
        <v>0.79166666666666663</v>
      </c>
      <c r="E130" s="13">
        <f t="shared" si="5"/>
        <v>129</v>
      </c>
      <c r="F130" s="13">
        <f t="shared" si="8"/>
        <v>129</v>
      </c>
      <c r="G130" s="13">
        <v>1</v>
      </c>
      <c r="H130" s="13">
        <v>1</v>
      </c>
      <c r="I130" s="13">
        <v>1</v>
      </c>
      <c r="J130" s="13">
        <v>1</v>
      </c>
      <c r="K130" s="19">
        <v>17.399999999999999</v>
      </c>
    </row>
    <row r="131" spans="1:11" x14ac:dyDescent="0.25">
      <c r="A131" s="13">
        <v>130</v>
      </c>
      <c r="B131" s="14">
        <v>45891</v>
      </c>
      <c r="C131" s="13" t="str">
        <f t="shared" si="7"/>
        <v>Sexta-Feira</v>
      </c>
      <c r="D131" s="20">
        <v>0.81180555555555556</v>
      </c>
      <c r="E131" s="13">
        <f t="shared" ref="E131:E194" si="9">A131</f>
        <v>130</v>
      </c>
      <c r="F131" s="13">
        <f t="shared" si="8"/>
        <v>130</v>
      </c>
      <c r="G131" s="13">
        <v>1</v>
      </c>
      <c r="H131" s="13">
        <v>1</v>
      </c>
      <c r="I131" s="13">
        <v>1</v>
      </c>
      <c r="J131" s="13">
        <v>1</v>
      </c>
      <c r="K131" s="19">
        <v>11.6</v>
      </c>
    </row>
    <row r="132" spans="1:11" x14ac:dyDescent="0.25">
      <c r="A132" s="13">
        <v>131</v>
      </c>
      <c r="B132" s="14">
        <v>45892</v>
      </c>
      <c r="C132" s="13" t="str">
        <f t="shared" si="7"/>
        <v>Sábado</v>
      </c>
      <c r="D132" s="20">
        <v>0.55138888888888882</v>
      </c>
      <c r="E132" s="13">
        <f t="shared" si="9"/>
        <v>131</v>
      </c>
      <c r="F132" s="13">
        <f t="shared" si="8"/>
        <v>131</v>
      </c>
      <c r="G132" s="13">
        <v>1</v>
      </c>
      <c r="H132" s="13">
        <v>1</v>
      </c>
      <c r="I132" s="13">
        <v>1</v>
      </c>
      <c r="J132" s="13">
        <v>1</v>
      </c>
      <c r="K132" s="19">
        <v>12.55</v>
      </c>
    </row>
    <row r="133" spans="1:11" x14ac:dyDescent="0.25">
      <c r="A133" s="13">
        <v>132</v>
      </c>
      <c r="B133" s="14">
        <v>45892</v>
      </c>
      <c r="C133" s="13" t="str">
        <f t="shared" si="7"/>
        <v>Sábado</v>
      </c>
      <c r="D133" s="20">
        <v>0.5625</v>
      </c>
      <c r="E133" s="13">
        <f t="shared" si="9"/>
        <v>132</v>
      </c>
      <c r="F133" s="13">
        <f t="shared" si="8"/>
        <v>132</v>
      </c>
      <c r="G133" s="13">
        <v>4</v>
      </c>
      <c r="H133" s="13">
        <v>1</v>
      </c>
      <c r="I133" s="13">
        <v>1</v>
      </c>
      <c r="J133" s="13">
        <v>1</v>
      </c>
      <c r="K133" s="19">
        <v>0</v>
      </c>
    </row>
    <row r="134" spans="1:11" x14ac:dyDescent="0.25">
      <c r="A134" s="13">
        <v>133</v>
      </c>
      <c r="B134" s="14">
        <v>45892</v>
      </c>
      <c r="C134" s="13" t="str">
        <f t="shared" si="7"/>
        <v>Sábado</v>
      </c>
      <c r="D134" s="20">
        <v>0.57222222222222219</v>
      </c>
      <c r="E134" s="13">
        <f t="shared" si="9"/>
        <v>133</v>
      </c>
      <c r="F134" s="13">
        <f t="shared" si="8"/>
        <v>133</v>
      </c>
      <c r="G134" s="13">
        <v>2</v>
      </c>
      <c r="H134" s="13">
        <v>1</v>
      </c>
      <c r="I134" s="13">
        <v>1</v>
      </c>
      <c r="J134" s="13">
        <v>1</v>
      </c>
      <c r="K134" s="19">
        <v>6.2</v>
      </c>
    </row>
    <row r="135" spans="1:11" x14ac:dyDescent="0.25">
      <c r="A135" s="13">
        <v>134</v>
      </c>
      <c r="B135" s="14">
        <v>45892</v>
      </c>
      <c r="C135" s="13" t="str">
        <f t="shared" si="7"/>
        <v>Sábado</v>
      </c>
      <c r="D135" s="20">
        <v>0.57777777777777783</v>
      </c>
      <c r="E135" s="13">
        <f t="shared" si="9"/>
        <v>134</v>
      </c>
      <c r="F135" s="13">
        <f t="shared" si="8"/>
        <v>134</v>
      </c>
      <c r="G135" s="13">
        <v>2</v>
      </c>
      <c r="H135" s="13">
        <v>1</v>
      </c>
      <c r="I135" s="13">
        <v>1</v>
      </c>
      <c r="J135" s="13">
        <v>1</v>
      </c>
      <c r="K135" s="19">
        <v>7.5</v>
      </c>
    </row>
    <row r="136" spans="1:11" x14ac:dyDescent="0.25">
      <c r="A136" s="13">
        <v>135</v>
      </c>
      <c r="B136" s="14">
        <v>45892</v>
      </c>
      <c r="C136" s="13" t="str">
        <f t="shared" si="7"/>
        <v>Sábado</v>
      </c>
      <c r="D136" s="20">
        <v>0.58680555555555558</v>
      </c>
      <c r="E136" s="13">
        <f t="shared" si="9"/>
        <v>135</v>
      </c>
      <c r="F136" s="13">
        <f t="shared" si="8"/>
        <v>135</v>
      </c>
      <c r="G136" s="13">
        <v>2</v>
      </c>
      <c r="H136" s="13">
        <v>1</v>
      </c>
      <c r="I136" s="13">
        <v>1</v>
      </c>
      <c r="J136" s="13">
        <v>1</v>
      </c>
      <c r="K136" s="19">
        <v>24.35</v>
      </c>
    </row>
    <row r="137" spans="1:11" x14ac:dyDescent="0.25">
      <c r="A137" s="13">
        <v>136</v>
      </c>
      <c r="B137" s="14">
        <v>45892</v>
      </c>
      <c r="C137" s="13" t="str">
        <f t="shared" si="7"/>
        <v>Sábado</v>
      </c>
      <c r="D137" s="20">
        <v>0.60486111111111118</v>
      </c>
      <c r="E137" s="13">
        <f t="shared" si="9"/>
        <v>136</v>
      </c>
      <c r="F137" s="13">
        <f t="shared" si="8"/>
        <v>136</v>
      </c>
      <c r="G137" s="13">
        <v>2</v>
      </c>
      <c r="H137" s="13">
        <v>1</v>
      </c>
      <c r="I137" s="13">
        <v>1</v>
      </c>
      <c r="J137" s="13">
        <v>1</v>
      </c>
      <c r="K137" s="19">
        <v>29.6</v>
      </c>
    </row>
    <row r="138" spans="1:11" x14ac:dyDescent="0.25">
      <c r="A138" s="13">
        <v>137</v>
      </c>
      <c r="B138" s="14">
        <v>45892</v>
      </c>
      <c r="C138" s="13" t="str">
        <f t="shared" si="7"/>
        <v>Sábado</v>
      </c>
      <c r="D138" s="20">
        <v>0.64027777777777783</v>
      </c>
      <c r="E138" s="13">
        <f t="shared" si="9"/>
        <v>137</v>
      </c>
      <c r="F138" s="13">
        <f t="shared" si="8"/>
        <v>137</v>
      </c>
      <c r="G138" s="13">
        <v>2</v>
      </c>
      <c r="H138" s="13">
        <v>1</v>
      </c>
      <c r="I138" s="13">
        <v>1</v>
      </c>
      <c r="J138" s="13">
        <v>1</v>
      </c>
      <c r="K138" s="19">
        <v>7.2</v>
      </c>
    </row>
    <row r="139" spans="1:11" x14ac:dyDescent="0.25">
      <c r="A139" s="13">
        <v>138</v>
      </c>
      <c r="B139" s="14">
        <v>45892</v>
      </c>
      <c r="C139" s="13" t="str">
        <f t="shared" si="7"/>
        <v>Sábado</v>
      </c>
      <c r="D139" s="20">
        <v>0.6479166666666667</v>
      </c>
      <c r="E139" s="13">
        <f t="shared" si="9"/>
        <v>138</v>
      </c>
      <c r="F139" s="13">
        <f t="shared" si="8"/>
        <v>138</v>
      </c>
      <c r="G139" s="13">
        <v>1</v>
      </c>
      <c r="H139" s="13">
        <v>1</v>
      </c>
      <c r="I139" s="13">
        <v>1</v>
      </c>
      <c r="J139" s="13">
        <v>1</v>
      </c>
      <c r="K139" s="19">
        <v>13.3</v>
      </c>
    </row>
    <row r="140" spans="1:11" x14ac:dyDescent="0.25">
      <c r="A140" s="13">
        <v>139</v>
      </c>
      <c r="B140" s="14">
        <v>45892</v>
      </c>
      <c r="C140" s="13" t="str">
        <f t="shared" si="7"/>
        <v>Sábado</v>
      </c>
      <c r="D140" s="20">
        <v>0.66319444444444442</v>
      </c>
      <c r="E140" s="13">
        <f t="shared" si="9"/>
        <v>139</v>
      </c>
      <c r="F140" s="13">
        <f t="shared" si="8"/>
        <v>139</v>
      </c>
      <c r="G140" s="13">
        <v>2</v>
      </c>
      <c r="H140" s="13">
        <v>1</v>
      </c>
      <c r="I140" s="13">
        <v>1</v>
      </c>
      <c r="J140" s="13">
        <v>1</v>
      </c>
      <c r="K140" s="19">
        <v>8.4</v>
      </c>
    </row>
    <row r="141" spans="1:11" x14ac:dyDescent="0.25">
      <c r="A141" s="13">
        <v>140</v>
      </c>
      <c r="B141" s="14">
        <v>45892</v>
      </c>
      <c r="C141" s="13" t="str">
        <f t="shared" si="7"/>
        <v>Sábado</v>
      </c>
      <c r="D141" s="20">
        <v>0.67291666666666661</v>
      </c>
      <c r="E141" s="13">
        <f t="shared" si="9"/>
        <v>140</v>
      </c>
      <c r="F141" s="13">
        <f t="shared" si="8"/>
        <v>140</v>
      </c>
      <c r="G141" s="13">
        <v>2</v>
      </c>
      <c r="H141" s="13">
        <v>1</v>
      </c>
      <c r="I141" s="13">
        <v>1</v>
      </c>
      <c r="J141" s="13">
        <v>1</v>
      </c>
      <c r="K141" s="19">
        <v>25.9</v>
      </c>
    </row>
    <row r="142" spans="1:11" x14ac:dyDescent="0.25">
      <c r="A142" s="13">
        <v>141</v>
      </c>
      <c r="E142" s="13">
        <f t="shared" si="9"/>
        <v>141</v>
      </c>
      <c r="F142" s="13">
        <f t="shared" si="8"/>
        <v>141</v>
      </c>
    </row>
    <row r="143" spans="1:11" x14ac:dyDescent="0.25">
      <c r="A143" s="13">
        <v>142</v>
      </c>
      <c r="E143" s="13">
        <f t="shared" si="9"/>
        <v>142</v>
      </c>
      <c r="F143" s="13">
        <f t="shared" si="8"/>
        <v>142</v>
      </c>
    </row>
    <row r="144" spans="1:11" x14ac:dyDescent="0.25">
      <c r="A144" s="13">
        <v>143</v>
      </c>
      <c r="E144" s="13">
        <f t="shared" si="9"/>
        <v>143</v>
      </c>
      <c r="F144" s="13">
        <f t="shared" si="8"/>
        <v>143</v>
      </c>
    </row>
    <row r="145" spans="1:6" x14ac:dyDescent="0.25">
      <c r="A145" s="13">
        <v>144</v>
      </c>
      <c r="E145" s="13">
        <f t="shared" si="9"/>
        <v>144</v>
      </c>
      <c r="F145" s="13">
        <f t="shared" si="8"/>
        <v>144</v>
      </c>
    </row>
    <row r="146" spans="1:6" x14ac:dyDescent="0.25">
      <c r="A146" s="13">
        <v>145</v>
      </c>
      <c r="E146" s="13">
        <f t="shared" si="9"/>
        <v>145</v>
      </c>
      <c r="F146" s="13">
        <f t="shared" si="8"/>
        <v>145</v>
      </c>
    </row>
    <row r="147" spans="1:6" x14ac:dyDescent="0.25">
      <c r="A147" s="13">
        <v>146</v>
      </c>
      <c r="E147" s="13">
        <f t="shared" si="9"/>
        <v>146</v>
      </c>
      <c r="F147" s="13">
        <f t="shared" si="8"/>
        <v>146</v>
      </c>
    </row>
    <row r="148" spans="1:6" x14ac:dyDescent="0.25">
      <c r="A148" s="13">
        <v>147</v>
      </c>
      <c r="E148" s="13">
        <f t="shared" si="9"/>
        <v>147</v>
      </c>
      <c r="F148" s="13">
        <f t="shared" si="8"/>
        <v>147</v>
      </c>
    </row>
    <row r="149" spans="1:6" x14ac:dyDescent="0.25">
      <c r="A149" s="13">
        <v>148</v>
      </c>
      <c r="E149" s="13">
        <f t="shared" si="9"/>
        <v>148</v>
      </c>
      <c r="F149" s="13">
        <f t="shared" si="8"/>
        <v>148</v>
      </c>
    </row>
    <row r="150" spans="1:6" x14ac:dyDescent="0.25">
      <c r="A150" s="13">
        <v>149</v>
      </c>
      <c r="E150" s="13">
        <f t="shared" si="9"/>
        <v>149</v>
      </c>
      <c r="F150" s="13">
        <f t="shared" si="8"/>
        <v>149</v>
      </c>
    </row>
    <row r="151" spans="1:6" x14ac:dyDescent="0.25">
      <c r="A151" s="13">
        <v>150</v>
      </c>
      <c r="E151" s="13">
        <f t="shared" si="9"/>
        <v>150</v>
      </c>
      <c r="F151" s="13">
        <f t="shared" si="8"/>
        <v>150</v>
      </c>
    </row>
    <row r="152" spans="1:6" x14ac:dyDescent="0.25">
      <c r="A152" s="13">
        <v>151</v>
      </c>
      <c r="E152" s="13">
        <f t="shared" si="9"/>
        <v>151</v>
      </c>
      <c r="F152" s="13">
        <f t="shared" si="8"/>
        <v>151</v>
      </c>
    </row>
    <row r="153" spans="1:6" x14ac:dyDescent="0.25">
      <c r="A153" s="13">
        <v>152</v>
      </c>
      <c r="E153" s="13">
        <f t="shared" si="9"/>
        <v>152</v>
      </c>
      <c r="F153" s="13">
        <f t="shared" si="8"/>
        <v>152</v>
      </c>
    </row>
    <row r="154" spans="1:6" x14ac:dyDescent="0.25">
      <c r="A154" s="13">
        <v>153</v>
      </c>
      <c r="E154" s="13">
        <f t="shared" si="9"/>
        <v>153</v>
      </c>
      <c r="F154" s="13">
        <f t="shared" si="8"/>
        <v>153</v>
      </c>
    </row>
    <row r="155" spans="1:6" x14ac:dyDescent="0.25">
      <c r="A155" s="13">
        <v>154</v>
      </c>
      <c r="E155" s="13">
        <f t="shared" si="9"/>
        <v>154</v>
      </c>
      <c r="F155" s="13">
        <f t="shared" si="8"/>
        <v>154</v>
      </c>
    </row>
    <row r="156" spans="1:6" x14ac:dyDescent="0.25">
      <c r="A156" s="13">
        <v>155</v>
      </c>
      <c r="E156" s="13">
        <f t="shared" si="9"/>
        <v>155</v>
      </c>
      <c r="F156" s="13">
        <f t="shared" si="8"/>
        <v>155</v>
      </c>
    </row>
    <row r="157" spans="1:6" x14ac:dyDescent="0.25">
      <c r="A157" s="13">
        <v>156</v>
      </c>
      <c r="E157" s="13">
        <f t="shared" si="9"/>
        <v>156</v>
      </c>
      <c r="F157" s="13">
        <f t="shared" si="8"/>
        <v>156</v>
      </c>
    </row>
    <row r="158" spans="1:6" x14ac:dyDescent="0.25">
      <c r="A158" s="13">
        <v>157</v>
      </c>
      <c r="E158" s="13">
        <f t="shared" si="9"/>
        <v>157</v>
      </c>
      <c r="F158" s="13">
        <f t="shared" si="8"/>
        <v>157</v>
      </c>
    </row>
    <row r="159" spans="1:6" x14ac:dyDescent="0.25">
      <c r="A159" s="13">
        <v>158</v>
      </c>
      <c r="E159" s="13">
        <f t="shared" si="9"/>
        <v>158</v>
      </c>
      <c r="F159" s="13">
        <f t="shared" si="8"/>
        <v>158</v>
      </c>
    </row>
    <row r="160" spans="1:6" x14ac:dyDescent="0.25">
      <c r="A160" s="13">
        <v>159</v>
      </c>
      <c r="E160" s="13">
        <f t="shared" si="9"/>
        <v>159</v>
      </c>
      <c r="F160" s="13">
        <f t="shared" si="8"/>
        <v>159</v>
      </c>
    </row>
    <row r="161" spans="1:6" x14ac:dyDescent="0.25">
      <c r="A161" s="13">
        <v>160</v>
      </c>
      <c r="E161" s="13">
        <f t="shared" si="9"/>
        <v>160</v>
      </c>
      <c r="F161" s="13">
        <f t="shared" si="8"/>
        <v>160</v>
      </c>
    </row>
    <row r="162" spans="1:6" x14ac:dyDescent="0.25">
      <c r="A162" s="13">
        <v>161</v>
      </c>
      <c r="E162" s="13">
        <f t="shared" si="9"/>
        <v>161</v>
      </c>
      <c r="F162" s="13">
        <f t="shared" si="8"/>
        <v>161</v>
      </c>
    </row>
    <row r="163" spans="1:6" x14ac:dyDescent="0.25">
      <c r="A163" s="13">
        <v>162</v>
      </c>
      <c r="E163" s="13">
        <f t="shared" si="9"/>
        <v>162</v>
      </c>
      <c r="F163" s="13">
        <f t="shared" si="8"/>
        <v>162</v>
      </c>
    </row>
    <row r="164" spans="1:6" x14ac:dyDescent="0.25">
      <c r="A164" s="13">
        <v>163</v>
      </c>
      <c r="E164" s="13">
        <f t="shared" si="9"/>
        <v>163</v>
      </c>
      <c r="F164" s="13">
        <f t="shared" si="8"/>
        <v>163</v>
      </c>
    </row>
    <row r="165" spans="1:6" x14ac:dyDescent="0.25">
      <c r="A165" s="13">
        <v>164</v>
      </c>
      <c r="E165" s="13">
        <f t="shared" si="9"/>
        <v>164</v>
      </c>
      <c r="F165" s="13">
        <f t="shared" si="8"/>
        <v>164</v>
      </c>
    </row>
    <row r="166" spans="1:6" x14ac:dyDescent="0.25">
      <c r="A166" s="13">
        <v>165</v>
      </c>
      <c r="E166" s="13">
        <f t="shared" si="9"/>
        <v>165</v>
      </c>
      <c r="F166" s="13">
        <f t="shared" si="8"/>
        <v>165</v>
      </c>
    </row>
    <row r="167" spans="1:6" x14ac:dyDescent="0.25">
      <c r="A167" s="13">
        <v>166</v>
      </c>
      <c r="E167" s="13">
        <f t="shared" si="9"/>
        <v>166</v>
      </c>
      <c r="F167" s="13">
        <f t="shared" ref="F167:F201" si="10">A167</f>
        <v>166</v>
      </c>
    </row>
    <row r="168" spans="1:6" x14ac:dyDescent="0.25">
      <c r="A168" s="13">
        <v>167</v>
      </c>
      <c r="E168" s="13">
        <f t="shared" si="9"/>
        <v>167</v>
      </c>
      <c r="F168" s="13">
        <f t="shared" si="10"/>
        <v>167</v>
      </c>
    </row>
    <row r="169" spans="1:6" x14ac:dyDescent="0.25">
      <c r="A169" s="13">
        <v>168</v>
      </c>
      <c r="E169" s="13">
        <f t="shared" si="9"/>
        <v>168</v>
      </c>
      <c r="F169" s="13">
        <f t="shared" si="10"/>
        <v>168</v>
      </c>
    </row>
    <row r="170" spans="1:6" x14ac:dyDescent="0.25">
      <c r="A170" s="13">
        <v>169</v>
      </c>
      <c r="E170" s="13">
        <f t="shared" si="9"/>
        <v>169</v>
      </c>
      <c r="F170" s="13">
        <f t="shared" si="10"/>
        <v>169</v>
      </c>
    </row>
    <row r="171" spans="1:6" x14ac:dyDescent="0.25">
      <c r="A171" s="13">
        <v>170</v>
      </c>
      <c r="E171" s="13">
        <f t="shared" si="9"/>
        <v>170</v>
      </c>
      <c r="F171" s="13">
        <f t="shared" si="10"/>
        <v>170</v>
      </c>
    </row>
    <row r="172" spans="1:6" x14ac:dyDescent="0.25">
      <c r="A172" s="13">
        <v>171</v>
      </c>
      <c r="E172" s="13">
        <f t="shared" si="9"/>
        <v>171</v>
      </c>
      <c r="F172" s="13">
        <f t="shared" si="10"/>
        <v>171</v>
      </c>
    </row>
    <row r="173" spans="1:6" x14ac:dyDescent="0.25">
      <c r="A173" s="13">
        <v>172</v>
      </c>
      <c r="E173" s="13">
        <f t="shared" si="9"/>
        <v>172</v>
      </c>
      <c r="F173" s="13">
        <f t="shared" si="10"/>
        <v>172</v>
      </c>
    </row>
    <row r="174" spans="1:6" x14ac:dyDescent="0.25">
      <c r="A174" s="13">
        <v>173</v>
      </c>
      <c r="E174" s="13">
        <f t="shared" si="9"/>
        <v>173</v>
      </c>
      <c r="F174" s="13">
        <f t="shared" si="10"/>
        <v>173</v>
      </c>
    </row>
    <row r="175" spans="1:6" x14ac:dyDescent="0.25">
      <c r="A175" s="13">
        <v>174</v>
      </c>
      <c r="E175" s="13">
        <f t="shared" si="9"/>
        <v>174</v>
      </c>
      <c r="F175" s="13">
        <f t="shared" si="10"/>
        <v>174</v>
      </c>
    </row>
    <row r="176" spans="1:6" x14ac:dyDescent="0.25">
      <c r="A176" s="13">
        <v>175</v>
      </c>
      <c r="E176" s="13">
        <f t="shared" si="9"/>
        <v>175</v>
      </c>
      <c r="F176" s="13">
        <f t="shared" si="10"/>
        <v>175</v>
      </c>
    </row>
    <row r="177" spans="1:6" x14ac:dyDescent="0.25">
      <c r="A177" s="13">
        <v>176</v>
      </c>
      <c r="E177" s="13">
        <f t="shared" si="9"/>
        <v>176</v>
      </c>
      <c r="F177" s="13">
        <f t="shared" si="10"/>
        <v>176</v>
      </c>
    </row>
    <row r="178" spans="1:6" x14ac:dyDescent="0.25">
      <c r="A178" s="13">
        <v>177</v>
      </c>
      <c r="E178" s="13">
        <f t="shared" si="9"/>
        <v>177</v>
      </c>
      <c r="F178" s="13">
        <f t="shared" si="10"/>
        <v>177</v>
      </c>
    </row>
    <row r="179" spans="1:6" x14ac:dyDescent="0.25">
      <c r="A179" s="13">
        <v>178</v>
      </c>
      <c r="E179" s="13">
        <f t="shared" si="9"/>
        <v>178</v>
      </c>
      <c r="F179" s="13">
        <f t="shared" si="10"/>
        <v>178</v>
      </c>
    </row>
    <row r="180" spans="1:6" x14ac:dyDescent="0.25">
      <c r="A180" s="13">
        <v>179</v>
      </c>
      <c r="E180" s="13">
        <f t="shared" si="9"/>
        <v>179</v>
      </c>
      <c r="F180" s="13">
        <f t="shared" si="10"/>
        <v>179</v>
      </c>
    </row>
    <row r="181" spans="1:6" x14ac:dyDescent="0.25">
      <c r="A181" s="13">
        <v>180</v>
      </c>
      <c r="E181" s="13">
        <f t="shared" si="9"/>
        <v>180</v>
      </c>
      <c r="F181" s="13">
        <f t="shared" si="10"/>
        <v>180</v>
      </c>
    </row>
    <row r="182" spans="1:6" x14ac:dyDescent="0.25">
      <c r="A182" s="13">
        <v>181</v>
      </c>
      <c r="E182" s="13">
        <f t="shared" si="9"/>
        <v>181</v>
      </c>
      <c r="F182" s="13">
        <f t="shared" si="10"/>
        <v>181</v>
      </c>
    </row>
    <row r="183" spans="1:6" x14ac:dyDescent="0.25">
      <c r="A183" s="13">
        <v>182</v>
      </c>
      <c r="E183" s="13">
        <f t="shared" si="9"/>
        <v>182</v>
      </c>
      <c r="F183" s="13">
        <f t="shared" si="10"/>
        <v>182</v>
      </c>
    </row>
    <row r="184" spans="1:6" x14ac:dyDescent="0.25">
      <c r="A184" s="13">
        <v>183</v>
      </c>
      <c r="E184" s="13">
        <f t="shared" si="9"/>
        <v>183</v>
      </c>
      <c r="F184" s="13">
        <f t="shared" si="10"/>
        <v>183</v>
      </c>
    </row>
    <row r="185" spans="1:6" x14ac:dyDescent="0.25">
      <c r="A185" s="13">
        <v>184</v>
      </c>
      <c r="E185" s="13">
        <f t="shared" si="9"/>
        <v>184</v>
      </c>
      <c r="F185" s="13">
        <f t="shared" si="10"/>
        <v>184</v>
      </c>
    </row>
    <row r="186" spans="1:6" x14ac:dyDescent="0.25">
      <c r="A186" s="13">
        <v>185</v>
      </c>
      <c r="E186" s="13">
        <f t="shared" si="9"/>
        <v>185</v>
      </c>
      <c r="F186" s="13">
        <f t="shared" si="10"/>
        <v>185</v>
      </c>
    </row>
    <row r="187" spans="1:6" x14ac:dyDescent="0.25">
      <c r="A187" s="13">
        <v>186</v>
      </c>
      <c r="E187" s="13">
        <f t="shared" si="9"/>
        <v>186</v>
      </c>
      <c r="F187" s="13">
        <f t="shared" si="10"/>
        <v>186</v>
      </c>
    </row>
    <row r="188" spans="1:6" x14ac:dyDescent="0.25">
      <c r="A188" s="13">
        <v>187</v>
      </c>
      <c r="E188" s="13">
        <f t="shared" si="9"/>
        <v>187</v>
      </c>
      <c r="F188" s="13">
        <f t="shared" si="10"/>
        <v>187</v>
      </c>
    </row>
    <row r="189" spans="1:6" x14ac:dyDescent="0.25">
      <c r="A189" s="13">
        <v>188</v>
      </c>
      <c r="E189" s="13">
        <f t="shared" si="9"/>
        <v>188</v>
      </c>
      <c r="F189" s="13">
        <f t="shared" si="10"/>
        <v>188</v>
      </c>
    </row>
    <row r="190" spans="1:6" x14ac:dyDescent="0.25">
      <c r="A190" s="13">
        <v>189</v>
      </c>
      <c r="E190" s="13">
        <f t="shared" si="9"/>
        <v>189</v>
      </c>
      <c r="F190" s="13">
        <f t="shared" si="10"/>
        <v>189</v>
      </c>
    </row>
    <row r="191" spans="1:6" x14ac:dyDescent="0.25">
      <c r="A191" s="13">
        <v>190</v>
      </c>
      <c r="E191" s="13">
        <f t="shared" si="9"/>
        <v>190</v>
      </c>
      <c r="F191" s="13">
        <f t="shared" si="10"/>
        <v>190</v>
      </c>
    </row>
    <row r="192" spans="1:6" x14ac:dyDescent="0.25">
      <c r="A192" s="13">
        <v>191</v>
      </c>
      <c r="E192" s="13">
        <f t="shared" si="9"/>
        <v>191</v>
      </c>
      <c r="F192" s="13">
        <f t="shared" si="10"/>
        <v>191</v>
      </c>
    </row>
    <row r="193" spans="1:6" x14ac:dyDescent="0.25">
      <c r="A193" s="13">
        <v>192</v>
      </c>
      <c r="E193" s="13">
        <f t="shared" si="9"/>
        <v>192</v>
      </c>
      <c r="F193" s="13">
        <f t="shared" si="10"/>
        <v>192</v>
      </c>
    </row>
    <row r="194" spans="1:6" x14ac:dyDescent="0.25">
      <c r="A194" s="13">
        <v>193</v>
      </c>
      <c r="E194" s="13">
        <f t="shared" si="9"/>
        <v>193</v>
      </c>
      <c r="F194" s="13">
        <f t="shared" si="10"/>
        <v>193</v>
      </c>
    </row>
    <row r="195" spans="1:6" x14ac:dyDescent="0.25">
      <c r="A195" s="13">
        <v>194</v>
      </c>
      <c r="E195" s="13">
        <f t="shared" ref="E195:E201" si="11">A195</f>
        <v>194</v>
      </c>
      <c r="F195" s="13">
        <f t="shared" si="10"/>
        <v>194</v>
      </c>
    </row>
    <row r="196" spans="1:6" x14ac:dyDescent="0.25">
      <c r="A196" s="13">
        <v>195</v>
      </c>
      <c r="E196" s="13">
        <f t="shared" si="11"/>
        <v>195</v>
      </c>
      <c r="F196" s="13">
        <f t="shared" si="10"/>
        <v>195</v>
      </c>
    </row>
    <row r="197" spans="1:6" x14ac:dyDescent="0.25">
      <c r="A197" s="13">
        <v>196</v>
      </c>
      <c r="E197" s="13">
        <f t="shared" si="11"/>
        <v>196</v>
      </c>
      <c r="F197" s="13">
        <f t="shared" si="10"/>
        <v>196</v>
      </c>
    </row>
    <row r="198" spans="1:6" x14ac:dyDescent="0.25">
      <c r="A198" s="13">
        <v>197</v>
      </c>
      <c r="E198" s="13">
        <f t="shared" si="11"/>
        <v>197</v>
      </c>
      <c r="F198" s="13">
        <f t="shared" si="10"/>
        <v>197</v>
      </c>
    </row>
    <row r="199" spans="1:6" x14ac:dyDescent="0.25">
      <c r="A199" s="13">
        <v>198</v>
      </c>
      <c r="E199" s="13">
        <f t="shared" si="11"/>
        <v>198</v>
      </c>
      <c r="F199" s="13">
        <f t="shared" si="10"/>
        <v>198</v>
      </c>
    </row>
    <row r="200" spans="1:6" x14ac:dyDescent="0.25">
      <c r="A200" s="13">
        <v>199</v>
      </c>
      <c r="E200" s="13">
        <f t="shared" si="11"/>
        <v>199</v>
      </c>
      <c r="F200" s="13">
        <f t="shared" si="10"/>
        <v>199</v>
      </c>
    </row>
    <row r="201" spans="1:6" x14ac:dyDescent="0.25">
      <c r="A201" s="13">
        <v>200</v>
      </c>
      <c r="E201" s="13">
        <f t="shared" si="11"/>
        <v>200</v>
      </c>
      <c r="F201" s="13">
        <f t="shared" si="10"/>
        <v>200</v>
      </c>
    </row>
  </sheetData>
  <autoFilter ref="A1:K1" xr:uid="{3EEA8A6B-8BE4-4406-833E-B39BA3A5BFDC}">
    <sortState ref="A2:K101">
      <sortCondition ref="B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270F6-9341-400E-AD11-880978F9790F}">
  <dimension ref="A1:G201"/>
  <sheetViews>
    <sheetView workbookViewId="0">
      <pane ySplit="1" topLeftCell="A139" activePane="bottomLeft" state="frozen"/>
      <selection pane="bottomLeft" activeCell="B142" sqref="B142"/>
    </sheetView>
  </sheetViews>
  <sheetFormatPr defaultRowHeight="15" x14ac:dyDescent="0.25"/>
  <cols>
    <col min="1" max="1" width="8.28515625" style="1" bestFit="1" customWidth="1"/>
    <col min="2" max="2" width="19.140625" style="1" bestFit="1" customWidth="1"/>
    <col min="3" max="3" width="16.140625" style="1" bestFit="1" customWidth="1"/>
    <col min="4" max="4" width="22.42578125" style="1" bestFit="1" customWidth="1"/>
    <col min="5" max="5" width="19.42578125" style="1" bestFit="1" customWidth="1"/>
    <col min="6" max="6" width="21.5703125" style="18" bestFit="1" customWidth="1"/>
    <col min="7" max="7" width="23.85546875" style="1" bestFit="1" customWidth="1"/>
    <col min="8" max="16384" width="9.140625" style="1"/>
  </cols>
  <sheetData>
    <row r="1" spans="1:7" s="10" customFormat="1" ht="15.75" customHeight="1" x14ac:dyDescent="0.25">
      <c r="A1" s="11" t="s">
        <v>4</v>
      </c>
      <c r="B1" s="11" t="s">
        <v>11</v>
      </c>
      <c r="C1" s="11" t="s">
        <v>12</v>
      </c>
      <c r="D1" s="11" t="s">
        <v>13</v>
      </c>
      <c r="E1" s="11" t="s">
        <v>14</v>
      </c>
      <c r="F1" s="12" t="s">
        <v>15</v>
      </c>
      <c r="G1" s="10" t="s">
        <v>16</v>
      </c>
    </row>
    <row r="2" spans="1:7" x14ac:dyDescent="0.25">
      <c r="A2" s="13">
        <v>1</v>
      </c>
      <c r="B2" s="1" t="s">
        <v>45</v>
      </c>
      <c r="C2" s="1" t="s">
        <v>47</v>
      </c>
      <c r="D2" s="1" t="s">
        <v>45</v>
      </c>
      <c r="E2" s="1" t="s">
        <v>47</v>
      </c>
      <c r="F2" s="18">
        <v>1.5</v>
      </c>
      <c r="G2" s="1">
        <f ca="1">CHOOSE(RANDBETWEEN(1,4),0.5,1,1.5,2)</f>
        <v>1</v>
      </c>
    </row>
    <row r="3" spans="1:7" x14ac:dyDescent="0.25">
      <c r="A3" s="13">
        <v>2</v>
      </c>
      <c r="B3" s="1" t="s">
        <v>48</v>
      </c>
      <c r="C3" s="1" t="s">
        <v>49</v>
      </c>
      <c r="D3" s="1" t="s">
        <v>48</v>
      </c>
      <c r="E3" s="1" t="s">
        <v>50</v>
      </c>
      <c r="F3" s="18">
        <v>2.6</v>
      </c>
      <c r="G3" s="1">
        <f t="shared" ref="G3:G66" ca="1" si="0">CHOOSE(RANDBETWEEN(1,4),0.5,1,1.5,2)</f>
        <v>1.5</v>
      </c>
    </row>
    <row r="4" spans="1:7" x14ac:dyDescent="0.25">
      <c r="A4" s="13">
        <v>3</v>
      </c>
      <c r="B4" s="1" t="s">
        <v>48</v>
      </c>
      <c r="C4" s="1" t="s">
        <v>51</v>
      </c>
      <c r="D4" s="1" t="s">
        <v>48</v>
      </c>
      <c r="E4" s="1" t="s">
        <v>51</v>
      </c>
      <c r="F4" s="18">
        <v>2.2999999999999998</v>
      </c>
      <c r="G4" s="1">
        <f t="shared" ca="1" si="0"/>
        <v>1</v>
      </c>
    </row>
    <row r="5" spans="1:7" x14ac:dyDescent="0.25">
      <c r="A5" s="13">
        <v>4</v>
      </c>
      <c r="B5" s="1" t="s">
        <v>48</v>
      </c>
      <c r="C5" s="1" t="s">
        <v>52</v>
      </c>
      <c r="D5" s="1" t="s">
        <v>48</v>
      </c>
      <c r="E5" s="1" t="s">
        <v>53</v>
      </c>
      <c r="F5" s="18">
        <v>6</v>
      </c>
      <c r="G5" s="1">
        <f t="shared" ca="1" si="0"/>
        <v>0.5</v>
      </c>
    </row>
    <row r="6" spans="1:7" x14ac:dyDescent="0.25">
      <c r="A6" s="13">
        <v>5</v>
      </c>
      <c r="B6" s="1" t="s">
        <v>48</v>
      </c>
      <c r="C6" s="1" t="s">
        <v>52</v>
      </c>
      <c r="D6" s="1" t="s">
        <v>48</v>
      </c>
      <c r="E6" s="1" t="s">
        <v>47</v>
      </c>
      <c r="F6" s="18">
        <v>5.0999999999999996</v>
      </c>
      <c r="G6" s="1">
        <f t="shared" ca="1" si="0"/>
        <v>0.5</v>
      </c>
    </row>
    <row r="7" spans="1:7" x14ac:dyDescent="0.25">
      <c r="A7" s="13">
        <v>6</v>
      </c>
      <c r="B7" s="1">
        <v>0</v>
      </c>
      <c r="C7" s="1">
        <v>0</v>
      </c>
      <c r="D7" s="1">
        <v>0</v>
      </c>
      <c r="E7" s="1">
        <v>0</v>
      </c>
      <c r="F7" s="18">
        <v>0</v>
      </c>
      <c r="G7" s="1">
        <f t="shared" ca="1" si="0"/>
        <v>0.5</v>
      </c>
    </row>
    <row r="8" spans="1:7" x14ac:dyDescent="0.25">
      <c r="A8" s="13">
        <v>7</v>
      </c>
      <c r="B8" s="1" t="s">
        <v>48</v>
      </c>
      <c r="C8" s="1" t="s">
        <v>49</v>
      </c>
      <c r="D8" s="1" t="s">
        <v>48</v>
      </c>
      <c r="E8" s="1" t="s">
        <v>52</v>
      </c>
      <c r="F8" s="18">
        <v>3.5</v>
      </c>
      <c r="G8" s="1">
        <f t="shared" ca="1" si="0"/>
        <v>2</v>
      </c>
    </row>
    <row r="9" spans="1:7" x14ac:dyDescent="0.25">
      <c r="A9" s="13">
        <v>8</v>
      </c>
      <c r="B9" s="1">
        <v>0</v>
      </c>
      <c r="C9" s="1">
        <v>0</v>
      </c>
      <c r="D9" s="1">
        <v>0</v>
      </c>
      <c r="E9" s="1">
        <v>0</v>
      </c>
      <c r="F9" s="18">
        <v>0</v>
      </c>
      <c r="G9" s="1">
        <f t="shared" ca="1" si="0"/>
        <v>1</v>
      </c>
    </row>
    <row r="10" spans="1:7" x14ac:dyDescent="0.25">
      <c r="A10" s="13">
        <v>9</v>
      </c>
      <c r="B10" s="1" t="s">
        <v>48</v>
      </c>
      <c r="C10" s="1" t="s">
        <v>54</v>
      </c>
      <c r="D10" s="1" t="s">
        <v>48</v>
      </c>
      <c r="E10" s="1" t="s">
        <v>55</v>
      </c>
      <c r="F10" s="18">
        <v>5.0999999999999996</v>
      </c>
      <c r="G10" s="1">
        <f t="shared" ca="1" si="0"/>
        <v>1</v>
      </c>
    </row>
    <row r="11" spans="1:7" x14ac:dyDescent="0.25">
      <c r="A11" s="13">
        <v>10</v>
      </c>
      <c r="B11" s="1" t="s">
        <v>57</v>
      </c>
      <c r="C11" s="1" t="s">
        <v>58</v>
      </c>
      <c r="D11" s="1" t="s">
        <v>57</v>
      </c>
      <c r="E11" s="1" t="s">
        <v>47</v>
      </c>
      <c r="F11" s="18">
        <v>3.5</v>
      </c>
      <c r="G11" s="1">
        <f t="shared" ca="1" si="0"/>
        <v>0.5</v>
      </c>
    </row>
    <row r="12" spans="1:7" x14ac:dyDescent="0.25">
      <c r="A12" s="13">
        <v>11</v>
      </c>
      <c r="B12" s="1">
        <v>0</v>
      </c>
      <c r="C12" s="1">
        <v>0</v>
      </c>
      <c r="D12" s="1">
        <v>0</v>
      </c>
      <c r="E12" s="1">
        <v>0</v>
      </c>
      <c r="F12" s="18">
        <v>0</v>
      </c>
      <c r="G12" s="1">
        <f t="shared" ca="1" si="0"/>
        <v>1</v>
      </c>
    </row>
    <row r="13" spans="1:7" x14ac:dyDescent="0.25">
      <c r="A13" s="13">
        <v>12</v>
      </c>
      <c r="B13" s="1" t="s">
        <v>48</v>
      </c>
      <c r="C13" s="1" t="s">
        <v>59</v>
      </c>
      <c r="D13" s="1" t="s">
        <v>48</v>
      </c>
      <c r="E13" s="1" t="s">
        <v>52</v>
      </c>
      <c r="F13" s="18">
        <v>2.8</v>
      </c>
      <c r="G13" s="1">
        <f t="shared" ca="1" si="0"/>
        <v>2</v>
      </c>
    </row>
    <row r="14" spans="1:7" x14ac:dyDescent="0.25">
      <c r="A14" s="13">
        <v>13</v>
      </c>
      <c r="B14" s="1" t="s">
        <v>48</v>
      </c>
      <c r="C14" s="1" t="s">
        <v>52</v>
      </c>
      <c r="D14" s="1" t="s">
        <v>48</v>
      </c>
      <c r="E14" s="1" t="s">
        <v>60</v>
      </c>
      <c r="F14" s="18">
        <v>2.8</v>
      </c>
      <c r="G14" s="1">
        <f t="shared" ca="1" si="0"/>
        <v>0.5</v>
      </c>
    </row>
    <row r="15" spans="1:7" x14ac:dyDescent="0.25">
      <c r="A15" s="13">
        <v>14</v>
      </c>
      <c r="B15" s="1" t="s">
        <v>48</v>
      </c>
      <c r="C15" s="1" t="s">
        <v>61</v>
      </c>
      <c r="D15" s="1" t="s">
        <v>45</v>
      </c>
      <c r="E15" s="1" t="s">
        <v>62</v>
      </c>
      <c r="F15" s="18">
        <v>17.100000000000001</v>
      </c>
      <c r="G15" s="1">
        <f t="shared" ca="1" si="0"/>
        <v>1.5</v>
      </c>
    </row>
    <row r="16" spans="1:7" x14ac:dyDescent="0.25">
      <c r="A16" s="13">
        <v>15</v>
      </c>
      <c r="B16" s="1" t="s">
        <v>45</v>
      </c>
      <c r="C16" s="1" t="s">
        <v>63</v>
      </c>
      <c r="D16" s="1" t="s">
        <v>48</v>
      </c>
      <c r="E16" s="1" t="s">
        <v>64</v>
      </c>
      <c r="F16" s="18">
        <v>8.6</v>
      </c>
      <c r="G16" s="1">
        <f t="shared" ca="1" si="0"/>
        <v>1.5</v>
      </c>
    </row>
    <row r="17" spans="1:7" x14ac:dyDescent="0.25">
      <c r="A17" s="13">
        <v>16</v>
      </c>
      <c r="B17" s="1" t="s">
        <v>48</v>
      </c>
      <c r="C17" s="1" t="s">
        <v>65</v>
      </c>
      <c r="D17" s="1" t="s">
        <v>48</v>
      </c>
      <c r="E17" s="1" t="s">
        <v>66</v>
      </c>
      <c r="F17" s="18">
        <v>1.9</v>
      </c>
      <c r="G17" s="1">
        <f t="shared" ca="1" si="0"/>
        <v>1.5</v>
      </c>
    </row>
    <row r="18" spans="1:7" x14ac:dyDescent="0.25">
      <c r="A18" s="13">
        <v>17</v>
      </c>
      <c r="B18" s="1" t="s">
        <v>48</v>
      </c>
      <c r="C18" s="1" t="s">
        <v>67</v>
      </c>
      <c r="D18" s="1" t="s">
        <v>48</v>
      </c>
      <c r="E18" s="1" t="s">
        <v>68</v>
      </c>
      <c r="F18" s="18">
        <v>3.1</v>
      </c>
      <c r="G18" s="1">
        <f t="shared" ca="1" si="0"/>
        <v>1.5</v>
      </c>
    </row>
    <row r="19" spans="1:7" x14ac:dyDescent="0.25">
      <c r="A19" s="13">
        <v>18</v>
      </c>
      <c r="B19" s="1">
        <v>0</v>
      </c>
      <c r="C19" s="1">
        <v>0</v>
      </c>
      <c r="D19" s="1">
        <v>0</v>
      </c>
      <c r="E19" s="1">
        <v>0</v>
      </c>
      <c r="F19" s="18">
        <v>0</v>
      </c>
      <c r="G19" s="1">
        <f t="shared" ca="1" si="0"/>
        <v>2</v>
      </c>
    </row>
    <row r="20" spans="1:7" x14ac:dyDescent="0.25">
      <c r="A20" s="13">
        <v>19</v>
      </c>
      <c r="B20" s="1" t="s">
        <v>48</v>
      </c>
      <c r="C20" s="1" t="s">
        <v>52</v>
      </c>
      <c r="D20" s="1" t="s">
        <v>48</v>
      </c>
      <c r="E20" s="1" t="s">
        <v>69</v>
      </c>
      <c r="F20" s="18">
        <v>13.2</v>
      </c>
      <c r="G20" s="1">
        <f t="shared" ca="1" si="0"/>
        <v>1.5</v>
      </c>
    </row>
    <row r="21" spans="1:7" x14ac:dyDescent="0.25">
      <c r="A21" s="13">
        <v>20</v>
      </c>
      <c r="B21" s="1" t="s">
        <v>48</v>
      </c>
      <c r="C21" s="1" t="s">
        <v>70</v>
      </c>
      <c r="D21" s="1" t="s">
        <v>48</v>
      </c>
      <c r="E21" s="1" t="s">
        <v>71</v>
      </c>
      <c r="F21" s="18">
        <v>2.4</v>
      </c>
      <c r="G21" s="1">
        <f t="shared" ca="1" si="0"/>
        <v>1</v>
      </c>
    </row>
    <row r="22" spans="1:7" x14ac:dyDescent="0.25">
      <c r="A22" s="13">
        <v>21</v>
      </c>
      <c r="B22" s="1" t="s">
        <v>48</v>
      </c>
      <c r="C22" s="1" t="s">
        <v>68</v>
      </c>
      <c r="D22" s="1" t="s">
        <v>48</v>
      </c>
      <c r="E22" s="1" t="s">
        <v>67</v>
      </c>
      <c r="F22" s="18">
        <v>1.5</v>
      </c>
      <c r="G22" s="1">
        <f t="shared" ca="1" si="0"/>
        <v>2</v>
      </c>
    </row>
    <row r="23" spans="1:7" x14ac:dyDescent="0.25">
      <c r="A23" s="13">
        <v>22</v>
      </c>
      <c r="B23" s="1" t="s">
        <v>48</v>
      </c>
      <c r="C23" s="1" t="s">
        <v>72</v>
      </c>
      <c r="D23" s="1" t="s">
        <v>48</v>
      </c>
      <c r="E23" s="1" t="s">
        <v>72</v>
      </c>
      <c r="F23" s="18">
        <v>0.5</v>
      </c>
      <c r="G23" s="1">
        <f t="shared" ca="1" si="0"/>
        <v>1</v>
      </c>
    </row>
    <row r="24" spans="1:7" x14ac:dyDescent="0.25">
      <c r="A24" s="13">
        <v>23</v>
      </c>
      <c r="B24" s="1" t="s">
        <v>48</v>
      </c>
      <c r="C24" s="1" t="s">
        <v>52</v>
      </c>
      <c r="D24" s="1" t="s">
        <v>48</v>
      </c>
      <c r="E24" s="1" t="s">
        <v>55</v>
      </c>
      <c r="F24" s="18">
        <v>2</v>
      </c>
      <c r="G24" s="1">
        <f t="shared" ca="1" si="0"/>
        <v>1</v>
      </c>
    </row>
    <row r="25" spans="1:7" x14ac:dyDescent="0.25">
      <c r="A25" s="13">
        <v>24</v>
      </c>
      <c r="B25" s="1" t="s">
        <v>45</v>
      </c>
      <c r="C25" s="1" t="s">
        <v>47</v>
      </c>
      <c r="D25" s="1" t="s">
        <v>45</v>
      </c>
      <c r="E25" s="1" t="s">
        <v>73</v>
      </c>
      <c r="F25" s="18">
        <v>4</v>
      </c>
      <c r="G25" s="1">
        <f t="shared" ca="1" si="0"/>
        <v>1.5</v>
      </c>
    </row>
    <row r="26" spans="1:7" x14ac:dyDescent="0.25">
      <c r="A26" s="13">
        <v>25</v>
      </c>
      <c r="B26" s="1" t="s">
        <v>48</v>
      </c>
      <c r="C26" s="1" t="s">
        <v>55</v>
      </c>
      <c r="D26" s="1" t="s">
        <v>48</v>
      </c>
      <c r="E26" s="1" t="s">
        <v>55</v>
      </c>
      <c r="F26" s="18">
        <v>2.4</v>
      </c>
      <c r="G26" s="1">
        <f t="shared" ca="1" si="0"/>
        <v>2</v>
      </c>
    </row>
    <row r="27" spans="1:7" x14ac:dyDescent="0.25">
      <c r="A27" s="13">
        <v>26</v>
      </c>
      <c r="B27" s="1" t="s">
        <v>48</v>
      </c>
      <c r="C27" s="1" t="s">
        <v>74</v>
      </c>
      <c r="D27" s="1" t="s">
        <v>45</v>
      </c>
      <c r="E27" s="1" t="s">
        <v>63</v>
      </c>
      <c r="F27" s="18">
        <v>19</v>
      </c>
      <c r="G27" s="1">
        <f t="shared" ca="1" si="0"/>
        <v>2</v>
      </c>
    </row>
    <row r="28" spans="1:7" x14ac:dyDescent="0.25">
      <c r="A28" s="13">
        <v>27</v>
      </c>
      <c r="B28" s="1" t="s">
        <v>45</v>
      </c>
      <c r="C28" s="1" t="s">
        <v>63</v>
      </c>
      <c r="D28" s="1" t="s">
        <v>45</v>
      </c>
      <c r="E28" s="1" t="s">
        <v>47</v>
      </c>
      <c r="F28" s="18">
        <v>4.0999999999999996</v>
      </c>
      <c r="G28" s="1">
        <f t="shared" ca="1" si="0"/>
        <v>0.5</v>
      </c>
    </row>
    <row r="29" spans="1:7" x14ac:dyDescent="0.25">
      <c r="A29" s="13">
        <v>28</v>
      </c>
      <c r="B29" s="1" t="s">
        <v>45</v>
      </c>
      <c r="C29" s="1" t="s">
        <v>47</v>
      </c>
      <c r="D29" s="1" t="s">
        <v>45</v>
      </c>
      <c r="E29" s="1" t="s">
        <v>75</v>
      </c>
      <c r="F29" s="18">
        <v>2.6</v>
      </c>
      <c r="G29" s="1">
        <f t="shared" ca="1" si="0"/>
        <v>0.5</v>
      </c>
    </row>
    <row r="30" spans="1:7" x14ac:dyDescent="0.25">
      <c r="A30" s="13">
        <v>29</v>
      </c>
      <c r="B30" s="1" t="s">
        <v>45</v>
      </c>
      <c r="C30" s="1" t="s">
        <v>75</v>
      </c>
      <c r="D30" s="1" t="s">
        <v>45</v>
      </c>
      <c r="E30" s="1" t="s">
        <v>47</v>
      </c>
      <c r="F30" s="18">
        <v>2.2000000000000002</v>
      </c>
      <c r="G30" s="1">
        <f t="shared" ca="1" si="0"/>
        <v>1</v>
      </c>
    </row>
    <row r="31" spans="1:7" x14ac:dyDescent="0.25">
      <c r="A31" s="13">
        <v>30</v>
      </c>
      <c r="B31" s="1" t="s">
        <v>48</v>
      </c>
      <c r="C31" s="1" t="s">
        <v>76</v>
      </c>
      <c r="D31" s="1" t="s">
        <v>48</v>
      </c>
      <c r="E31" s="1" t="s">
        <v>77</v>
      </c>
      <c r="F31" s="18">
        <v>2.2000000000000002</v>
      </c>
      <c r="G31" s="1">
        <f t="shared" ca="1" si="0"/>
        <v>1.5</v>
      </c>
    </row>
    <row r="32" spans="1:7" x14ac:dyDescent="0.25">
      <c r="A32" s="13">
        <v>31</v>
      </c>
      <c r="B32" s="1" t="s">
        <v>48</v>
      </c>
      <c r="C32" s="1" t="s">
        <v>78</v>
      </c>
      <c r="D32" s="1" t="s">
        <v>48</v>
      </c>
      <c r="E32" s="1" t="s">
        <v>79</v>
      </c>
      <c r="F32" s="18">
        <v>9.4</v>
      </c>
      <c r="G32" s="1">
        <f t="shared" ca="1" si="0"/>
        <v>1.5</v>
      </c>
    </row>
    <row r="33" spans="1:7" x14ac:dyDescent="0.25">
      <c r="A33" s="13">
        <v>32</v>
      </c>
      <c r="B33" s="1" t="s">
        <v>45</v>
      </c>
      <c r="C33" s="1" t="s">
        <v>75</v>
      </c>
      <c r="D33" s="1" t="s">
        <v>45</v>
      </c>
      <c r="E33" s="1" t="s">
        <v>80</v>
      </c>
      <c r="F33" s="18">
        <v>8.3000000000000007</v>
      </c>
      <c r="G33" s="1">
        <f t="shared" ca="1" si="0"/>
        <v>0.5</v>
      </c>
    </row>
    <row r="34" spans="1:7" x14ac:dyDescent="0.25">
      <c r="A34" s="13">
        <v>33</v>
      </c>
      <c r="B34" s="1" t="s">
        <v>45</v>
      </c>
      <c r="C34" s="1" t="s">
        <v>80</v>
      </c>
      <c r="D34" s="1" t="s">
        <v>45</v>
      </c>
      <c r="E34" s="1" t="s">
        <v>47</v>
      </c>
      <c r="F34" s="18">
        <v>6</v>
      </c>
      <c r="G34" s="1">
        <f t="shared" ca="1" si="0"/>
        <v>0.5</v>
      </c>
    </row>
    <row r="35" spans="1:7" x14ac:dyDescent="0.25">
      <c r="A35" s="13">
        <v>34</v>
      </c>
      <c r="B35" s="1" t="s">
        <v>45</v>
      </c>
      <c r="C35" s="1" t="s">
        <v>47</v>
      </c>
      <c r="D35" s="1" t="s">
        <v>45</v>
      </c>
      <c r="E35" s="1" t="s">
        <v>63</v>
      </c>
      <c r="F35" s="18">
        <v>4.0999999999999996</v>
      </c>
      <c r="G35" s="1">
        <f t="shared" ca="1" si="0"/>
        <v>0.5</v>
      </c>
    </row>
    <row r="36" spans="1:7" x14ac:dyDescent="0.25">
      <c r="A36" s="13">
        <v>35</v>
      </c>
      <c r="B36" s="1" t="s">
        <v>45</v>
      </c>
      <c r="C36" s="1" t="s">
        <v>63</v>
      </c>
      <c r="D36" s="1" t="s">
        <v>48</v>
      </c>
      <c r="E36" s="1" t="s">
        <v>74</v>
      </c>
      <c r="F36" s="18">
        <v>19.600000000000001</v>
      </c>
      <c r="G36" s="1">
        <f t="shared" ca="1" si="0"/>
        <v>0.5</v>
      </c>
    </row>
    <row r="37" spans="1:7" x14ac:dyDescent="0.25">
      <c r="A37" s="13">
        <v>36</v>
      </c>
      <c r="B37" s="1" t="s">
        <v>48</v>
      </c>
      <c r="C37" s="1" t="s">
        <v>49</v>
      </c>
      <c r="D37" s="1" t="s">
        <v>48</v>
      </c>
      <c r="E37" s="1" t="s">
        <v>47</v>
      </c>
      <c r="F37" s="18">
        <v>2.1</v>
      </c>
      <c r="G37" s="1">
        <f t="shared" ca="1" si="0"/>
        <v>1</v>
      </c>
    </row>
    <row r="38" spans="1:7" x14ac:dyDescent="0.25">
      <c r="A38" s="13">
        <v>37</v>
      </c>
      <c r="B38" s="1" t="s">
        <v>48</v>
      </c>
      <c r="C38" s="1" t="s">
        <v>49</v>
      </c>
      <c r="D38" s="1" t="s">
        <v>48</v>
      </c>
      <c r="E38" s="1" t="s">
        <v>81</v>
      </c>
      <c r="F38" s="18">
        <v>5.2</v>
      </c>
      <c r="G38" s="1">
        <f t="shared" ca="1" si="0"/>
        <v>1.5</v>
      </c>
    </row>
    <row r="39" spans="1:7" x14ac:dyDescent="0.25">
      <c r="A39" s="13">
        <v>38</v>
      </c>
      <c r="B39" s="1" t="s">
        <v>48</v>
      </c>
      <c r="C39" s="1" t="s">
        <v>82</v>
      </c>
      <c r="D39" s="1" t="s">
        <v>83</v>
      </c>
      <c r="E39" s="1" t="s">
        <v>84</v>
      </c>
      <c r="F39" s="18">
        <v>29</v>
      </c>
      <c r="G39" s="1">
        <f t="shared" ca="1" si="0"/>
        <v>1</v>
      </c>
    </row>
    <row r="40" spans="1:7" x14ac:dyDescent="0.25">
      <c r="A40" s="13">
        <v>39</v>
      </c>
      <c r="B40" s="1" t="s">
        <v>83</v>
      </c>
      <c r="C40" s="1" t="s">
        <v>84</v>
      </c>
      <c r="D40" s="1" t="s">
        <v>83</v>
      </c>
      <c r="E40" s="1" t="s">
        <v>85</v>
      </c>
      <c r="F40" s="18">
        <v>3.9</v>
      </c>
      <c r="G40" s="1">
        <f t="shared" ca="1" si="0"/>
        <v>1</v>
      </c>
    </row>
    <row r="41" spans="1:7" x14ac:dyDescent="0.25">
      <c r="A41" s="13">
        <v>40</v>
      </c>
      <c r="B41" s="1" t="s">
        <v>48</v>
      </c>
      <c r="C41" s="1" t="s">
        <v>86</v>
      </c>
      <c r="D41" s="1" t="s">
        <v>45</v>
      </c>
      <c r="E41" s="1" t="s">
        <v>75</v>
      </c>
      <c r="F41" s="18">
        <v>17.399999999999999</v>
      </c>
      <c r="G41" s="1">
        <f t="shared" ca="1" si="0"/>
        <v>2</v>
      </c>
    </row>
    <row r="42" spans="1:7" x14ac:dyDescent="0.25">
      <c r="A42" s="13">
        <v>41</v>
      </c>
      <c r="B42" s="1" t="s">
        <v>45</v>
      </c>
      <c r="C42" s="1" t="s">
        <v>75</v>
      </c>
      <c r="D42" s="1" t="s">
        <v>45</v>
      </c>
      <c r="E42" s="1" t="s">
        <v>87</v>
      </c>
      <c r="F42" s="18">
        <v>2.7</v>
      </c>
      <c r="G42" s="1">
        <f t="shared" ca="1" si="0"/>
        <v>1</v>
      </c>
    </row>
    <row r="43" spans="1:7" x14ac:dyDescent="0.25">
      <c r="A43" s="13">
        <v>42</v>
      </c>
      <c r="B43" s="1" t="s">
        <v>45</v>
      </c>
      <c r="C43" s="1" t="s">
        <v>47</v>
      </c>
      <c r="D43" s="1" t="s">
        <v>45</v>
      </c>
      <c r="E43" s="1" t="s">
        <v>47</v>
      </c>
      <c r="F43" s="18">
        <v>0</v>
      </c>
      <c r="G43" s="1">
        <f t="shared" ca="1" si="0"/>
        <v>1</v>
      </c>
    </row>
    <row r="44" spans="1:7" x14ac:dyDescent="0.25">
      <c r="A44" s="13">
        <v>43</v>
      </c>
      <c r="B44" s="1" t="s">
        <v>45</v>
      </c>
      <c r="C44" s="1" t="s">
        <v>47</v>
      </c>
      <c r="D44" s="1" t="s">
        <v>45</v>
      </c>
      <c r="E44" s="1" t="s">
        <v>88</v>
      </c>
      <c r="F44" s="18">
        <v>5.8</v>
      </c>
      <c r="G44" s="1">
        <f t="shared" ca="1" si="0"/>
        <v>0.5</v>
      </c>
    </row>
    <row r="45" spans="1:7" x14ac:dyDescent="0.25">
      <c r="A45" s="13">
        <v>44</v>
      </c>
      <c r="B45" s="1" t="s">
        <v>45</v>
      </c>
      <c r="C45" s="1" t="s">
        <v>47</v>
      </c>
      <c r="D45" s="1" t="s">
        <v>45</v>
      </c>
      <c r="E45" s="1" t="s">
        <v>92</v>
      </c>
      <c r="F45" s="18">
        <v>4.8</v>
      </c>
      <c r="G45" s="1">
        <f t="shared" ca="1" si="0"/>
        <v>2</v>
      </c>
    </row>
    <row r="46" spans="1:7" x14ac:dyDescent="0.25">
      <c r="A46" s="13">
        <v>45</v>
      </c>
      <c r="B46" s="1" t="s">
        <v>45</v>
      </c>
      <c r="C46" s="1" t="s">
        <v>80</v>
      </c>
      <c r="D46" s="1" t="s">
        <v>45</v>
      </c>
      <c r="E46" s="1" t="s">
        <v>92</v>
      </c>
      <c r="F46" s="18">
        <v>2.7</v>
      </c>
      <c r="G46" s="1">
        <f t="shared" ca="1" si="0"/>
        <v>2</v>
      </c>
    </row>
    <row r="47" spans="1:7" x14ac:dyDescent="0.25">
      <c r="A47" s="13">
        <v>46</v>
      </c>
      <c r="B47" s="1" t="s">
        <v>45</v>
      </c>
      <c r="C47" s="1" t="s">
        <v>63</v>
      </c>
      <c r="D47" s="1" t="s">
        <v>48</v>
      </c>
      <c r="E47" s="1" t="s">
        <v>69</v>
      </c>
      <c r="F47" s="18">
        <v>6.3</v>
      </c>
      <c r="G47" s="1">
        <f t="shared" ca="1" si="0"/>
        <v>1</v>
      </c>
    </row>
    <row r="48" spans="1:7" x14ac:dyDescent="0.25">
      <c r="A48" s="13">
        <v>47</v>
      </c>
      <c r="B48" s="1" t="s">
        <v>48</v>
      </c>
      <c r="C48" s="1" t="s">
        <v>59</v>
      </c>
      <c r="D48" s="1" t="s">
        <v>48</v>
      </c>
      <c r="E48" s="1" t="s">
        <v>55</v>
      </c>
      <c r="F48" s="18">
        <v>2.9</v>
      </c>
      <c r="G48" s="1">
        <f t="shared" ca="1" si="0"/>
        <v>0.5</v>
      </c>
    </row>
    <row r="49" spans="1:7" x14ac:dyDescent="0.25">
      <c r="A49" s="13">
        <v>48</v>
      </c>
      <c r="B49" s="1" t="s">
        <v>48</v>
      </c>
      <c r="C49" s="1" t="s">
        <v>93</v>
      </c>
      <c r="D49" s="1" t="s">
        <v>45</v>
      </c>
      <c r="E49" s="1" t="s">
        <v>94</v>
      </c>
      <c r="F49" s="18">
        <v>21.1</v>
      </c>
      <c r="G49" s="1">
        <f t="shared" ca="1" si="0"/>
        <v>2</v>
      </c>
    </row>
    <row r="50" spans="1:7" x14ac:dyDescent="0.25">
      <c r="A50" s="13">
        <v>49</v>
      </c>
      <c r="B50" s="1" t="s">
        <v>45</v>
      </c>
      <c r="C50" s="1" t="s">
        <v>95</v>
      </c>
      <c r="D50" s="1" t="s">
        <v>45</v>
      </c>
      <c r="E50" s="1" t="s">
        <v>96</v>
      </c>
      <c r="F50" s="18">
        <v>3.7</v>
      </c>
      <c r="G50" s="1">
        <f t="shared" ca="1" si="0"/>
        <v>1</v>
      </c>
    </row>
    <row r="51" spans="1:7" x14ac:dyDescent="0.25">
      <c r="A51" s="13">
        <v>50</v>
      </c>
      <c r="B51" s="1" t="s">
        <v>45</v>
      </c>
      <c r="C51" s="1" t="s">
        <v>96</v>
      </c>
      <c r="D51" s="1" t="s">
        <v>45</v>
      </c>
      <c r="E51" s="1" t="s">
        <v>96</v>
      </c>
      <c r="F51" s="18">
        <v>1.1000000000000001</v>
      </c>
      <c r="G51" s="1">
        <f t="shared" ca="1" si="0"/>
        <v>2</v>
      </c>
    </row>
    <row r="52" spans="1:7" x14ac:dyDescent="0.25">
      <c r="A52" s="13">
        <v>51</v>
      </c>
      <c r="B52" s="1" t="s">
        <v>45</v>
      </c>
      <c r="C52" s="1" t="s">
        <v>96</v>
      </c>
      <c r="D52" s="1" t="s">
        <v>45</v>
      </c>
      <c r="E52" s="1" t="s">
        <v>95</v>
      </c>
      <c r="F52" s="18">
        <v>5</v>
      </c>
      <c r="G52" s="1">
        <f t="shared" ca="1" si="0"/>
        <v>2</v>
      </c>
    </row>
    <row r="53" spans="1:7" x14ac:dyDescent="0.25">
      <c r="A53" s="13">
        <v>52</v>
      </c>
      <c r="B53" s="1" t="s">
        <v>45</v>
      </c>
      <c r="C53" s="1" t="s">
        <v>95</v>
      </c>
      <c r="D53" s="1" t="s">
        <v>45</v>
      </c>
      <c r="E53" s="1" t="s">
        <v>97</v>
      </c>
      <c r="F53" s="18">
        <v>6.7</v>
      </c>
      <c r="G53" s="1">
        <f t="shared" ca="1" si="0"/>
        <v>2</v>
      </c>
    </row>
    <row r="54" spans="1:7" x14ac:dyDescent="0.25">
      <c r="A54" s="13">
        <v>53</v>
      </c>
      <c r="B54" s="1" t="s">
        <v>45</v>
      </c>
      <c r="C54" s="1" t="s">
        <v>63</v>
      </c>
      <c r="D54" s="1" t="s">
        <v>48</v>
      </c>
      <c r="E54" s="1" t="s">
        <v>55</v>
      </c>
      <c r="F54" s="18">
        <v>14.8</v>
      </c>
      <c r="G54" s="1">
        <f t="shared" ca="1" si="0"/>
        <v>1</v>
      </c>
    </row>
    <row r="55" spans="1:7" x14ac:dyDescent="0.25">
      <c r="A55" s="13">
        <v>54</v>
      </c>
      <c r="B55" s="1" t="s">
        <v>48</v>
      </c>
      <c r="C55" s="1" t="s">
        <v>55</v>
      </c>
      <c r="D55" s="1" t="s">
        <v>48</v>
      </c>
      <c r="E55" s="1" t="s">
        <v>52</v>
      </c>
      <c r="F55" s="18">
        <v>3</v>
      </c>
      <c r="G55" s="1">
        <f t="shared" ca="1" si="0"/>
        <v>2</v>
      </c>
    </row>
    <row r="56" spans="1:7" x14ac:dyDescent="0.25">
      <c r="A56" s="13">
        <v>55</v>
      </c>
      <c r="B56" s="1" t="s">
        <v>48</v>
      </c>
      <c r="C56" s="1" t="s">
        <v>98</v>
      </c>
      <c r="D56" s="1" t="s">
        <v>45</v>
      </c>
      <c r="E56" s="1" t="s">
        <v>47</v>
      </c>
      <c r="F56" s="18">
        <v>13</v>
      </c>
      <c r="G56" s="1">
        <f t="shared" ca="1" si="0"/>
        <v>2</v>
      </c>
    </row>
    <row r="57" spans="1:7" x14ac:dyDescent="0.25">
      <c r="A57" s="13">
        <v>56</v>
      </c>
      <c r="B57" s="1" t="s">
        <v>45</v>
      </c>
      <c r="C57" s="1" t="s">
        <v>47</v>
      </c>
      <c r="D57" s="1" t="s">
        <v>45</v>
      </c>
      <c r="E57" s="1" t="s">
        <v>99</v>
      </c>
      <c r="F57" s="18">
        <v>1.1000000000000001</v>
      </c>
      <c r="G57" s="1">
        <f t="shared" ca="1" si="0"/>
        <v>2</v>
      </c>
    </row>
    <row r="58" spans="1:7" x14ac:dyDescent="0.25">
      <c r="A58" s="13">
        <v>57</v>
      </c>
      <c r="B58" s="1" t="s">
        <v>45</v>
      </c>
      <c r="C58" s="1" t="s">
        <v>99</v>
      </c>
      <c r="D58" s="1" t="s">
        <v>45</v>
      </c>
      <c r="E58" s="1" t="s">
        <v>47</v>
      </c>
      <c r="F58" s="18">
        <v>1.7</v>
      </c>
      <c r="G58" s="1">
        <f t="shared" ca="1" si="0"/>
        <v>0.5</v>
      </c>
    </row>
    <row r="59" spans="1:7" x14ac:dyDescent="0.25">
      <c r="A59" s="13">
        <v>58</v>
      </c>
      <c r="B59" s="1" t="s">
        <v>48</v>
      </c>
      <c r="C59" s="1" t="s">
        <v>82</v>
      </c>
      <c r="D59" s="1" t="s">
        <v>48</v>
      </c>
      <c r="E59" s="1" t="s">
        <v>77</v>
      </c>
      <c r="F59" s="18">
        <v>4.5</v>
      </c>
      <c r="G59" s="1">
        <f t="shared" ca="1" si="0"/>
        <v>1</v>
      </c>
    </row>
    <row r="60" spans="1:7" x14ac:dyDescent="0.25">
      <c r="A60" s="13">
        <v>59</v>
      </c>
      <c r="B60" s="1" t="s">
        <v>48</v>
      </c>
      <c r="C60" s="1" t="s">
        <v>100</v>
      </c>
      <c r="D60" s="1" t="s">
        <v>45</v>
      </c>
      <c r="E60" s="1" t="s">
        <v>75</v>
      </c>
      <c r="F60" s="18">
        <v>9</v>
      </c>
      <c r="G60" s="1">
        <f t="shared" ca="1" si="0"/>
        <v>2</v>
      </c>
    </row>
    <row r="61" spans="1:7" x14ac:dyDescent="0.25">
      <c r="A61" s="13">
        <v>60</v>
      </c>
      <c r="B61" s="1" t="s">
        <v>45</v>
      </c>
      <c r="C61" s="1" t="s">
        <v>101</v>
      </c>
      <c r="D61" s="1" t="s">
        <v>45</v>
      </c>
      <c r="E61" s="1" t="s">
        <v>101</v>
      </c>
      <c r="F61" s="18">
        <v>1.4</v>
      </c>
      <c r="G61" s="1">
        <f t="shared" ca="1" si="0"/>
        <v>1</v>
      </c>
    </row>
    <row r="62" spans="1:7" x14ac:dyDescent="0.25">
      <c r="A62" s="13">
        <v>61</v>
      </c>
      <c r="B62" s="1" t="s">
        <v>45</v>
      </c>
      <c r="C62" s="1" t="s">
        <v>101</v>
      </c>
      <c r="D62" s="1" t="s">
        <v>45</v>
      </c>
      <c r="E62" s="1" t="s">
        <v>63</v>
      </c>
      <c r="F62" s="18">
        <v>3.3</v>
      </c>
      <c r="G62" s="1">
        <f t="shared" ca="1" si="0"/>
        <v>0.5</v>
      </c>
    </row>
    <row r="63" spans="1:7" x14ac:dyDescent="0.25">
      <c r="A63" s="13">
        <v>62</v>
      </c>
      <c r="B63" s="1" t="s">
        <v>48</v>
      </c>
      <c r="C63" s="1" t="s">
        <v>55</v>
      </c>
      <c r="D63" s="1" t="s">
        <v>48</v>
      </c>
      <c r="E63" s="1" t="s">
        <v>102</v>
      </c>
      <c r="F63" s="18">
        <v>1.8</v>
      </c>
      <c r="G63" s="1">
        <f t="shared" ca="1" si="0"/>
        <v>1</v>
      </c>
    </row>
    <row r="64" spans="1:7" x14ac:dyDescent="0.25">
      <c r="A64" s="13">
        <v>63</v>
      </c>
      <c r="B64" s="1" t="s">
        <v>48</v>
      </c>
      <c r="C64" s="1" t="s">
        <v>52</v>
      </c>
      <c r="D64" s="1" t="s">
        <v>48</v>
      </c>
      <c r="E64" s="1" t="s">
        <v>52</v>
      </c>
      <c r="F64" s="18">
        <v>1.4</v>
      </c>
      <c r="G64" s="1">
        <f t="shared" ca="1" si="0"/>
        <v>0.5</v>
      </c>
    </row>
    <row r="65" spans="1:7" x14ac:dyDescent="0.25">
      <c r="A65" s="13">
        <v>64</v>
      </c>
      <c r="B65" s="1" t="s">
        <v>45</v>
      </c>
      <c r="C65" s="1" t="s">
        <v>63</v>
      </c>
      <c r="D65" s="1" t="s">
        <v>48</v>
      </c>
      <c r="E65" s="1" t="s">
        <v>103</v>
      </c>
      <c r="F65" s="18">
        <v>11.5</v>
      </c>
      <c r="G65" s="1">
        <f t="shared" ca="1" si="0"/>
        <v>0.5</v>
      </c>
    </row>
    <row r="66" spans="1:7" x14ac:dyDescent="0.25">
      <c r="A66" s="13">
        <v>65</v>
      </c>
      <c r="B66" s="1" t="s">
        <v>48</v>
      </c>
      <c r="C66" s="1" t="s">
        <v>104</v>
      </c>
      <c r="D66" s="1" t="s">
        <v>48</v>
      </c>
      <c r="E66" s="1" t="s">
        <v>78</v>
      </c>
      <c r="F66" s="18">
        <v>4.5999999999999996</v>
      </c>
      <c r="G66" s="1">
        <f t="shared" ca="1" si="0"/>
        <v>2</v>
      </c>
    </row>
    <row r="67" spans="1:7" x14ac:dyDescent="0.25">
      <c r="A67" s="13">
        <v>66</v>
      </c>
      <c r="B67" s="1" t="s">
        <v>48</v>
      </c>
      <c r="C67" s="1" t="s">
        <v>82</v>
      </c>
      <c r="D67" s="1" t="s">
        <v>48</v>
      </c>
      <c r="E67" s="1" t="s">
        <v>69</v>
      </c>
      <c r="F67" s="18">
        <v>3.1</v>
      </c>
      <c r="G67" s="1">
        <f t="shared" ref="G67:G130" ca="1" si="1">CHOOSE(RANDBETWEEN(1,4),0.5,1,1.5,2)</f>
        <v>1</v>
      </c>
    </row>
    <row r="68" spans="1:7" x14ac:dyDescent="0.25">
      <c r="A68" s="13">
        <v>67</v>
      </c>
      <c r="B68" s="1" t="s">
        <v>48</v>
      </c>
      <c r="C68" s="1" t="s">
        <v>69</v>
      </c>
      <c r="D68" s="1" t="s">
        <v>48</v>
      </c>
      <c r="E68" s="1" t="s">
        <v>55</v>
      </c>
      <c r="F68" s="18">
        <v>10.8</v>
      </c>
      <c r="G68" s="1">
        <f t="shared" ca="1" si="1"/>
        <v>0.5</v>
      </c>
    </row>
    <row r="69" spans="1:7" x14ac:dyDescent="0.25">
      <c r="A69" s="13">
        <v>68</v>
      </c>
      <c r="B69" s="1" t="s">
        <v>48</v>
      </c>
      <c r="C69" s="1" t="s">
        <v>52</v>
      </c>
      <c r="D69" s="1" t="s">
        <v>48</v>
      </c>
      <c r="E69" s="1" t="s">
        <v>47</v>
      </c>
      <c r="F69" s="18">
        <v>6.9</v>
      </c>
      <c r="G69" s="1">
        <f t="shared" ca="1" si="1"/>
        <v>2</v>
      </c>
    </row>
    <row r="70" spans="1:7" x14ac:dyDescent="0.25">
      <c r="A70" s="13">
        <v>69</v>
      </c>
      <c r="B70" s="1" t="s">
        <v>48</v>
      </c>
      <c r="C70" s="1" t="s">
        <v>105</v>
      </c>
      <c r="D70" s="1" t="s">
        <v>48</v>
      </c>
      <c r="E70" s="1" t="s">
        <v>72</v>
      </c>
      <c r="F70" s="18">
        <v>2.7</v>
      </c>
      <c r="G70" s="1">
        <f t="shared" ca="1" si="1"/>
        <v>0.5</v>
      </c>
    </row>
    <row r="71" spans="1:7" x14ac:dyDescent="0.25">
      <c r="A71" s="13">
        <v>70</v>
      </c>
      <c r="B71" s="1" t="s">
        <v>45</v>
      </c>
      <c r="C71" s="1" t="s">
        <v>95</v>
      </c>
      <c r="D71" s="1" t="s">
        <v>45</v>
      </c>
      <c r="E71" s="1" t="s">
        <v>95</v>
      </c>
      <c r="F71" s="18">
        <v>2.2999999999999998</v>
      </c>
      <c r="G71" s="1">
        <f t="shared" ca="1" si="1"/>
        <v>0.5</v>
      </c>
    </row>
    <row r="72" spans="1:7" x14ac:dyDescent="0.25">
      <c r="A72" s="13">
        <v>71</v>
      </c>
      <c r="B72" s="1" t="s">
        <v>45</v>
      </c>
      <c r="C72" s="1" t="s">
        <v>95</v>
      </c>
      <c r="D72" s="1" t="s">
        <v>45</v>
      </c>
      <c r="E72" s="1" t="s">
        <v>106</v>
      </c>
      <c r="F72" s="18">
        <v>6.6</v>
      </c>
      <c r="G72" s="1">
        <f t="shared" ca="1" si="1"/>
        <v>2</v>
      </c>
    </row>
    <row r="73" spans="1:7" x14ac:dyDescent="0.25">
      <c r="A73" s="13">
        <v>72</v>
      </c>
      <c r="B73" s="1" t="s">
        <v>45</v>
      </c>
      <c r="C73" s="1" t="s">
        <v>107</v>
      </c>
      <c r="D73" s="1" t="s">
        <v>45</v>
      </c>
      <c r="E73" s="1" t="s">
        <v>108</v>
      </c>
      <c r="F73" s="18">
        <v>1.6</v>
      </c>
      <c r="G73" s="1">
        <f t="shared" ca="1" si="1"/>
        <v>1</v>
      </c>
    </row>
    <row r="74" spans="1:7" x14ac:dyDescent="0.25">
      <c r="A74" s="13">
        <v>73</v>
      </c>
      <c r="B74" s="1">
        <v>0</v>
      </c>
      <c r="C74" s="1">
        <v>0</v>
      </c>
      <c r="D74" s="1">
        <v>0</v>
      </c>
      <c r="E74" s="1">
        <v>0</v>
      </c>
      <c r="F74" s="18">
        <v>0</v>
      </c>
      <c r="G74" s="1">
        <f t="shared" ca="1" si="1"/>
        <v>1</v>
      </c>
    </row>
    <row r="75" spans="1:7" x14ac:dyDescent="0.25">
      <c r="A75" s="13">
        <v>74</v>
      </c>
      <c r="B75" s="1" t="s">
        <v>45</v>
      </c>
      <c r="C75" s="1" t="s">
        <v>88</v>
      </c>
      <c r="D75" s="1" t="s">
        <v>45</v>
      </c>
      <c r="E75" s="1" t="s">
        <v>109</v>
      </c>
      <c r="F75" s="18">
        <v>3.9</v>
      </c>
      <c r="G75" s="1">
        <f t="shared" ca="1" si="1"/>
        <v>1.5</v>
      </c>
    </row>
    <row r="76" spans="1:7" x14ac:dyDescent="0.25">
      <c r="A76" s="13">
        <v>75</v>
      </c>
      <c r="B76" s="1" t="s">
        <v>48</v>
      </c>
      <c r="C76" s="1" t="s">
        <v>98</v>
      </c>
      <c r="D76" s="1" t="s">
        <v>48</v>
      </c>
      <c r="E76" s="1" t="s">
        <v>52</v>
      </c>
      <c r="F76" s="18">
        <v>8.5</v>
      </c>
      <c r="G76" s="1">
        <f t="shared" ca="1" si="1"/>
        <v>1.5</v>
      </c>
    </row>
    <row r="77" spans="1:7" x14ac:dyDescent="0.25">
      <c r="A77" s="13">
        <v>76</v>
      </c>
      <c r="B77" s="1" t="s">
        <v>48</v>
      </c>
      <c r="C77" s="1" t="s">
        <v>52</v>
      </c>
      <c r="D77" s="1" t="s">
        <v>48</v>
      </c>
      <c r="E77" s="1" t="s">
        <v>110</v>
      </c>
      <c r="F77" s="18">
        <v>3.7</v>
      </c>
      <c r="G77" s="1">
        <f t="shared" ca="1" si="1"/>
        <v>0.5</v>
      </c>
    </row>
    <row r="78" spans="1:7" x14ac:dyDescent="0.25">
      <c r="A78" s="13">
        <v>77</v>
      </c>
      <c r="B78" s="1" t="s">
        <v>48</v>
      </c>
      <c r="C78" s="1" t="s">
        <v>111</v>
      </c>
      <c r="D78" s="1" t="s">
        <v>48</v>
      </c>
      <c r="E78" s="1" t="s">
        <v>47</v>
      </c>
      <c r="F78" s="18">
        <v>9.1999999999999993</v>
      </c>
      <c r="G78" s="1">
        <f t="shared" ca="1" si="1"/>
        <v>0.5</v>
      </c>
    </row>
    <row r="79" spans="1:7" x14ac:dyDescent="0.25">
      <c r="A79" s="13">
        <v>78</v>
      </c>
      <c r="B79" s="1">
        <v>0</v>
      </c>
      <c r="C79" s="1">
        <v>0</v>
      </c>
      <c r="D79" s="1">
        <v>0</v>
      </c>
      <c r="E79" s="1">
        <v>0</v>
      </c>
      <c r="F79" s="18">
        <v>0</v>
      </c>
      <c r="G79" s="1">
        <f t="shared" ca="1" si="1"/>
        <v>2</v>
      </c>
    </row>
    <row r="80" spans="1:7" x14ac:dyDescent="0.25">
      <c r="A80" s="13">
        <v>79</v>
      </c>
      <c r="B80" s="1" t="s">
        <v>45</v>
      </c>
      <c r="C80" s="1" t="s">
        <v>47</v>
      </c>
      <c r="D80" s="1" t="s">
        <v>45</v>
      </c>
      <c r="E80" s="1" t="s">
        <v>99</v>
      </c>
      <c r="F80" s="18">
        <v>2.2999999999999998</v>
      </c>
      <c r="G80" s="1">
        <f t="shared" ca="1" si="1"/>
        <v>2</v>
      </c>
    </row>
    <row r="81" spans="1:7" x14ac:dyDescent="0.25">
      <c r="A81" s="13">
        <v>80</v>
      </c>
      <c r="B81" s="1" t="s">
        <v>45</v>
      </c>
      <c r="C81" s="1" t="s">
        <v>47</v>
      </c>
      <c r="D81" s="1" t="s">
        <v>45</v>
      </c>
      <c r="E81" s="1" t="s">
        <v>47</v>
      </c>
      <c r="F81" s="18">
        <v>1.4</v>
      </c>
      <c r="G81" s="1">
        <f t="shared" ca="1" si="1"/>
        <v>2</v>
      </c>
    </row>
    <row r="82" spans="1:7" x14ac:dyDescent="0.25">
      <c r="A82" s="13">
        <v>81</v>
      </c>
      <c r="B82" s="1" t="s">
        <v>48</v>
      </c>
      <c r="C82" s="1" t="s">
        <v>112</v>
      </c>
      <c r="D82" s="1" t="s">
        <v>45</v>
      </c>
      <c r="E82" s="1" t="s">
        <v>75</v>
      </c>
      <c r="F82" s="18">
        <v>17.27</v>
      </c>
      <c r="G82" s="1">
        <f t="shared" ca="1" si="1"/>
        <v>1</v>
      </c>
    </row>
    <row r="83" spans="1:7" x14ac:dyDescent="0.25">
      <c r="A83" s="13">
        <v>82</v>
      </c>
      <c r="B83" s="1" t="s">
        <v>45</v>
      </c>
      <c r="C83" s="1" t="s">
        <v>75</v>
      </c>
      <c r="D83" s="1" t="s">
        <v>45</v>
      </c>
      <c r="E83" s="1" t="s">
        <v>47</v>
      </c>
      <c r="F83" s="18">
        <v>2.95</v>
      </c>
      <c r="G83" s="1">
        <f t="shared" ca="1" si="1"/>
        <v>1.5</v>
      </c>
    </row>
    <row r="84" spans="1:7" x14ac:dyDescent="0.25">
      <c r="A84" s="13">
        <v>83</v>
      </c>
      <c r="B84" s="1" t="s">
        <v>45</v>
      </c>
      <c r="C84" s="1" t="s">
        <v>113</v>
      </c>
      <c r="D84" s="1" t="s">
        <v>45</v>
      </c>
      <c r="E84" s="1" t="s">
        <v>114</v>
      </c>
      <c r="F84" s="18">
        <v>0.94</v>
      </c>
      <c r="G84" s="1">
        <f t="shared" ca="1" si="1"/>
        <v>2</v>
      </c>
    </row>
    <row r="85" spans="1:7" x14ac:dyDescent="0.25">
      <c r="A85" s="13">
        <v>84</v>
      </c>
      <c r="B85" s="1" t="s">
        <v>45</v>
      </c>
      <c r="C85" s="1" t="s">
        <v>47</v>
      </c>
      <c r="D85" s="1" t="s">
        <v>45</v>
      </c>
      <c r="E85" s="1" t="s">
        <v>47</v>
      </c>
      <c r="F85" s="18">
        <v>2.2599999999999998</v>
      </c>
      <c r="G85" s="1">
        <f t="shared" ca="1" si="1"/>
        <v>2</v>
      </c>
    </row>
    <row r="86" spans="1:7" x14ac:dyDescent="0.25">
      <c r="A86" s="13">
        <v>85</v>
      </c>
      <c r="B86" s="1" t="s">
        <v>45</v>
      </c>
      <c r="C86" s="1" t="s">
        <v>47</v>
      </c>
      <c r="D86" s="1" t="s">
        <v>45</v>
      </c>
      <c r="E86" s="1" t="s">
        <v>75</v>
      </c>
      <c r="F86" s="18">
        <v>3.92</v>
      </c>
      <c r="G86" s="1">
        <f t="shared" ca="1" si="1"/>
        <v>1.5</v>
      </c>
    </row>
    <row r="87" spans="1:7" x14ac:dyDescent="0.25">
      <c r="A87" s="13">
        <v>86</v>
      </c>
      <c r="B87" s="1" t="s">
        <v>45</v>
      </c>
      <c r="C87" s="1" t="s">
        <v>75</v>
      </c>
      <c r="D87" s="1" t="s">
        <v>45</v>
      </c>
      <c r="E87" s="1" t="s">
        <v>115</v>
      </c>
      <c r="F87" s="18">
        <v>4.57</v>
      </c>
      <c r="G87" s="1">
        <f t="shared" ca="1" si="1"/>
        <v>1.5</v>
      </c>
    </row>
    <row r="88" spans="1:7" x14ac:dyDescent="0.25">
      <c r="A88" s="13">
        <v>87</v>
      </c>
      <c r="B88" s="1" t="s">
        <v>45</v>
      </c>
      <c r="C88" s="1" t="s">
        <v>115</v>
      </c>
      <c r="D88" s="1" t="s">
        <v>45</v>
      </c>
      <c r="E88" s="1" t="s">
        <v>75</v>
      </c>
      <c r="F88" s="18">
        <v>3.41</v>
      </c>
      <c r="G88" s="1">
        <f t="shared" ca="1" si="1"/>
        <v>2</v>
      </c>
    </row>
    <row r="89" spans="1:7" x14ac:dyDescent="0.25">
      <c r="A89" s="13">
        <v>88</v>
      </c>
      <c r="B89" s="1" t="s">
        <v>45</v>
      </c>
      <c r="C89" s="1" t="s">
        <v>75</v>
      </c>
      <c r="D89" s="1" t="s">
        <v>45</v>
      </c>
      <c r="E89" s="1" t="s">
        <v>116</v>
      </c>
      <c r="F89" s="18">
        <v>2.23</v>
      </c>
      <c r="G89" s="1">
        <f t="shared" ca="1" si="1"/>
        <v>1.5</v>
      </c>
    </row>
    <row r="90" spans="1:7" x14ac:dyDescent="0.25">
      <c r="A90" s="13">
        <v>89</v>
      </c>
      <c r="B90" s="1" t="s">
        <v>45</v>
      </c>
      <c r="C90" s="1" t="s">
        <v>75</v>
      </c>
      <c r="D90" s="1" t="s">
        <v>48</v>
      </c>
      <c r="E90" s="1" t="s">
        <v>54</v>
      </c>
      <c r="F90" s="18">
        <v>10.95</v>
      </c>
      <c r="G90" s="1">
        <f t="shared" ca="1" si="1"/>
        <v>2</v>
      </c>
    </row>
    <row r="91" spans="1:7" x14ac:dyDescent="0.25">
      <c r="A91" s="13">
        <v>90</v>
      </c>
      <c r="B91" s="1" t="s">
        <v>45</v>
      </c>
      <c r="C91" s="1" t="s">
        <v>116</v>
      </c>
      <c r="D91" s="1" t="s">
        <v>48</v>
      </c>
      <c r="E91" s="1" t="s">
        <v>54</v>
      </c>
      <c r="F91" s="18">
        <v>5.37</v>
      </c>
      <c r="G91" s="1">
        <f t="shared" ca="1" si="1"/>
        <v>2</v>
      </c>
    </row>
    <row r="92" spans="1:7" x14ac:dyDescent="0.25">
      <c r="A92" s="13">
        <v>91</v>
      </c>
      <c r="B92" s="1" t="s">
        <v>48</v>
      </c>
      <c r="C92" s="1" t="s">
        <v>54</v>
      </c>
      <c r="D92" s="1" t="s">
        <v>45</v>
      </c>
      <c r="E92" s="1" t="s">
        <v>117</v>
      </c>
      <c r="F92" s="18">
        <v>9.15</v>
      </c>
      <c r="G92" s="1">
        <f t="shared" ca="1" si="1"/>
        <v>1</v>
      </c>
    </row>
    <row r="93" spans="1:7" x14ac:dyDescent="0.25">
      <c r="A93" s="13">
        <v>92</v>
      </c>
      <c r="B93" s="1" t="s">
        <v>45</v>
      </c>
      <c r="C93" s="1" t="s">
        <v>63</v>
      </c>
      <c r="D93" s="1" t="s">
        <v>45</v>
      </c>
      <c r="E93" s="1" t="s">
        <v>80</v>
      </c>
      <c r="F93" s="18">
        <v>2.46</v>
      </c>
      <c r="G93" s="1">
        <f t="shared" ca="1" si="1"/>
        <v>1.5</v>
      </c>
    </row>
    <row r="94" spans="1:7" x14ac:dyDescent="0.25">
      <c r="A94" s="13">
        <v>93</v>
      </c>
      <c r="B94" s="1" t="s">
        <v>45</v>
      </c>
      <c r="C94" s="1" t="s">
        <v>80</v>
      </c>
      <c r="D94" s="1" t="s">
        <v>48</v>
      </c>
      <c r="E94" s="1" t="s">
        <v>110</v>
      </c>
      <c r="F94" s="18">
        <v>20.61</v>
      </c>
      <c r="G94" s="1">
        <f t="shared" ca="1" si="1"/>
        <v>1</v>
      </c>
    </row>
    <row r="95" spans="1:7" x14ac:dyDescent="0.25">
      <c r="A95" s="13">
        <v>94</v>
      </c>
      <c r="B95" s="1" t="s">
        <v>48</v>
      </c>
      <c r="C95" s="1" t="s">
        <v>110</v>
      </c>
      <c r="D95" s="1" t="s">
        <v>48</v>
      </c>
      <c r="E95" s="1" t="s">
        <v>52</v>
      </c>
      <c r="F95" s="18">
        <v>4.9000000000000004</v>
      </c>
      <c r="G95" s="1">
        <f t="shared" ca="1" si="1"/>
        <v>1</v>
      </c>
    </row>
    <row r="96" spans="1:7" x14ac:dyDescent="0.25">
      <c r="A96" s="13">
        <v>95</v>
      </c>
      <c r="B96" s="1" t="s">
        <v>48</v>
      </c>
      <c r="C96" s="1" t="s">
        <v>52</v>
      </c>
      <c r="D96" s="1" t="s">
        <v>48</v>
      </c>
      <c r="E96" s="1" t="s">
        <v>52</v>
      </c>
      <c r="F96" s="18">
        <v>0</v>
      </c>
      <c r="G96" s="1">
        <f t="shared" ca="1" si="1"/>
        <v>2</v>
      </c>
    </row>
    <row r="97" spans="1:7" x14ac:dyDescent="0.25">
      <c r="A97" s="13">
        <v>96</v>
      </c>
      <c r="B97" s="1" t="s">
        <v>48</v>
      </c>
      <c r="C97" s="1" t="s">
        <v>60</v>
      </c>
      <c r="D97" s="1" t="s">
        <v>48</v>
      </c>
      <c r="E97" s="1" t="s">
        <v>52</v>
      </c>
      <c r="F97" s="18">
        <v>2.17</v>
      </c>
      <c r="G97" s="1">
        <f t="shared" ca="1" si="1"/>
        <v>2</v>
      </c>
    </row>
    <row r="98" spans="1:7" x14ac:dyDescent="0.25">
      <c r="A98" s="13">
        <v>97</v>
      </c>
      <c r="B98" s="1" t="s">
        <v>48</v>
      </c>
      <c r="C98" s="1" t="s">
        <v>52</v>
      </c>
      <c r="D98" s="1" t="s">
        <v>48</v>
      </c>
      <c r="E98" s="1" t="s">
        <v>55</v>
      </c>
      <c r="F98" s="18">
        <v>3.21</v>
      </c>
      <c r="G98" s="1">
        <f t="shared" ca="1" si="1"/>
        <v>1.5</v>
      </c>
    </row>
    <row r="99" spans="1:7" x14ac:dyDescent="0.25">
      <c r="A99" s="13">
        <v>98</v>
      </c>
      <c r="B99" s="1" t="s">
        <v>48</v>
      </c>
      <c r="C99" s="1" t="s">
        <v>55</v>
      </c>
      <c r="D99" s="1" t="s">
        <v>48</v>
      </c>
      <c r="E99" s="1" t="s">
        <v>52</v>
      </c>
      <c r="F99" s="18">
        <v>2.1800000000000002</v>
      </c>
      <c r="G99" s="1">
        <f t="shared" ca="1" si="1"/>
        <v>1.5</v>
      </c>
    </row>
    <row r="100" spans="1:7" x14ac:dyDescent="0.25">
      <c r="A100" s="13">
        <v>99</v>
      </c>
      <c r="B100" s="1" t="s">
        <v>48</v>
      </c>
      <c r="C100" s="1" t="s">
        <v>51</v>
      </c>
      <c r="D100" s="1" t="s">
        <v>48</v>
      </c>
      <c r="E100" s="1" t="s">
        <v>110</v>
      </c>
      <c r="F100" s="18">
        <v>3.31</v>
      </c>
      <c r="G100" s="1">
        <f t="shared" ca="1" si="1"/>
        <v>1</v>
      </c>
    </row>
    <row r="101" spans="1:7" x14ac:dyDescent="0.25">
      <c r="A101" s="13">
        <v>100</v>
      </c>
      <c r="B101" s="1" t="s">
        <v>48</v>
      </c>
      <c r="C101" s="1" t="s">
        <v>110</v>
      </c>
      <c r="D101" s="1" t="s">
        <v>48</v>
      </c>
      <c r="E101" s="1" t="s">
        <v>51</v>
      </c>
      <c r="F101" s="18">
        <v>3.77</v>
      </c>
      <c r="G101" s="1">
        <f t="shared" ca="1" si="1"/>
        <v>0.5</v>
      </c>
    </row>
    <row r="102" spans="1:7" x14ac:dyDescent="0.25">
      <c r="A102" s="13">
        <v>101</v>
      </c>
      <c r="B102" s="1" t="s">
        <v>48</v>
      </c>
      <c r="C102" s="1" t="s">
        <v>51</v>
      </c>
      <c r="D102" s="1" t="s">
        <v>48</v>
      </c>
      <c r="E102" s="1" t="s">
        <v>98</v>
      </c>
      <c r="F102" s="18">
        <v>4.9000000000000004</v>
      </c>
      <c r="G102" s="1">
        <f t="shared" ca="1" si="1"/>
        <v>1.5</v>
      </c>
    </row>
    <row r="103" spans="1:7" x14ac:dyDescent="0.25">
      <c r="A103" s="13">
        <v>102</v>
      </c>
      <c r="B103" s="1" t="s">
        <v>48</v>
      </c>
      <c r="C103" s="1" t="s">
        <v>98</v>
      </c>
      <c r="D103" s="1" t="s">
        <v>48</v>
      </c>
      <c r="E103" s="1" t="s">
        <v>72</v>
      </c>
      <c r="F103" s="18">
        <v>11.16</v>
      </c>
      <c r="G103" s="1">
        <f t="shared" ca="1" si="1"/>
        <v>0.5</v>
      </c>
    </row>
    <row r="104" spans="1:7" x14ac:dyDescent="0.25">
      <c r="A104" s="13">
        <v>103</v>
      </c>
      <c r="B104" s="1" t="s">
        <v>48</v>
      </c>
      <c r="C104" s="1" t="s">
        <v>67</v>
      </c>
      <c r="D104" s="1" t="s">
        <v>48</v>
      </c>
      <c r="E104" s="1" t="s">
        <v>60</v>
      </c>
      <c r="F104" s="18">
        <v>6.9</v>
      </c>
      <c r="G104" s="1">
        <f t="shared" ca="1" si="1"/>
        <v>1.5</v>
      </c>
    </row>
    <row r="105" spans="1:7" x14ac:dyDescent="0.25">
      <c r="A105" s="13">
        <v>104</v>
      </c>
      <c r="B105" s="1" t="s">
        <v>48</v>
      </c>
      <c r="C105" s="1" t="s">
        <v>59</v>
      </c>
      <c r="D105" s="1" t="s">
        <v>48</v>
      </c>
      <c r="E105" s="1" t="s">
        <v>52</v>
      </c>
      <c r="F105" s="18">
        <v>1.1200000000000001</v>
      </c>
      <c r="G105" s="1">
        <f t="shared" ca="1" si="1"/>
        <v>1.5</v>
      </c>
    </row>
    <row r="106" spans="1:7" x14ac:dyDescent="0.25">
      <c r="A106" s="13">
        <v>105</v>
      </c>
      <c r="B106" s="1" t="s">
        <v>48</v>
      </c>
      <c r="C106" s="1" t="s">
        <v>51</v>
      </c>
      <c r="D106" s="1" t="s">
        <v>48</v>
      </c>
      <c r="E106" s="1" t="s">
        <v>51</v>
      </c>
      <c r="F106" s="18">
        <v>0</v>
      </c>
      <c r="G106" s="1">
        <f t="shared" ca="1" si="1"/>
        <v>1</v>
      </c>
    </row>
    <row r="107" spans="1:7" x14ac:dyDescent="0.25">
      <c r="A107" s="13">
        <v>106</v>
      </c>
      <c r="B107" s="1" t="s">
        <v>48</v>
      </c>
      <c r="C107" s="1" t="s">
        <v>118</v>
      </c>
      <c r="D107" s="1" t="s">
        <v>48</v>
      </c>
      <c r="E107" s="1" t="s">
        <v>74</v>
      </c>
      <c r="F107" s="18">
        <v>2.06</v>
      </c>
      <c r="G107" s="1">
        <f t="shared" ca="1" si="1"/>
        <v>1</v>
      </c>
    </row>
    <row r="108" spans="1:7" x14ac:dyDescent="0.25">
      <c r="A108" s="13">
        <v>107</v>
      </c>
      <c r="B108" s="1" t="s">
        <v>48</v>
      </c>
      <c r="C108" s="1" t="s">
        <v>52</v>
      </c>
      <c r="D108" s="1" t="s">
        <v>48</v>
      </c>
      <c r="E108" s="1" t="s">
        <v>55</v>
      </c>
      <c r="F108" s="18">
        <v>3.01</v>
      </c>
      <c r="G108" s="1">
        <f t="shared" ca="1" si="1"/>
        <v>1</v>
      </c>
    </row>
    <row r="109" spans="1:7" x14ac:dyDescent="0.25">
      <c r="A109" s="13">
        <v>108</v>
      </c>
      <c r="B109" s="1" t="s">
        <v>48</v>
      </c>
      <c r="C109" s="1" t="s">
        <v>55</v>
      </c>
      <c r="D109" s="1" t="s">
        <v>48</v>
      </c>
      <c r="E109" s="1" t="s">
        <v>72</v>
      </c>
      <c r="F109" s="18">
        <v>3.02</v>
      </c>
      <c r="G109" s="1">
        <f t="shared" ca="1" si="1"/>
        <v>0.5</v>
      </c>
    </row>
    <row r="110" spans="1:7" x14ac:dyDescent="0.25">
      <c r="A110" s="13">
        <v>109</v>
      </c>
      <c r="B110" s="1" t="s">
        <v>48</v>
      </c>
      <c r="C110" s="1" t="s">
        <v>49</v>
      </c>
      <c r="D110" s="1" t="s">
        <v>48</v>
      </c>
      <c r="E110" s="1" t="s">
        <v>72</v>
      </c>
      <c r="F110" s="18">
        <v>1.73</v>
      </c>
      <c r="G110" s="1">
        <f t="shared" ca="1" si="1"/>
        <v>0.5</v>
      </c>
    </row>
    <row r="111" spans="1:7" x14ac:dyDescent="0.25">
      <c r="A111" s="13">
        <v>110</v>
      </c>
      <c r="B111" s="1" t="s">
        <v>48</v>
      </c>
      <c r="C111" s="1" t="s">
        <v>47</v>
      </c>
      <c r="D111" s="1" t="s">
        <v>48</v>
      </c>
      <c r="E111" s="1" t="s">
        <v>47</v>
      </c>
      <c r="F111" s="18">
        <v>0</v>
      </c>
      <c r="G111" s="1">
        <f t="shared" ca="1" si="1"/>
        <v>2</v>
      </c>
    </row>
    <row r="112" spans="1:7" x14ac:dyDescent="0.25">
      <c r="A112" s="13">
        <v>111</v>
      </c>
      <c r="B112" s="1" t="s">
        <v>48</v>
      </c>
      <c r="C112" s="1" t="s">
        <v>47</v>
      </c>
      <c r="D112" s="1" t="s">
        <v>48</v>
      </c>
      <c r="E112" s="1" t="s">
        <v>119</v>
      </c>
      <c r="F112" s="18">
        <v>7.6</v>
      </c>
      <c r="G112" s="1">
        <f t="shared" ca="1" si="1"/>
        <v>2</v>
      </c>
    </row>
    <row r="113" spans="1:7" x14ac:dyDescent="0.25">
      <c r="A113" s="13">
        <v>112</v>
      </c>
      <c r="B113" s="1" t="s">
        <v>48</v>
      </c>
      <c r="C113" s="1" t="s">
        <v>119</v>
      </c>
      <c r="D113" s="1" t="s">
        <v>48</v>
      </c>
      <c r="E113" s="1" t="s">
        <v>60</v>
      </c>
      <c r="F113" s="18">
        <v>2.96</v>
      </c>
      <c r="G113" s="1">
        <f t="shared" ca="1" si="1"/>
        <v>2</v>
      </c>
    </row>
    <row r="114" spans="1:7" x14ac:dyDescent="0.25">
      <c r="A114" s="13">
        <v>113</v>
      </c>
      <c r="B114" s="1" t="s">
        <v>48</v>
      </c>
      <c r="C114" s="1" t="s">
        <v>102</v>
      </c>
      <c r="D114" s="1" t="s">
        <v>45</v>
      </c>
      <c r="E114" s="1" t="s">
        <v>47</v>
      </c>
      <c r="F114" s="18">
        <v>19.18</v>
      </c>
      <c r="G114" s="1">
        <f t="shared" ca="1" si="1"/>
        <v>0.5</v>
      </c>
    </row>
    <row r="115" spans="1:7" x14ac:dyDescent="0.25">
      <c r="A115" s="13">
        <v>114</v>
      </c>
      <c r="B115" s="1" t="s">
        <v>45</v>
      </c>
      <c r="C115" s="1" t="s">
        <v>47</v>
      </c>
      <c r="D115" s="1" t="s">
        <v>48</v>
      </c>
      <c r="E115" s="1" t="s">
        <v>55</v>
      </c>
      <c r="F115" s="18">
        <v>15.95</v>
      </c>
      <c r="G115" s="1">
        <f t="shared" ca="1" si="1"/>
        <v>2</v>
      </c>
    </row>
    <row r="116" spans="1:7" x14ac:dyDescent="0.25">
      <c r="A116" s="13">
        <v>115</v>
      </c>
      <c r="B116" s="1" t="s">
        <v>48</v>
      </c>
      <c r="C116" s="1" t="s">
        <v>55</v>
      </c>
      <c r="D116" s="1" t="s">
        <v>48</v>
      </c>
      <c r="E116" s="1" t="s">
        <v>112</v>
      </c>
      <c r="F116" s="18">
        <v>6.29</v>
      </c>
      <c r="G116" s="1">
        <f t="shared" ca="1" si="1"/>
        <v>2</v>
      </c>
    </row>
    <row r="117" spans="1:7" x14ac:dyDescent="0.25">
      <c r="A117" s="13">
        <v>116</v>
      </c>
      <c r="B117" s="1" t="s">
        <v>48</v>
      </c>
      <c r="C117" s="1" t="s">
        <v>112</v>
      </c>
      <c r="D117" s="1" t="s">
        <v>48</v>
      </c>
      <c r="E117" s="1" t="s">
        <v>112</v>
      </c>
      <c r="F117" s="18">
        <v>1.71</v>
      </c>
      <c r="G117" s="1">
        <f t="shared" ca="1" si="1"/>
        <v>1.5</v>
      </c>
    </row>
    <row r="118" spans="1:7" x14ac:dyDescent="0.25">
      <c r="A118" s="13">
        <v>117</v>
      </c>
      <c r="B118" s="1" t="s">
        <v>48</v>
      </c>
      <c r="C118" s="1" t="s">
        <v>98</v>
      </c>
      <c r="D118" s="1" t="s">
        <v>48</v>
      </c>
      <c r="E118" s="1" t="s">
        <v>55</v>
      </c>
      <c r="F118" s="18">
        <v>2.5</v>
      </c>
      <c r="G118" s="1">
        <f t="shared" ca="1" si="1"/>
        <v>0.5</v>
      </c>
    </row>
    <row r="119" spans="1:7" x14ac:dyDescent="0.25">
      <c r="A119" s="13">
        <v>118</v>
      </c>
      <c r="B119" s="1" t="s">
        <v>48</v>
      </c>
      <c r="C119" s="1" t="s">
        <v>55</v>
      </c>
      <c r="D119" s="1" t="s">
        <v>45</v>
      </c>
      <c r="E119" s="1" t="s">
        <v>106</v>
      </c>
      <c r="F119" s="18">
        <v>12.65</v>
      </c>
      <c r="G119" s="1">
        <f t="shared" ca="1" si="1"/>
        <v>1.5</v>
      </c>
    </row>
    <row r="120" spans="1:7" x14ac:dyDescent="0.25">
      <c r="A120" s="13">
        <v>119</v>
      </c>
      <c r="B120" s="1" t="s">
        <v>45</v>
      </c>
      <c r="C120" s="1" t="s">
        <v>106</v>
      </c>
      <c r="D120" s="1" t="s">
        <v>45</v>
      </c>
      <c r="E120" s="1" t="s">
        <v>47</v>
      </c>
      <c r="F120" s="18">
        <v>7.4</v>
      </c>
      <c r="G120" s="1">
        <f t="shared" ca="1" si="1"/>
        <v>2</v>
      </c>
    </row>
    <row r="121" spans="1:7" x14ac:dyDescent="0.25">
      <c r="A121" s="13">
        <v>120</v>
      </c>
      <c r="B121" s="1" t="s">
        <v>45</v>
      </c>
      <c r="C121" s="1" t="s">
        <v>121</v>
      </c>
      <c r="D121" s="1" t="s">
        <v>48</v>
      </c>
      <c r="E121" s="1" t="s">
        <v>122</v>
      </c>
      <c r="F121" s="18">
        <v>22.18</v>
      </c>
      <c r="G121" s="1">
        <f t="shared" ca="1" si="1"/>
        <v>1.5</v>
      </c>
    </row>
    <row r="122" spans="1:7" x14ac:dyDescent="0.25">
      <c r="A122" s="13">
        <v>121</v>
      </c>
      <c r="B122" s="1" t="s">
        <v>48</v>
      </c>
      <c r="C122" s="1" t="s">
        <v>53</v>
      </c>
      <c r="D122" s="1" t="s">
        <v>48</v>
      </c>
      <c r="E122" s="1" t="s">
        <v>123</v>
      </c>
      <c r="F122" s="18">
        <v>11.3</v>
      </c>
      <c r="G122" s="1">
        <f t="shared" ca="1" si="1"/>
        <v>2</v>
      </c>
    </row>
    <row r="123" spans="1:7" x14ac:dyDescent="0.25">
      <c r="A123" s="13">
        <v>122</v>
      </c>
      <c r="B123" s="1" t="s">
        <v>48</v>
      </c>
      <c r="C123" s="1" t="s">
        <v>124</v>
      </c>
      <c r="D123" s="1" t="s">
        <v>48</v>
      </c>
      <c r="E123" s="1" t="s">
        <v>59</v>
      </c>
      <c r="F123" s="18">
        <v>2.23</v>
      </c>
      <c r="G123" s="1">
        <f t="shared" ca="1" si="1"/>
        <v>0.5</v>
      </c>
    </row>
    <row r="124" spans="1:7" x14ac:dyDescent="0.25">
      <c r="A124" s="13">
        <v>123</v>
      </c>
      <c r="B124" s="1" t="s">
        <v>48</v>
      </c>
      <c r="C124" s="1" t="s">
        <v>60</v>
      </c>
      <c r="D124" s="1" t="s">
        <v>48</v>
      </c>
      <c r="E124" s="1" t="s">
        <v>55</v>
      </c>
      <c r="F124" s="18">
        <v>2.13</v>
      </c>
      <c r="G124" s="1">
        <f t="shared" ca="1" si="1"/>
        <v>0.5</v>
      </c>
    </row>
    <row r="125" spans="1:7" x14ac:dyDescent="0.25">
      <c r="A125" s="13">
        <v>124</v>
      </c>
      <c r="B125" s="1" t="s">
        <v>48</v>
      </c>
      <c r="C125" s="1" t="s">
        <v>51</v>
      </c>
      <c r="D125" s="1" t="s">
        <v>48</v>
      </c>
      <c r="E125" s="1" t="s">
        <v>47</v>
      </c>
      <c r="F125" s="18">
        <v>6.19</v>
      </c>
      <c r="G125" s="1">
        <f t="shared" ca="1" si="1"/>
        <v>1</v>
      </c>
    </row>
    <row r="126" spans="1:7" x14ac:dyDescent="0.25">
      <c r="A126" s="13">
        <v>125</v>
      </c>
      <c r="B126" s="1" t="s">
        <v>48</v>
      </c>
      <c r="C126" s="1" t="s">
        <v>47</v>
      </c>
      <c r="D126" s="1" t="s">
        <v>48</v>
      </c>
      <c r="E126" s="1" t="s">
        <v>123</v>
      </c>
      <c r="F126" s="18">
        <v>4.2</v>
      </c>
      <c r="G126" s="1">
        <f t="shared" ca="1" si="1"/>
        <v>2</v>
      </c>
    </row>
    <row r="127" spans="1:7" x14ac:dyDescent="0.25">
      <c r="A127" s="13">
        <v>126</v>
      </c>
      <c r="B127" s="1" t="s">
        <v>48</v>
      </c>
      <c r="C127" s="1" t="s">
        <v>123</v>
      </c>
      <c r="D127" s="1" t="s">
        <v>48</v>
      </c>
      <c r="E127" s="1" t="s">
        <v>47</v>
      </c>
      <c r="F127" s="18">
        <v>4.24</v>
      </c>
      <c r="G127" s="1">
        <f t="shared" ca="1" si="1"/>
        <v>2</v>
      </c>
    </row>
    <row r="128" spans="1:7" x14ac:dyDescent="0.25">
      <c r="A128" s="13">
        <v>127</v>
      </c>
      <c r="B128" s="1" t="s">
        <v>48</v>
      </c>
      <c r="C128" s="1" t="s">
        <v>47</v>
      </c>
      <c r="D128" s="1" t="s">
        <v>48</v>
      </c>
      <c r="E128" s="1" t="s">
        <v>55</v>
      </c>
      <c r="F128" s="18">
        <v>5.39</v>
      </c>
      <c r="G128" s="1">
        <f t="shared" ca="1" si="1"/>
        <v>1</v>
      </c>
    </row>
    <row r="129" spans="1:7" x14ac:dyDescent="0.25">
      <c r="A129" s="13">
        <v>128</v>
      </c>
      <c r="B129" s="1" t="s">
        <v>48</v>
      </c>
      <c r="C129" s="1" t="s">
        <v>55</v>
      </c>
      <c r="D129" s="1" t="s">
        <v>48</v>
      </c>
      <c r="E129" s="1" t="s">
        <v>125</v>
      </c>
      <c r="F129" s="18">
        <v>6.17</v>
      </c>
      <c r="G129" s="1">
        <f t="shared" ca="1" si="1"/>
        <v>0.5</v>
      </c>
    </row>
    <row r="130" spans="1:7" x14ac:dyDescent="0.25">
      <c r="A130" s="13">
        <v>129</v>
      </c>
      <c r="B130" s="1" t="s">
        <v>48</v>
      </c>
      <c r="C130" s="1" t="s">
        <v>66</v>
      </c>
      <c r="D130" s="1" t="s">
        <v>48</v>
      </c>
      <c r="E130" s="1" t="s">
        <v>50</v>
      </c>
      <c r="F130" s="18">
        <v>4.88</v>
      </c>
      <c r="G130" s="1">
        <f t="shared" ca="1" si="1"/>
        <v>1</v>
      </c>
    </row>
    <row r="131" spans="1:7" x14ac:dyDescent="0.25">
      <c r="A131" s="13">
        <v>130</v>
      </c>
      <c r="B131" s="1" t="s">
        <v>48</v>
      </c>
      <c r="C131" s="1" t="s">
        <v>124</v>
      </c>
      <c r="D131" s="1" t="s">
        <v>48</v>
      </c>
      <c r="E131" s="1" t="s">
        <v>60</v>
      </c>
      <c r="F131" s="18">
        <v>2.54</v>
      </c>
      <c r="G131" s="1">
        <f t="shared" ref="G131:G194" ca="1" si="2">CHOOSE(RANDBETWEEN(1,4),0.5,1,1.5,2)</f>
        <v>1</v>
      </c>
    </row>
    <row r="132" spans="1:7" x14ac:dyDescent="0.25">
      <c r="A132" s="13">
        <v>131</v>
      </c>
      <c r="B132" s="1" t="s">
        <v>48</v>
      </c>
      <c r="C132" s="1" t="s">
        <v>60</v>
      </c>
      <c r="D132" s="1" t="s">
        <v>48</v>
      </c>
      <c r="E132" s="1" t="s">
        <v>126</v>
      </c>
      <c r="F132" s="18">
        <v>3.32</v>
      </c>
      <c r="G132" s="1">
        <f t="shared" ca="1" si="2"/>
        <v>1</v>
      </c>
    </row>
    <row r="133" spans="1:7" x14ac:dyDescent="0.25">
      <c r="A133" s="13">
        <v>132</v>
      </c>
      <c r="B133" s="1" t="s">
        <v>48</v>
      </c>
      <c r="C133" s="1" t="s">
        <v>127</v>
      </c>
      <c r="D133" s="1" t="s">
        <v>48</v>
      </c>
      <c r="E133" s="1" t="s">
        <v>127</v>
      </c>
      <c r="F133" s="18">
        <v>0</v>
      </c>
      <c r="G133" s="1">
        <f t="shared" ca="1" si="2"/>
        <v>0.5</v>
      </c>
    </row>
    <row r="134" spans="1:7" x14ac:dyDescent="0.25">
      <c r="A134" s="13">
        <v>133</v>
      </c>
      <c r="B134" s="1" t="s">
        <v>48</v>
      </c>
      <c r="C134" s="1" t="s">
        <v>61</v>
      </c>
      <c r="D134" s="1" t="s">
        <v>48</v>
      </c>
      <c r="E134" s="1" t="s">
        <v>127</v>
      </c>
      <c r="F134" s="18">
        <v>1.33</v>
      </c>
      <c r="G134" s="1">
        <f t="shared" ca="1" si="2"/>
        <v>0.5</v>
      </c>
    </row>
    <row r="135" spans="1:7" x14ac:dyDescent="0.25">
      <c r="A135" s="13">
        <v>134</v>
      </c>
      <c r="B135" s="1" t="s">
        <v>48</v>
      </c>
      <c r="C135" s="1" t="s">
        <v>127</v>
      </c>
      <c r="D135" s="1" t="s">
        <v>48</v>
      </c>
      <c r="E135" s="1" t="s">
        <v>47</v>
      </c>
      <c r="F135" s="18">
        <v>1.17</v>
      </c>
      <c r="G135" s="1">
        <f t="shared" ca="1" si="2"/>
        <v>2</v>
      </c>
    </row>
    <row r="136" spans="1:7" x14ac:dyDescent="0.25">
      <c r="A136" s="13">
        <v>135</v>
      </c>
      <c r="B136" s="1" t="s">
        <v>48</v>
      </c>
      <c r="C136" s="1" t="s">
        <v>126</v>
      </c>
      <c r="D136" s="1" t="s">
        <v>45</v>
      </c>
      <c r="E136" s="1" t="s">
        <v>75</v>
      </c>
      <c r="F136" s="18">
        <v>15.6</v>
      </c>
      <c r="G136" s="1">
        <f t="shared" ca="1" si="2"/>
        <v>1</v>
      </c>
    </row>
    <row r="137" spans="1:7" x14ac:dyDescent="0.25">
      <c r="A137" s="13">
        <v>136</v>
      </c>
      <c r="B137" s="1" t="s">
        <v>45</v>
      </c>
      <c r="C137" s="1" t="s">
        <v>75</v>
      </c>
      <c r="D137" s="1" t="s">
        <v>48</v>
      </c>
      <c r="E137" s="1" t="s">
        <v>47</v>
      </c>
      <c r="F137" s="18">
        <v>17.829999999999998</v>
      </c>
      <c r="G137" s="1">
        <f t="shared" ca="1" si="2"/>
        <v>0.5</v>
      </c>
    </row>
    <row r="138" spans="1:7" x14ac:dyDescent="0.25">
      <c r="A138" s="13">
        <v>137</v>
      </c>
      <c r="B138" s="1" t="s">
        <v>48</v>
      </c>
      <c r="C138" s="1" t="s">
        <v>47</v>
      </c>
      <c r="D138" s="1" t="s">
        <v>48</v>
      </c>
      <c r="E138" s="1" t="s">
        <v>47</v>
      </c>
      <c r="F138" s="18">
        <v>2.12</v>
      </c>
      <c r="G138" s="1">
        <f t="shared" ca="1" si="2"/>
        <v>0.5</v>
      </c>
    </row>
    <row r="139" spans="1:7" x14ac:dyDescent="0.25">
      <c r="A139" s="13">
        <v>138</v>
      </c>
      <c r="B139" s="1" t="s">
        <v>48</v>
      </c>
      <c r="C139" s="1" t="s">
        <v>47</v>
      </c>
      <c r="D139" s="1" t="s">
        <v>48</v>
      </c>
      <c r="E139" s="1" t="s">
        <v>103</v>
      </c>
      <c r="F139" s="18">
        <v>4.51</v>
      </c>
      <c r="G139" s="1">
        <f t="shared" ca="1" si="2"/>
        <v>1</v>
      </c>
    </row>
    <row r="140" spans="1:7" x14ac:dyDescent="0.25">
      <c r="A140" s="13">
        <v>139</v>
      </c>
      <c r="B140" s="1" t="s">
        <v>48</v>
      </c>
      <c r="C140" s="1" t="s">
        <v>128</v>
      </c>
      <c r="D140" s="1" t="s">
        <v>45</v>
      </c>
      <c r="E140" s="1" t="s">
        <v>80</v>
      </c>
      <c r="F140" s="18">
        <v>4.0999999999999996</v>
      </c>
      <c r="G140" s="1">
        <f t="shared" ca="1" si="2"/>
        <v>1.5</v>
      </c>
    </row>
    <row r="141" spans="1:7" x14ac:dyDescent="0.25">
      <c r="A141" s="13">
        <v>140</v>
      </c>
      <c r="B141" s="1" t="s">
        <v>45</v>
      </c>
      <c r="C141" s="1" t="s">
        <v>129</v>
      </c>
      <c r="D141" s="1" t="s">
        <v>48</v>
      </c>
      <c r="E141" s="1" t="s">
        <v>60</v>
      </c>
      <c r="F141" s="18">
        <v>11.83</v>
      </c>
      <c r="G141" s="1">
        <f t="shared" ca="1" si="2"/>
        <v>2</v>
      </c>
    </row>
    <row r="142" spans="1:7" x14ac:dyDescent="0.25">
      <c r="A142" s="13">
        <v>141</v>
      </c>
      <c r="G142" s="1">
        <f t="shared" ca="1" si="2"/>
        <v>0.5</v>
      </c>
    </row>
    <row r="143" spans="1:7" x14ac:dyDescent="0.25">
      <c r="A143" s="13">
        <v>142</v>
      </c>
      <c r="G143" s="1">
        <f t="shared" ca="1" si="2"/>
        <v>2</v>
      </c>
    </row>
    <row r="144" spans="1:7" x14ac:dyDescent="0.25">
      <c r="A144" s="13">
        <v>143</v>
      </c>
      <c r="G144" s="1">
        <f t="shared" ca="1" si="2"/>
        <v>0.5</v>
      </c>
    </row>
    <row r="145" spans="1:7" x14ac:dyDescent="0.25">
      <c r="A145" s="13">
        <v>144</v>
      </c>
      <c r="G145" s="1">
        <f t="shared" ca="1" si="2"/>
        <v>0.5</v>
      </c>
    </row>
    <row r="146" spans="1:7" x14ac:dyDescent="0.25">
      <c r="A146" s="13">
        <v>145</v>
      </c>
      <c r="G146" s="1">
        <f t="shared" ca="1" si="2"/>
        <v>1</v>
      </c>
    </row>
    <row r="147" spans="1:7" x14ac:dyDescent="0.25">
      <c r="A147" s="13">
        <v>146</v>
      </c>
      <c r="G147" s="1">
        <f t="shared" ca="1" si="2"/>
        <v>1.5</v>
      </c>
    </row>
    <row r="148" spans="1:7" x14ac:dyDescent="0.25">
      <c r="A148" s="13">
        <v>147</v>
      </c>
      <c r="G148" s="1">
        <f t="shared" ca="1" si="2"/>
        <v>1</v>
      </c>
    </row>
    <row r="149" spans="1:7" x14ac:dyDescent="0.25">
      <c r="A149" s="13">
        <v>148</v>
      </c>
      <c r="G149" s="1">
        <f t="shared" ca="1" si="2"/>
        <v>0.5</v>
      </c>
    </row>
    <row r="150" spans="1:7" x14ac:dyDescent="0.25">
      <c r="A150" s="13">
        <v>149</v>
      </c>
      <c r="G150" s="1">
        <f t="shared" ca="1" si="2"/>
        <v>0.5</v>
      </c>
    </row>
    <row r="151" spans="1:7" x14ac:dyDescent="0.25">
      <c r="A151" s="13">
        <v>150</v>
      </c>
      <c r="G151" s="1">
        <f t="shared" ca="1" si="2"/>
        <v>1.5</v>
      </c>
    </row>
    <row r="152" spans="1:7" x14ac:dyDescent="0.25">
      <c r="A152" s="13">
        <v>151</v>
      </c>
      <c r="G152" s="1">
        <f t="shared" ca="1" si="2"/>
        <v>1</v>
      </c>
    </row>
    <row r="153" spans="1:7" x14ac:dyDescent="0.25">
      <c r="A153" s="13">
        <v>152</v>
      </c>
      <c r="G153" s="1">
        <f t="shared" ca="1" si="2"/>
        <v>1</v>
      </c>
    </row>
    <row r="154" spans="1:7" x14ac:dyDescent="0.25">
      <c r="A154" s="13">
        <v>153</v>
      </c>
      <c r="G154" s="1">
        <f t="shared" ca="1" si="2"/>
        <v>0.5</v>
      </c>
    </row>
    <row r="155" spans="1:7" x14ac:dyDescent="0.25">
      <c r="A155" s="13">
        <v>154</v>
      </c>
      <c r="G155" s="1">
        <f t="shared" ca="1" si="2"/>
        <v>2</v>
      </c>
    </row>
    <row r="156" spans="1:7" x14ac:dyDescent="0.25">
      <c r="A156" s="13">
        <v>155</v>
      </c>
      <c r="G156" s="1">
        <f t="shared" ca="1" si="2"/>
        <v>2</v>
      </c>
    </row>
    <row r="157" spans="1:7" x14ac:dyDescent="0.25">
      <c r="A157" s="13">
        <v>156</v>
      </c>
      <c r="G157" s="1">
        <f t="shared" ca="1" si="2"/>
        <v>1.5</v>
      </c>
    </row>
    <row r="158" spans="1:7" x14ac:dyDescent="0.25">
      <c r="A158" s="13">
        <v>157</v>
      </c>
      <c r="G158" s="1">
        <f t="shared" ca="1" si="2"/>
        <v>1</v>
      </c>
    </row>
    <row r="159" spans="1:7" x14ac:dyDescent="0.25">
      <c r="A159" s="13">
        <v>158</v>
      </c>
      <c r="G159" s="1">
        <f t="shared" ca="1" si="2"/>
        <v>1.5</v>
      </c>
    </row>
    <row r="160" spans="1:7" x14ac:dyDescent="0.25">
      <c r="A160" s="13">
        <v>159</v>
      </c>
      <c r="G160" s="1">
        <f t="shared" ca="1" si="2"/>
        <v>1.5</v>
      </c>
    </row>
    <row r="161" spans="1:7" x14ac:dyDescent="0.25">
      <c r="A161" s="13">
        <v>160</v>
      </c>
      <c r="G161" s="1">
        <f t="shared" ca="1" si="2"/>
        <v>1.5</v>
      </c>
    </row>
    <row r="162" spans="1:7" x14ac:dyDescent="0.25">
      <c r="A162" s="13">
        <v>161</v>
      </c>
      <c r="G162" s="1">
        <f t="shared" ca="1" si="2"/>
        <v>1.5</v>
      </c>
    </row>
    <row r="163" spans="1:7" x14ac:dyDescent="0.25">
      <c r="A163" s="13">
        <v>162</v>
      </c>
      <c r="G163" s="1">
        <f t="shared" ca="1" si="2"/>
        <v>1</v>
      </c>
    </row>
    <row r="164" spans="1:7" x14ac:dyDescent="0.25">
      <c r="A164" s="13">
        <v>163</v>
      </c>
      <c r="G164" s="1">
        <f t="shared" ca="1" si="2"/>
        <v>1</v>
      </c>
    </row>
    <row r="165" spans="1:7" x14ac:dyDescent="0.25">
      <c r="A165" s="13">
        <v>164</v>
      </c>
      <c r="G165" s="1">
        <f t="shared" ca="1" si="2"/>
        <v>1</v>
      </c>
    </row>
    <row r="166" spans="1:7" x14ac:dyDescent="0.25">
      <c r="A166" s="13">
        <v>165</v>
      </c>
      <c r="G166" s="1">
        <f t="shared" ca="1" si="2"/>
        <v>0.5</v>
      </c>
    </row>
    <row r="167" spans="1:7" x14ac:dyDescent="0.25">
      <c r="A167" s="13">
        <v>166</v>
      </c>
      <c r="G167" s="1">
        <f t="shared" ca="1" si="2"/>
        <v>1</v>
      </c>
    </row>
    <row r="168" spans="1:7" x14ac:dyDescent="0.25">
      <c r="A168" s="13">
        <v>167</v>
      </c>
      <c r="G168" s="1">
        <f t="shared" ca="1" si="2"/>
        <v>1.5</v>
      </c>
    </row>
    <row r="169" spans="1:7" x14ac:dyDescent="0.25">
      <c r="A169" s="13">
        <v>168</v>
      </c>
      <c r="G169" s="1">
        <f t="shared" ca="1" si="2"/>
        <v>1</v>
      </c>
    </row>
    <row r="170" spans="1:7" x14ac:dyDescent="0.25">
      <c r="A170" s="13">
        <v>169</v>
      </c>
      <c r="G170" s="1">
        <f t="shared" ca="1" si="2"/>
        <v>1.5</v>
      </c>
    </row>
    <row r="171" spans="1:7" x14ac:dyDescent="0.25">
      <c r="A171" s="13">
        <v>170</v>
      </c>
      <c r="G171" s="1">
        <f t="shared" ca="1" si="2"/>
        <v>1</v>
      </c>
    </row>
    <row r="172" spans="1:7" x14ac:dyDescent="0.25">
      <c r="A172" s="13">
        <v>171</v>
      </c>
      <c r="G172" s="1">
        <f t="shared" ca="1" si="2"/>
        <v>0.5</v>
      </c>
    </row>
    <row r="173" spans="1:7" x14ac:dyDescent="0.25">
      <c r="A173" s="13">
        <v>172</v>
      </c>
      <c r="G173" s="1">
        <f t="shared" ca="1" si="2"/>
        <v>2</v>
      </c>
    </row>
    <row r="174" spans="1:7" x14ac:dyDescent="0.25">
      <c r="A174" s="13">
        <v>173</v>
      </c>
      <c r="G174" s="1">
        <f t="shared" ca="1" si="2"/>
        <v>1.5</v>
      </c>
    </row>
    <row r="175" spans="1:7" x14ac:dyDescent="0.25">
      <c r="A175" s="13">
        <v>174</v>
      </c>
      <c r="G175" s="1">
        <f t="shared" ca="1" si="2"/>
        <v>1</v>
      </c>
    </row>
    <row r="176" spans="1:7" x14ac:dyDescent="0.25">
      <c r="A176" s="13">
        <v>175</v>
      </c>
      <c r="G176" s="1">
        <f t="shared" ca="1" si="2"/>
        <v>2</v>
      </c>
    </row>
    <row r="177" spans="1:7" x14ac:dyDescent="0.25">
      <c r="A177" s="13">
        <v>176</v>
      </c>
      <c r="G177" s="1">
        <f t="shared" ca="1" si="2"/>
        <v>2</v>
      </c>
    </row>
    <row r="178" spans="1:7" x14ac:dyDescent="0.25">
      <c r="A178" s="13">
        <v>177</v>
      </c>
      <c r="G178" s="1">
        <f t="shared" ca="1" si="2"/>
        <v>1</v>
      </c>
    </row>
    <row r="179" spans="1:7" x14ac:dyDescent="0.25">
      <c r="A179" s="13">
        <v>178</v>
      </c>
      <c r="G179" s="1">
        <f t="shared" ca="1" si="2"/>
        <v>0.5</v>
      </c>
    </row>
    <row r="180" spans="1:7" x14ac:dyDescent="0.25">
      <c r="A180" s="13">
        <v>179</v>
      </c>
      <c r="G180" s="1">
        <f t="shared" ca="1" si="2"/>
        <v>1</v>
      </c>
    </row>
    <row r="181" spans="1:7" x14ac:dyDescent="0.25">
      <c r="A181" s="13">
        <v>180</v>
      </c>
      <c r="G181" s="1">
        <f t="shared" ca="1" si="2"/>
        <v>2</v>
      </c>
    </row>
    <row r="182" spans="1:7" x14ac:dyDescent="0.25">
      <c r="A182" s="13">
        <v>181</v>
      </c>
      <c r="G182" s="1">
        <f t="shared" ca="1" si="2"/>
        <v>0.5</v>
      </c>
    </row>
    <row r="183" spans="1:7" x14ac:dyDescent="0.25">
      <c r="A183" s="13">
        <v>182</v>
      </c>
      <c r="G183" s="1">
        <f t="shared" ca="1" si="2"/>
        <v>1</v>
      </c>
    </row>
    <row r="184" spans="1:7" x14ac:dyDescent="0.25">
      <c r="A184" s="13">
        <v>183</v>
      </c>
      <c r="G184" s="1">
        <f t="shared" ca="1" si="2"/>
        <v>2</v>
      </c>
    </row>
    <row r="185" spans="1:7" x14ac:dyDescent="0.25">
      <c r="A185" s="13">
        <v>184</v>
      </c>
      <c r="G185" s="1">
        <f t="shared" ca="1" si="2"/>
        <v>1</v>
      </c>
    </row>
    <row r="186" spans="1:7" x14ac:dyDescent="0.25">
      <c r="A186" s="13">
        <v>185</v>
      </c>
      <c r="G186" s="1">
        <f t="shared" ca="1" si="2"/>
        <v>0.5</v>
      </c>
    </row>
    <row r="187" spans="1:7" x14ac:dyDescent="0.25">
      <c r="A187" s="13">
        <v>186</v>
      </c>
      <c r="G187" s="1">
        <f t="shared" ca="1" si="2"/>
        <v>1.5</v>
      </c>
    </row>
    <row r="188" spans="1:7" x14ac:dyDescent="0.25">
      <c r="A188" s="13">
        <v>187</v>
      </c>
      <c r="G188" s="1">
        <f t="shared" ca="1" si="2"/>
        <v>2</v>
      </c>
    </row>
    <row r="189" spans="1:7" x14ac:dyDescent="0.25">
      <c r="A189" s="13">
        <v>188</v>
      </c>
      <c r="G189" s="1">
        <f t="shared" ca="1" si="2"/>
        <v>1</v>
      </c>
    </row>
    <row r="190" spans="1:7" x14ac:dyDescent="0.25">
      <c r="A190" s="13">
        <v>189</v>
      </c>
      <c r="G190" s="1">
        <f t="shared" ca="1" si="2"/>
        <v>1</v>
      </c>
    </row>
    <row r="191" spans="1:7" x14ac:dyDescent="0.25">
      <c r="A191" s="13">
        <v>190</v>
      </c>
      <c r="G191" s="1">
        <f t="shared" ca="1" si="2"/>
        <v>0.5</v>
      </c>
    </row>
    <row r="192" spans="1:7" x14ac:dyDescent="0.25">
      <c r="A192" s="13">
        <v>191</v>
      </c>
      <c r="G192" s="1">
        <f t="shared" ca="1" si="2"/>
        <v>1</v>
      </c>
    </row>
    <row r="193" spans="1:7" x14ac:dyDescent="0.25">
      <c r="A193" s="13">
        <v>192</v>
      </c>
      <c r="G193" s="1">
        <f t="shared" ca="1" si="2"/>
        <v>2</v>
      </c>
    </row>
    <row r="194" spans="1:7" x14ac:dyDescent="0.25">
      <c r="A194" s="13">
        <v>193</v>
      </c>
      <c r="G194" s="1">
        <f t="shared" ca="1" si="2"/>
        <v>2</v>
      </c>
    </row>
    <row r="195" spans="1:7" x14ac:dyDescent="0.25">
      <c r="A195" s="13">
        <v>194</v>
      </c>
      <c r="G195" s="1">
        <f t="shared" ref="G195:G201" ca="1" si="3">CHOOSE(RANDBETWEEN(1,4),0.5,1,1.5,2)</f>
        <v>1.5</v>
      </c>
    </row>
    <row r="196" spans="1:7" x14ac:dyDescent="0.25">
      <c r="A196" s="13">
        <v>195</v>
      </c>
      <c r="G196" s="1">
        <f t="shared" ca="1" si="3"/>
        <v>1.5</v>
      </c>
    </row>
    <row r="197" spans="1:7" x14ac:dyDescent="0.25">
      <c r="A197" s="13">
        <v>196</v>
      </c>
      <c r="G197" s="1">
        <f t="shared" ca="1" si="3"/>
        <v>0.5</v>
      </c>
    </row>
    <row r="198" spans="1:7" x14ac:dyDescent="0.25">
      <c r="A198" s="13">
        <v>197</v>
      </c>
      <c r="G198" s="1">
        <f t="shared" ca="1" si="3"/>
        <v>1</v>
      </c>
    </row>
    <row r="199" spans="1:7" x14ac:dyDescent="0.25">
      <c r="A199" s="13">
        <v>198</v>
      </c>
      <c r="G199" s="1">
        <f t="shared" ca="1" si="3"/>
        <v>1</v>
      </c>
    </row>
    <row r="200" spans="1:7" x14ac:dyDescent="0.25">
      <c r="A200" s="13">
        <v>199</v>
      </c>
      <c r="G200" s="1">
        <f t="shared" ca="1" si="3"/>
        <v>1</v>
      </c>
    </row>
    <row r="201" spans="1:7" x14ac:dyDescent="0.25">
      <c r="A201" s="13">
        <v>200</v>
      </c>
      <c r="G201" s="1">
        <f t="shared" ca="1" si="3"/>
        <v>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B981-960C-4AF4-8290-0129BF74FE5C}">
  <dimension ref="A1:M201"/>
  <sheetViews>
    <sheetView workbookViewId="0">
      <pane ySplit="1" topLeftCell="A139" activePane="bottomLeft" state="frozen"/>
      <selection pane="bottomLeft" activeCell="L141" sqref="L141"/>
    </sheetView>
  </sheetViews>
  <sheetFormatPr defaultRowHeight="15" x14ac:dyDescent="0.25"/>
  <cols>
    <col min="1" max="1" width="8.5703125" style="13" bestFit="1" customWidth="1"/>
    <col min="2" max="2" width="10.7109375" style="13" bestFit="1" customWidth="1"/>
    <col min="3" max="3" width="15.28515625" style="15" bestFit="1" customWidth="1"/>
    <col min="4" max="4" width="7.140625" style="15" bestFit="1" customWidth="1"/>
    <col min="5" max="5" width="16.5703125" style="15" bestFit="1" customWidth="1"/>
    <col min="6" max="6" width="9.5703125" style="15" bestFit="1" customWidth="1"/>
    <col min="7" max="7" width="10.28515625" style="15" bestFit="1" customWidth="1"/>
    <col min="8" max="8" width="10.28515625" style="15" customWidth="1"/>
    <col min="9" max="9" width="12.85546875" style="15" bestFit="1" customWidth="1"/>
    <col min="10" max="10" width="11.42578125" style="15" bestFit="1" customWidth="1"/>
    <col min="11" max="11" width="14.42578125" style="15" bestFit="1" customWidth="1"/>
    <col min="12" max="12" width="9.85546875" style="15" bestFit="1" customWidth="1"/>
    <col min="13" max="13" width="13.140625" style="21" bestFit="1" customWidth="1"/>
    <col min="14" max="16384" width="9.140625" style="13"/>
  </cols>
  <sheetData>
    <row r="1" spans="1:13" s="10" customFormat="1" ht="15.75" customHeight="1" x14ac:dyDescent="0.25">
      <c r="A1" s="11" t="s">
        <v>5</v>
      </c>
      <c r="B1" s="11" t="s">
        <v>1</v>
      </c>
      <c r="C1" s="11" t="s">
        <v>17</v>
      </c>
      <c r="D1" s="16" t="s">
        <v>18</v>
      </c>
      <c r="E1" s="16" t="s">
        <v>91</v>
      </c>
      <c r="F1" s="16" t="s">
        <v>89</v>
      </c>
      <c r="G1" s="16" t="s">
        <v>90</v>
      </c>
      <c r="H1" s="16" t="s">
        <v>120</v>
      </c>
      <c r="I1" s="16" t="s">
        <v>19</v>
      </c>
      <c r="J1" s="16" t="s">
        <v>20</v>
      </c>
      <c r="K1" s="16" t="s">
        <v>21</v>
      </c>
      <c r="L1" s="11" t="s">
        <v>46</v>
      </c>
      <c r="M1" s="22" t="s">
        <v>56</v>
      </c>
    </row>
    <row r="2" spans="1:13" x14ac:dyDescent="0.25">
      <c r="A2" s="13">
        <v>1</v>
      </c>
      <c r="B2" s="14">
        <v>45871</v>
      </c>
      <c r="C2" s="15">
        <v>0</v>
      </c>
      <c r="D2" s="15">
        <v>0</v>
      </c>
      <c r="E2" s="15">
        <v>1.7</v>
      </c>
      <c r="I2" s="15">
        <v>6.3</v>
      </c>
      <c r="J2" s="15">
        <v>9.6</v>
      </c>
      <c r="K2" s="15">
        <v>0</v>
      </c>
      <c r="L2" s="15">
        <f>((C2+D2+E2+F2+G2+I2)-(J2-K2))</f>
        <v>-1.5999999999999996</v>
      </c>
      <c r="M2" s="21">
        <f t="shared" ref="M2:M65" si="0">ABS(L2/(J2-K2))</f>
        <v>0.16666666666666663</v>
      </c>
    </row>
    <row r="3" spans="1:13" x14ac:dyDescent="0.25">
      <c r="A3" s="13">
        <v>2</v>
      </c>
      <c r="B3" s="14">
        <v>45911</v>
      </c>
      <c r="C3" s="15">
        <v>0</v>
      </c>
      <c r="D3" s="15">
        <v>0</v>
      </c>
      <c r="E3" s="15">
        <v>2</v>
      </c>
      <c r="I3" s="15">
        <v>5</v>
      </c>
      <c r="J3" s="15">
        <v>8.1999999999999993</v>
      </c>
      <c r="K3" s="15">
        <v>0</v>
      </c>
      <c r="L3" s="15">
        <f>((C3+D3+E3+F3+G3+I3)-(J3-K3))</f>
        <v>-1.1999999999999993</v>
      </c>
      <c r="M3" s="21">
        <f t="shared" si="0"/>
        <v>0.14634146341463408</v>
      </c>
    </row>
    <row r="4" spans="1:13" x14ac:dyDescent="0.25">
      <c r="A4" s="13">
        <v>3</v>
      </c>
      <c r="B4" s="14">
        <v>45913</v>
      </c>
      <c r="C4" s="15">
        <v>0</v>
      </c>
      <c r="D4" s="15">
        <v>0</v>
      </c>
      <c r="E4" s="15">
        <v>3.6</v>
      </c>
      <c r="I4" s="15">
        <v>6.5</v>
      </c>
      <c r="J4" s="15">
        <v>8.5</v>
      </c>
      <c r="K4" s="15">
        <v>0</v>
      </c>
      <c r="L4" s="15">
        <f>((C4+D4+E4+F4+G4+I4)-(J4-K4))</f>
        <v>1.5999999999999996</v>
      </c>
      <c r="M4" s="21">
        <f t="shared" si="0"/>
        <v>0.18823529411764703</v>
      </c>
    </row>
    <row r="5" spans="1:13" x14ac:dyDescent="0.25">
      <c r="A5" s="13">
        <v>4</v>
      </c>
      <c r="B5" s="14">
        <v>46278</v>
      </c>
      <c r="C5" s="15">
        <v>3.7</v>
      </c>
      <c r="D5" s="15">
        <v>0</v>
      </c>
      <c r="E5" s="15">
        <v>1.3</v>
      </c>
      <c r="I5" s="15">
        <v>7.7</v>
      </c>
      <c r="J5" s="15">
        <v>12.7</v>
      </c>
      <c r="K5" s="15">
        <v>0</v>
      </c>
      <c r="L5" s="15">
        <f>((C5+D5+E5+F5+G5+I5)-(J5-K5))</f>
        <v>0</v>
      </c>
      <c r="M5" s="21">
        <f t="shared" si="0"/>
        <v>0</v>
      </c>
    </row>
    <row r="6" spans="1:13" x14ac:dyDescent="0.25">
      <c r="A6" s="13">
        <v>5</v>
      </c>
      <c r="B6" s="14">
        <v>46278</v>
      </c>
      <c r="C6" s="15">
        <v>3.2</v>
      </c>
      <c r="D6" s="15">
        <v>0</v>
      </c>
      <c r="E6" s="15">
        <v>2.2000000000000002</v>
      </c>
      <c r="I6" s="15">
        <v>9.1999999999999993</v>
      </c>
      <c r="J6" s="15">
        <v>14.6</v>
      </c>
      <c r="K6" s="15">
        <v>0</v>
      </c>
      <c r="L6" s="15">
        <f>((C6+D6+E6+F6+G6+I6)-(J6-K6))</f>
        <v>0</v>
      </c>
      <c r="M6" s="21">
        <f t="shared" si="0"/>
        <v>0</v>
      </c>
    </row>
    <row r="7" spans="1:13" x14ac:dyDescent="0.25">
      <c r="A7" s="13">
        <v>6</v>
      </c>
      <c r="B7" s="14">
        <v>46278</v>
      </c>
      <c r="C7" s="15">
        <v>0</v>
      </c>
      <c r="D7" s="15">
        <v>0</v>
      </c>
      <c r="E7" s="15">
        <v>0</v>
      </c>
      <c r="I7" s="15">
        <v>2</v>
      </c>
      <c r="J7" s="15">
        <v>0</v>
      </c>
      <c r="K7" s="15">
        <v>0</v>
      </c>
      <c r="L7" s="15">
        <f>((C7+D7+E7+F7+G7+I7)-(J7-K7))</f>
        <v>2</v>
      </c>
      <c r="M7" s="21" t="e">
        <f t="shared" si="0"/>
        <v>#DIV/0!</v>
      </c>
    </row>
    <row r="8" spans="1:13" x14ac:dyDescent="0.25">
      <c r="A8" s="13">
        <v>7</v>
      </c>
      <c r="B8" s="14">
        <v>46278</v>
      </c>
      <c r="C8" s="15">
        <v>2.4</v>
      </c>
      <c r="D8" s="15">
        <v>0</v>
      </c>
      <c r="E8" s="15">
        <v>4.9000000000000004</v>
      </c>
      <c r="I8" s="15">
        <v>6.3</v>
      </c>
      <c r="J8" s="15">
        <v>13.6</v>
      </c>
      <c r="K8" s="15">
        <v>0</v>
      </c>
      <c r="L8" s="15">
        <f>((C8+D8+E8+F8+G8+I8)-(J8-K8))</f>
        <v>1.7763568394002505E-15</v>
      </c>
      <c r="M8" s="21">
        <f t="shared" si="0"/>
        <v>1.3061447348531254E-16</v>
      </c>
    </row>
    <row r="9" spans="1:13" x14ac:dyDescent="0.25">
      <c r="A9" s="13">
        <v>8</v>
      </c>
      <c r="B9" s="14">
        <v>46278</v>
      </c>
      <c r="C9" s="15">
        <v>0</v>
      </c>
      <c r="D9" s="15">
        <v>0</v>
      </c>
      <c r="E9" s="15">
        <v>0</v>
      </c>
      <c r="I9" s="15">
        <v>7.92</v>
      </c>
      <c r="J9" s="15">
        <v>0</v>
      </c>
      <c r="K9" s="15">
        <v>0</v>
      </c>
      <c r="L9" s="15">
        <f>((C9+D9+E9+F9+G9+I9)-(J9-K9))</f>
        <v>7.92</v>
      </c>
      <c r="M9" s="21" t="e">
        <f t="shared" si="0"/>
        <v>#DIV/0!</v>
      </c>
    </row>
    <row r="10" spans="1:13" x14ac:dyDescent="0.25">
      <c r="A10" s="13">
        <v>9</v>
      </c>
      <c r="B10" s="14">
        <v>46278</v>
      </c>
      <c r="C10" s="15">
        <v>1.1000000000000001</v>
      </c>
      <c r="D10" s="15">
        <v>0</v>
      </c>
      <c r="E10" s="15">
        <v>5.8</v>
      </c>
      <c r="I10" s="15">
        <v>9.6</v>
      </c>
      <c r="J10" s="15">
        <v>16.5</v>
      </c>
      <c r="K10" s="15">
        <v>0</v>
      </c>
      <c r="L10" s="15">
        <f>((C10+D10+E10+F10+G10+I10)-(J10-K10))</f>
        <v>0</v>
      </c>
      <c r="M10" s="21">
        <f t="shared" si="0"/>
        <v>0</v>
      </c>
    </row>
    <row r="11" spans="1:13" x14ac:dyDescent="0.25">
      <c r="A11" s="13">
        <v>10</v>
      </c>
      <c r="B11" s="14">
        <v>45929</v>
      </c>
      <c r="C11" s="15">
        <v>0</v>
      </c>
      <c r="D11" s="15">
        <v>0</v>
      </c>
      <c r="E11" s="15">
        <v>3.6</v>
      </c>
      <c r="I11" s="15">
        <v>5.0999999999999996</v>
      </c>
      <c r="J11" s="15">
        <v>12.3</v>
      </c>
      <c r="K11" s="15">
        <v>1.85</v>
      </c>
      <c r="L11" s="15">
        <f>((C11+D11+E11+F11+G11+I11)-(J11-K11))</f>
        <v>-1.7500000000000018</v>
      </c>
      <c r="M11" s="21">
        <f t="shared" si="0"/>
        <v>0.16746411483253604</v>
      </c>
    </row>
    <row r="12" spans="1:13" x14ac:dyDescent="0.25">
      <c r="A12" s="13">
        <v>11</v>
      </c>
      <c r="B12" s="14">
        <v>45929</v>
      </c>
      <c r="C12" s="15">
        <v>0</v>
      </c>
      <c r="D12" s="15">
        <v>0</v>
      </c>
      <c r="E12" s="15">
        <v>0</v>
      </c>
      <c r="I12" s="15">
        <v>10.45</v>
      </c>
      <c r="J12" s="15">
        <v>0</v>
      </c>
      <c r="K12" s="15">
        <v>0</v>
      </c>
      <c r="L12" s="15">
        <f>((C12+D12+E12+F12+G12+I12)-(J12-K12))</f>
        <v>10.45</v>
      </c>
      <c r="M12" s="21" t="e">
        <f t="shared" si="0"/>
        <v>#DIV/0!</v>
      </c>
    </row>
    <row r="13" spans="1:13" x14ac:dyDescent="0.25">
      <c r="A13" s="13">
        <v>12</v>
      </c>
      <c r="B13" s="14">
        <v>45932</v>
      </c>
      <c r="C13" s="15">
        <v>1</v>
      </c>
      <c r="D13" s="15">
        <v>0</v>
      </c>
      <c r="E13" s="15">
        <v>2</v>
      </c>
      <c r="I13" s="15">
        <v>7.9</v>
      </c>
      <c r="J13" s="15">
        <v>12.9</v>
      </c>
      <c r="K13" s="15">
        <v>0</v>
      </c>
      <c r="L13" s="15">
        <f>((C13+D13+E13+F13+G13+I13)-(J13-K13))</f>
        <v>-2</v>
      </c>
      <c r="M13" s="21">
        <f t="shared" si="0"/>
        <v>0.15503875968992248</v>
      </c>
    </row>
    <row r="14" spans="1:13" x14ac:dyDescent="0.25">
      <c r="A14" s="13">
        <v>13</v>
      </c>
      <c r="B14" s="14">
        <v>45932</v>
      </c>
      <c r="C14" s="15">
        <v>0.8</v>
      </c>
      <c r="D14" s="15">
        <v>0</v>
      </c>
      <c r="E14" s="15">
        <v>1</v>
      </c>
      <c r="I14" s="15">
        <v>5.7</v>
      </c>
      <c r="J14" s="15">
        <v>9.6</v>
      </c>
      <c r="K14" s="15">
        <v>0</v>
      </c>
      <c r="L14" s="15">
        <f>((C14+D14+E14+F14+G14+I14)-(J14-K14))</f>
        <v>-2.0999999999999996</v>
      </c>
      <c r="M14" s="21">
        <f t="shared" si="0"/>
        <v>0.21874999999999997</v>
      </c>
    </row>
    <row r="15" spans="1:13" x14ac:dyDescent="0.25">
      <c r="A15" s="13">
        <v>14</v>
      </c>
      <c r="B15" s="14">
        <v>45932</v>
      </c>
      <c r="C15" s="15">
        <v>3</v>
      </c>
      <c r="D15" s="15">
        <v>0</v>
      </c>
      <c r="E15" s="15">
        <v>1</v>
      </c>
      <c r="I15" s="15">
        <v>27.9</v>
      </c>
      <c r="J15" s="15">
        <v>31.4</v>
      </c>
      <c r="K15" s="15">
        <v>4.71</v>
      </c>
      <c r="L15" s="15">
        <f>((C15+D15+E15+F15+G15+I15)-(J15-K15))</f>
        <v>5.2100000000000009</v>
      </c>
      <c r="M15" s="21">
        <f t="shared" si="0"/>
        <v>0.19520419632821287</v>
      </c>
    </row>
    <row r="16" spans="1:13" x14ac:dyDescent="0.25">
      <c r="A16" s="13">
        <v>15</v>
      </c>
      <c r="B16" s="14">
        <v>45932</v>
      </c>
      <c r="C16" s="15">
        <v>9.1</v>
      </c>
      <c r="D16" s="15">
        <v>0</v>
      </c>
      <c r="E16" s="15">
        <v>1</v>
      </c>
      <c r="I16" s="15">
        <v>13.2</v>
      </c>
      <c r="J16" s="15">
        <v>19.5</v>
      </c>
      <c r="K16" s="15">
        <v>0</v>
      </c>
      <c r="L16" s="15">
        <f>((C16+D16+E16+F16+G16+I16)-(J16-K16))</f>
        <v>3.7999999999999972</v>
      </c>
      <c r="M16" s="21">
        <f t="shared" si="0"/>
        <v>0.19487179487179473</v>
      </c>
    </row>
    <row r="17" spans="1:13" x14ac:dyDescent="0.25">
      <c r="A17" s="13">
        <v>16</v>
      </c>
      <c r="B17" s="14">
        <v>45932</v>
      </c>
      <c r="C17" s="15">
        <v>0</v>
      </c>
      <c r="D17" s="15">
        <v>0</v>
      </c>
      <c r="E17" s="15">
        <v>1.4</v>
      </c>
      <c r="I17" s="15">
        <v>5.7</v>
      </c>
      <c r="J17" s="15">
        <v>9</v>
      </c>
      <c r="K17" s="15">
        <v>3.6</v>
      </c>
      <c r="L17" s="15">
        <f>((C17+D17+E17+F17+G17+I17)-(J17-K17))</f>
        <v>1.6999999999999993</v>
      </c>
      <c r="M17" s="21">
        <f t="shared" si="0"/>
        <v>0.31481481481481466</v>
      </c>
    </row>
    <row r="18" spans="1:13" x14ac:dyDescent="0.25">
      <c r="A18" s="13">
        <v>17</v>
      </c>
      <c r="B18" s="14">
        <v>45932</v>
      </c>
      <c r="C18" s="15">
        <v>0</v>
      </c>
      <c r="D18" s="15">
        <v>0</v>
      </c>
      <c r="E18" s="15">
        <v>5</v>
      </c>
      <c r="I18" s="15">
        <v>6</v>
      </c>
      <c r="J18" s="15">
        <v>9.4</v>
      </c>
      <c r="K18" s="15">
        <v>0</v>
      </c>
      <c r="L18" s="15">
        <f>((C18+D18+E18+F18+G18+I18)-(J18-K18))</f>
        <v>1.5999999999999996</v>
      </c>
      <c r="M18" s="21">
        <f t="shared" si="0"/>
        <v>0.17021276595744678</v>
      </c>
    </row>
    <row r="19" spans="1:13" x14ac:dyDescent="0.25">
      <c r="A19" s="13">
        <v>18</v>
      </c>
      <c r="B19" s="14">
        <v>45932</v>
      </c>
      <c r="C19" s="15">
        <v>0</v>
      </c>
      <c r="D19" s="15">
        <v>0</v>
      </c>
      <c r="E19" s="15">
        <v>0</v>
      </c>
      <c r="I19" s="15">
        <v>2.2999999999999998</v>
      </c>
      <c r="J19" s="15">
        <v>0</v>
      </c>
      <c r="K19" s="15">
        <v>0</v>
      </c>
      <c r="L19" s="15">
        <f>((C19+D19+E19+F19+G19+I19)-(J19-K19))</f>
        <v>2.2999999999999998</v>
      </c>
      <c r="M19" s="21" t="e">
        <f t="shared" si="0"/>
        <v>#DIV/0!</v>
      </c>
    </row>
    <row r="20" spans="1:13" x14ac:dyDescent="0.25">
      <c r="A20" s="13">
        <v>19</v>
      </c>
      <c r="B20" s="14">
        <v>45933</v>
      </c>
      <c r="C20" s="15">
        <v>2.1</v>
      </c>
      <c r="D20" s="15">
        <v>5.74</v>
      </c>
      <c r="E20" s="15">
        <v>3.2</v>
      </c>
      <c r="I20" s="15">
        <v>18.899999999999999</v>
      </c>
      <c r="J20" s="15">
        <v>24.84</v>
      </c>
      <c r="K20" s="15">
        <v>0</v>
      </c>
      <c r="L20" s="15">
        <f>((C20+D20+E20+F20+G20+I20)-(J20-K20))</f>
        <v>5.0999999999999979</v>
      </c>
      <c r="M20" s="21">
        <f t="shared" si="0"/>
        <v>0.20531400966183566</v>
      </c>
    </row>
    <row r="21" spans="1:13" x14ac:dyDescent="0.25">
      <c r="A21" s="13">
        <v>20</v>
      </c>
      <c r="B21" s="14">
        <v>45933</v>
      </c>
      <c r="C21" s="15">
        <v>0</v>
      </c>
      <c r="D21" s="15">
        <v>0</v>
      </c>
      <c r="E21" s="15">
        <v>1.6</v>
      </c>
      <c r="I21" s="15">
        <v>5.5</v>
      </c>
      <c r="J21" s="15">
        <v>8.4</v>
      </c>
      <c r="K21" s="15">
        <v>0</v>
      </c>
      <c r="L21" s="15">
        <f>((C21+D21+E21+F21+G21+I21)-(J21-K21))</f>
        <v>-1.3000000000000007</v>
      </c>
      <c r="M21" s="21">
        <f t="shared" si="0"/>
        <v>0.15476190476190485</v>
      </c>
    </row>
    <row r="22" spans="1:13" x14ac:dyDescent="0.25">
      <c r="A22" s="13">
        <v>21</v>
      </c>
      <c r="B22" s="14">
        <v>45933</v>
      </c>
      <c r="C22" s="15">
        <v>0</v>
      </c>
      <c r="D22" s="15">
        <v>0</v>
      </c>
      <c r="E22" s="15">
        <v>1.6</v>
      </c>
      <c r="I22" s="15">
        <v>5.5</v>
      </c>
      <c r="J22" s="15">
        <v>8.5</v>
      </c>
      <c r="K22" s="15">
        <v>0</v>
      </c>
      <c r="L22" s="15">
        <f>((C22+D22+E22+F22+G22+I22)-(J22-K22))</f>
        <v>-1.4000000000000004</v>
      </c>
      <c r="M22" s="21">
        <f t="shared" si="0"/>
        <v>0.16470588235294123</v>
      </c>
    </row>
    <row r="23" spans="1:13" x14ac:dyDescent="0.25">
      <c r="A23" s="13">
        <v>22</v>
      </c>
      <c r="B23" s="14">
        <v>45933</v>
      </c>
      <c r="C23" s="15">
        <v>1.5</v>
      </c>
      <c r="D23" s="15">
        <v>0</v>
      </c>
      <c r="E23" s="15">
        <v>1.2</v>
      </c>
      <c r="I23" s="15">
        <v>5.7</v>
      </c>
      <c r="J23" s="15">
        <v>11.8</v>
      </c>
      <c r="K23" s="15">
        <v>1.77</v>
      </c>
      <c r="L23" s="15">
        <f>((C23+D23+E23+F23+G23+I23)-(J23-K23))</f>
        <v>-1.6300000000000008</v>
      </c>
      <c r="M23" s="21">
        <f t="shared" si="0"/>
        <v>0.16251246261216357</v>
      </c>
    </row>
    <row r="24" spans="1:13" x14ac:dyDescent="0.25">
      <c r="A24" s="13">
        <v>23</v>
      </c>
      <c r="B24" s="14">
        <v>45936</v>
      </c>
      <c r="C24" s="15">
        <v>4.9000000000000004</v>
      </c>
      <c r="D24" s="15">
        <v>0</v>
      </c>
      <c r="E24" s="15">
        <v>1</v>
      </c>
      <c r="I24" s="15">
        <v>5</v>
      </c>
      <c r="J24" s="15">
        <v>10.3</v>
      </c>
      <c r="K24" s="15">
        <v>0</v>
      </c>
      <c r="L24" s="15">
        <f>((C24+D24+E24+F24+G24+I24)-(J24-K24))</f>
        <v>0.59999999999999964</v>
      </c>
      <c r="M24" s="21">
        <f t="shared" si="0"/>
        <v>5.825242718446598E-2</v>
      </c>
    </row>
    <row r="25" spans="1:13" x14ac:dyDescent="0.25">
      <c r="A25" s="13">
        <v>24</v>
      </c>
      <c r="B25" s="14">
        <v>45936</v>
      </c>
      <c r="C25" s="15">
        <v>0</v>
      </c>
      <c r="D25" s="15">
        <v>1.94</v>
      </c>
      <c r="E25" s="15">
        <v>3.9</v>
      </c>
      <c r="I25" s="15">
        <v>7.3</v>
      </c>
      <c r="J25" s="15">
        <v>14.87</v>
      </c>
      <c r="K25" s="15">
        <v>0</v>
      </c>
      <c r="L25" s="15">
        <f>((C25+D25+E25+F25+G25+I25)-(J25-K25))</f>
        <v>-1.7299999999999986</v>
      </c>
      <c r="M25" s="21">
        <f t="shared" si="0"/>
        <v>0.11634162743779414</v>
      </c>
    </row>
    <row r="26" spans="1:13" x14ac:dyDescent="0.25">
      <c r="A26" s="13">
        <v>25</v>
      </c>
      <c r="B26" s="14">
        <v>45937</v>
      </c>
      <c r="C26" s="15">
        <v>3.1</v>
      </c>
      <c r="D26" s="15">
        <v>0</v>
      </c>
      <c r="E26" s="15">
        <v>4</v>
      </c>
      <c r="I26" s="15">
        <v>4.4000000000000004</v>
      </c>
      <c r="J26" s="15">
        <v>11.3</v>
      </c>
      <c r="K26" s="15">
        <v>1.7</v>
      </c>
      <c r="L26" s="15">
        <f>((C26+D26+E26+F26+G26+I26)-(J26-K26))</f>
        <v>1.8999999999999986</v>
      </c>
      <c r="M26" s="21">
        <f t="shared" si="0"/>
        <v>0.19791666666666649</v>
      </c>
    </row>
    <row r="27" spans="1:13" x14ac:dyDescent="0.25">
      <c r="A27" s="13">
        <v>26</v>
      </c>
      <c r="B27" s="14">
        <v>45937</v>
      </c>
      <c r="C27" s="15">
        <v>13.9</v>
      </c>
      <c r="D27" s="15">
        <v>0</v>
      </c>
      <c r="E27" s="15">
        <v>1</v>
      </c>
      <c r="I27" s="15">
        <v>25.7</v>
      </c>
      <c r="J27" s="15">
        <v>42.2</v>
      </c>
      <c r="K27" s="15">
        <v>6.33</v>
      </c>
      <c r="L27" s="15">
        <f>((C27+D27+E27+F27+G27+I27)-(J27-K27))</f>
        <v>4.7299999999999969</v>
      </c>
      <c r="M27" s="21">
        <f t="shared" si="0"/>
        <v>0.13186506830220229</v>
      </c>
    </row>
    <row r="28" spans="1:13" x14ac:dyDescent="0.25">
      <c r="A28" s="13">
        <v>27</v>
      </c>
      <c r="B28" s="14">
        <v>45937</v>
      </c>
      <c r="C28" s="15">
        <v>6</v>
      </c>
      <c r="D28" s="15">
        <v>2.9</v>
      </c>
      <c r="E28" s="15">
        <v>4.4000000000000004</v>
      </c>
      <c r="I28" s="15">
        <v>6.5</v>
      </c>
      <c r="J28" s="15">
        <v>19.079999999999998</v>
      </c>
      <c r="K28" s="15">
        <v>0</v>
      </c>
      <c r="L28" s="15">
        <f>((C28+D28+E28+F28+G28+I28)-(J28-K28))</f>
        <v>0.72000000000000242</v>
      </c>
      <c r="M28" s="21">
        <f t="shared" si="0"/>
        <v>3.7735849056603904E-2</v>
      </c>
    </row>
    <row r="29" spans="1:13" x14ac:dyDescent="0.25">
      <c r="A29" s="13">
        <v>28</v>
      </c>
      <c r="B29" s="14">
        <v>45937</v>
      </c>
      <c r="C29" s="15">
        <v>5</v>
      </c>
      <c r="D29" s="15">
        <v>0</v>
      </c>
      <c r="E29" s="15">
        <v>1</v>
      </c>
      <c r="I29" s="15">
        <v>4.2</v>
      </c>
      <c r="J29" s="15">
        <v>12.5</v>
      </c>
      <c r="K29" s="15">
        <v>1.88</v>
      </c>
      <c r="L29" s="15">
        <f>((C29+D29+E29+F29+G29+I29)-(J29-K29))</f>
        <v>-0.42000000000000171</v>
      </c>
      <c r="M29" s="21">
        <f t="shared" si="0"/>
        <v>3.9548022598870212E-2</v>
      </c>
    </row>
    <row r="30" spans="1:13" x14ac:dyDescent="0.25">
      <c r="A30" s="13">
        <v>29</v>
      </c>
      <c r="B30" s="14">
        <v>45937</v>
      </c>
      <c r="C30" s="15">
        <v>6.7</v>
      </c>
      <c r="D30" s="15">
        <v>0</v>
      </c>
      <c r="E30" s="15">
        <v>1.5</v>
      </c>
      <c r="I30" s="15">
        <v>4.5999999999999996</v>
      </c>
      <c r="J30" s="15">
        <v>12.8</v>
      </c>
      <c r="K30" s="15">
        <v>0</v>
      </c>
      <c r="L30" s="15">
        <f>((C30+D30+E30+F30+G30+I30)-(J30-K30))</f>
        <v>-1.7763568394002505E-15</v>
      </c>
      <c r="M30" s="21">
        <f t="shared" si="0"/>
        <v>1.3877787807814457E-16</v>
      </c>
    </row>
    <row r="31" spans="1:13" x14ac:dyDescent="0.25">
      <c r="A31" s="13">
        <v>30</v>
      </c>
      <c r="B31" s="14">
        <v>45937</v>
      </c>
      <c r="C31" s="15">
        <v>8.4</v>
      </c>
      <c r="D31" s="15">
        <v>0</v>
      </c>
      <c r="E31" s="15">
        <v>1</v>
      </c>
      <c r="I31" s="15">
        <v>5</v>
      </c>
      <c r="J31" s="15">
        <v>19.399999999999999</v>
      </c>
      <c r="K31" s="15">
        <v>0</v>
      </c>
      <c r="L31" s="15">
        <f>((C31+D31+E31+F31+G31+I31)-(J31-K31))</f>
        <v>-4.9999999999999982</v>
      </c>
      <c r="M31" s="21">
        <f t="shared" si="0"/>
        <v>0.25773195876288651</v>
      </c>
    </row>
    <row r="32" spans="1:13" x14ac:dyDescent="0.25">
      <c r="A32" s="13">
        <v>31</v>
      </c>
      <c r="B32" s="14">
        <v>45937</v>
      </c>
      <c r="C32" s="15">
        <v>11.1</v>
      </c>
      <c r="D32" s="15">
        <v>0</v>
      </c>
      <c r="E32" s="15">
        <v>1</v>
      </c>
      <c r="I32" s="15">
        <v>16.5</v>
      </c>
      <c r="J32" s="15">
        <v>27.9</v>
      </c>
      <c r="K32" s="15">
        <v>0</v>
      </c>
      <c r="L32" s="15">
        <f>((C32+D32+E32+F32+G32+I32)-(J32-K32))</f>
        <v>0.70000000000000284</v>
      </c>
      <c r="M32" s="21">
        <f t="shared" si="0"/>
        <v>2.5089605734767127E-2</v>
      </c>
    </row>
    <row r="33" spans="1:13" x14ac:dyDescent="0.25">
      <c r="A33" s="13">
        <v>32</v>
      </c>
      <c r="B33" s="14">
        <v>45937</v>
      </c>
      <c r="C33" s="15">
        <v>1.6</v>
      </c>
      <c r="D33" s="15">
        <v>0</v>
      </c>
      <c r="E33" s="15">
        <v>1</v>
      </c>
      <c r="I33" s="15">
        <v>14</v>
      </c>
      <c r="J33" s="15">
        <v>20.100000000000001</v>
      </c>
      <c r="K33" s="15">
        <v>0</v>
      </c>
      <c r="L33" s="15">
        <f>((C33+D33+E33+F33+G33+I33)-(J33-K33))</f>
        <v>-3.5</v>
      </c>
      <c r="M33" s="21">
        <f t="shared" si="0"/>
        <v>0.17412935323383083</v>
      </c>
    </row>
    <row r="34" spans="1:13" x14ac:dyDescent="0.25">
      <c r="A34" s="13">
        <v>33</v>
      </c>
      <c r="B34" s="14">
        <v>45937</v>
      </c>
      <c r="C34" s="15">
        <v>5.5</v>
      </c>
      <c r="D34" s="15">
        <v>0</v>
      </c>
      <c r="E34" s="15">
        <v>2.6</v>
      </c>
      <c r="I34" s="15">
        <v>9.1</v>
      </c>
      <c r="J34" s="15">
        <v>16.3</v>
      </c>
      <c r="K34" s="15">
        <v>5</v>
      </c>
      <c r="L34" s="15">
        <f>((C34+D34+E34+F34+G34+I34)-(J34-K34))</f>
        <v>5.8999999999999986</v>
      </c>
      <c r="M34" s="21">
        <f t="shared" si="0"/>
        <v>0.52212389380530955</v>
      </c>
    </row>
    <row r="35" spans="1:13" x14ac:dyDescent="0.25">
      <c r="A35" s="13">
        <v>34</v>
      </c>
      <c r="B35" s="14">
        <v>45937</v>
      </c>
      <c r="C35" s="15">
        <v>4.5</v>
      </c>
      <c r="D35" s="15">
        <v>3.02</v>
      </c>
      <c r="E35" s="15">
        <v>1</v>
      </c>
      <c r="I35" s="15">
        <v>6.9</v>
      </c>
      <c r="J35" s="15">
        <v>17.989999999999998</v>
      </c>
      <c r="K35" s="15">
        <v>0</v>
      </c>
      <c r="L35" s="15">
        <f>((C35+D35+E35+F35+G35+I35)-(J35-K35))</f>
        <v>-2.5699999999999985</v>
      </c>
      <c r="M35" s="21">
        <f t="shared" si="0"/>
        <v>0.14285714285714279</v>
      </c>
    </row>
    <row r="36" spans="1:13" x14ac:dyDescent="0.25">
      <c r="A36" s="13">
        <v>35</v>
      </c>
      <c r="B36" s="14">
        <v>45937</v>
      </c>
      <c r="C36" s="15">
        <v>10</v>
      </c>
      <c r="D36" s="15">
        <v>0</v>
      </c>
      <c r="E36" s="15">
        <v>1</v>
      </c>
      <c r="I36" s="15">
        <v>23.1</v>
      </c>
      <c r="J36" s="15">
        <v>38.4</v>
      </c>
      <c r="K36" s="15">
        <v>5.76</v>
      </c>
      <c r="L36" s="15">
        <f>((C36+D36+E36+F36+G36+I36)-(J36-K36))</f>
        <v>1.4600000000000009</v>
      </c>
      <c r="M36" s="21">
        <f t="shared" si="0"/>
        <v>4.4730392156862774E-2</v>
      </c>
    </row>
    <row r="37" spans="1:13" x14ac:dyDescent="0.25">
      <c r="A37" s="13">
        <v>36</v>
      </c>
      <c r="B37" s="14">
        <v>45944</v>
      </c>
      <c r="C37" s="15">
        <v>6</v>
      </c>
      <c r="D37" s="15">
        <v>0</v>
      </c>
      <c r="E37" s="15">
        <v>3.4</v>
      </c>
      <c r="I37" s="15">
        <v>4.8</v>
      </c>
      <c r="J37" s="15">
        <v>10.199999999999999</v>
      </c>
      <c r="K37" s="15">
        <v>0</v>
      </c>
      <c r="L37" s="15">
        <f>((C37+D37+E37+F37+G37+I37)-(J37-K37))</f>
        <v>4</v>
      </c>
      <c r="M37" s="21">
        <f t="shared" si="0"/>
        <v>0.39215686274509809</v>
      </c>
    </row>
    <row r="38" spans="1:13" x14ac:dyDescent="0.25">
      <c r="A38" s="13">
        <v>37</v>
      </c>
      <c r="B38" s="14">
        <v>45944</v>
      </c>
      <c r="C38" s="15">
        <v>5.7</v>
      </c>
      <c r="D38" s="15">
        <v>0</v>
      </c>
      <c r="E38" s="15">
        <v>2.8</v>
      </c>
      <c r="I38" s="15">
        <v>9.3000000000000007</v>
      </c>
      <c r="J38" s="15">
        <v>17.899999999999999</v>
      </c>
      <c r="K38" s="15">
        <v>0</v>
      </c>
      <c r="L38" s="15">
        <f>((C38+D38+E38+F38+G38+I38)-(J38-K38))</f>
        <v>-9.9999999999997868E-2</v>
      </c>
      <c r="M38" s="21">
        <f t="shared" si="0"/>
        <v>5.5865921787708311E-3</v>
      </c>
    </row>
    <row r="39" spans="1:13" x14ac:dyDescent="0.25">
      <c r="A39" s="13">
        <v>38</v>
      </c>
      <c r="B39" s="14">
        <v>45944</v>
      </c>
      <c r="C39" s="15">
        <v>7.5</v>
      </c>
      <c r="D39" s="15">
        <v>0</v>
      </c>
      <c r="E39" s="15">
        <v>1</v>
      </c>
      <c r="I39" s="15">
        <v>35.700000000000003</v>
      </c>
      <c r="J39" s="15">
        <v>57.7</v>
      </c>
      <c r="K39" s="15">
        <v>10</v>
      </c>
      <c r="L39" s="15">
        <f>((C39+D39+E39+F39+G39+I39)-(J39-K39))</f>
        <v>-3.5</v>
      </c>
      <c r="M39" s="21">
        <f t="shared" si="0"/>
        <v>7.337526205450734E-2</v>
      </c>
    </row>
    <row r="40" spans="1:13" x14ac:dyDescent="0.25">
      <c r="A40" s="13">
        <v>39</v>
      </c>
      <c r="B40" s="14">
        <v>45944</v>
      </c>
      <c r="C40" s="15">
        <v>0.8</v>
      </c>
      <c r="D40" s="15">
        <v>0</v>
      </c>
      <c r="E40" s="15">
        <v>4</v>
      </c>
      <c r="I40" s="15">
        <v>5.9</v>
      </c>
      <c r="J40" s="15">
        <v>9.1</v>
      </c>
      <c r="K40" s="15">
        <v>1.37</v>
      </c>
      <c r="L40" s="15">
        <f>((C40+D40+E40+F40+G40+I40)-(J40-K40))</f>
        <v>2.9699999999999998</v>
      </c>
      <c r="M40" s="21">
        <f t="shared" si="0"/>
        <v>0.38421733505821476</v>
      </c>
    </row>
    <row r="41" spans="1:13" x14ac:dyDescent="0.25">
      <c r="A41" s="13">
        <v>40</v>
      </c>
      <c r="B41" s="14">
        <v>45944</v>
      </c>
      <c r="C41" s="15">
        <v>3.2</v>
      </c>
      <c r="D41" s="15">
        <v>0</v>
      </c>
      <c r="E41" s="15">
        <v>1</v>
      </c>
      <c r="I41" s="15">
        <v>30</v>
      </c>
      <c r="J41" s="15">
        <v>36</v>
      </c>
      <c r="K41" s="15">
        <v>0</v>
      </c>
      <c r="L41" s="15">
        <f>((C41+D41+E41+F41+G41+I41)-(J41-K41))</f>
        <v>-1.7999999999999972</v>
      </c>
      <c r="M41" s="21">
        <f t="shared" si="0"/>
        <v>4.999999999999992E-2</v>
      </c>
    </row>
    <row r="42" spans="1:13" x14ac:dyDescent="0.25">
      <c r="A42" s="13">
        <v>41</v>
      </c>
      <c r="B42" s="14">
        <v>45944</v>
      </c>
      <c r="C42" s="15">
        <v>2.2000000000000002</v>
      </c>
      <c r="D42" s="15">
        <v>0</v>
      </c>
      <c r="E42" s="15">
        <v>1</v>
      </c>
      <c r="I42" s="15">
        <v>5.5</v>
      </c>
      <c r="J42" s="15">
        <v>9.1</v>
      </c>
      <c r="K42" s="15">
        <v>0.91</v>
      </c>
      <c r="L42" s="15">
        <f>((C42+D42+E42+F42+G42+I42)-(J42-K42))</f>
        <v>0.50999999999999979</v>
      </c>
      <c r="M42" s="21">
        <f t="shared" si="0"/>
        <v>6.2271062271062251E-2</v>
      </c>
    </row>
    <row r="43" spans="1:13" x14ac:dyDescent="0.25">
      <c r="A43" s="13">
        <v>42</v>
      </c>
      <c r="B43" s="14">
        <v>45944</v>
      </c>
      <c r="C43" s="15">
        <v>0</v>
      </c>
      <c r="D43" s="15">
        <v>0</v>
      </c>
      <c r="E43" s="15">
        <v>0</v>
      </c>
      <c r="I43" s="15">
        <v>2.6</v>
      </c>
      <c r="J43" s="15">
        <v>0</v>
      </c>
      <c r="K43" s="15">
        <v>0</v>
      </c>
      <c r="L43" s="15">
        <f>((C43+D43+E43+F43+G43+I43)-(J43-K43))</f>
        <v>2.6</v>
      </c>
      <c r="M43" s="21" t="e">
        <f t="shared" si="0"/>
        <v>#DIV/0!</v>
      </c>
    </row>
    <row r="44" spans="1:13" x14ac:dyDescent="0.25">
      <c r="A44" s="13">
        <v>43</v>
      </c>
      <c r="B44" s="14">
        <v>45944</v>
      </c>
      <c r="C44" s="15">
        <v>1.4</v>
      </c>
      <c r="D44" s="15">
        <v>0</v>
      </c>
      <c r="E44" s="15">
        <v>1</v>
      </c>
      <c r="F44" s="15">
        <v>3.76</v>
      </c>
      <c r="G44" s="15">
        <v>1</v>
      </c>
      <c r="H44" s="15">
        <v>0</v>
      </c>
      <c r="I44" s="15">
        <v>11.6</v>
      </c>
      <c r="J44" s="15">
        <v>20.78</v>
      </c>
      <c r="K44" s="15">
        <v>0</v>
      </c>
      <c r="L44" s="15">
        <f>((C44+D44+E44+F44+G44+I44)-(J44-K44))</f>
        <v>-2.0200000000000031</v>
      </c>
      <c r="M44" s="21">
        <f t="shared" si="0"/>
        <v>9.7208854667950095E-2</v>
      </c>
    </row>
    <row r="45" spans="1:13" x14ac:dyDescent="0.25">
      <c r="A45" s="13">
        <v>44</v>
      </c>
      <c r="B45" s="14">
        <v>45944</v>
      </c>
      <c r="C45" s="15">
        <v>1.2</v>
      </c>
      <c r="D45" s="15">
        <v>0</v>
      </c>
      <c r="E45" s="15">
        <v>1</v>
      </c>
      <c r="F45" s="15">
        <v>0</v>
      </c>
      <c r="G45" s="15">
        <v>0</v>
      </c>
      <c r="H45" s="15">
        <v>0</v>
      </c>
      <c r="I45" s="15">
        <v>9.6999999999999993</v>
      </c>
      <c r="J45" s="15">
        <v>14.6</v>
      </c>
      <c r="K45" s="15">
        <v>0</v>
      </c>
      <c r="L45" s="15">
        <f>((C45+D45+E45+F45+G45+I45)-(J45-K45))</f>
        <v>-2.7000000000000011</v>
      </c>
      <c r="M45" s="21">
        <f t="shared" si="0"/>
        <v>0.18493150684931514</v>
      </c>
    </row>
    <row r="46" spans="1:13" x14ac:dyDescent="0.25">
      <c r="A46" s="13">
        <v>45</v>
      </c>
      <c r="B46" s="14">
        <v>45944</v>
      </c>
      <c r="C46" s="15">
        <v>2.8</v>
      </c>
      <c r="D46" s="15">
        <v>0</v>
      </c>
      <c r="E46" s="15">
        <v>4.2</v>
      </c>
      <c r="F46" s="15">
        <v>0</v>
      </c>
      <c r="G46" s="15">
        <v>0</v>
      </c>
      <c r="H46" s="15">
        <v>0</v>
      </c>
      <c r="I46" s="15">
        <v>5</v>
      </c>
      <c r="J46" s="15">
        <v>11.2</v>
      </c>
      <c r="K46" s="15">
        <v>0</v>
      </c>
      <c r="L46" s="15">
        <f>((C46+D46+E46+F46+G46+I46)-(J46-K46))</f>
        <v>0.80000000000000071</v>
      </c>
      <c r="M46" s="21">
        <f t="shared" si="0"/>
        <v>7.1428571428571494E-2</v>
      </c>
    </row>
    <row r="47" spans="1:13" x14ac:dyDescent="0.25">
      <c r="A47" s="13">
        <v>46</v>
      </c>
      <c r="B47" s="14">
        <v>45944</v>
      </c>
      <c r="C47" s="15">
        <v>1.3</v>
      </c>
      <c r="D47" s="15">
        <v>0</v>
      </c>
      <c r="E47" s="15">
        <v>1</v>
      </c>
      <c r="F47" s="15">
        <v>0</v>
      </c>
      <c r="G47" s="15">
        <v>0</v>
      </c>
      <c r="H47" s="15">
        <v>0</v>
      </c>
      <c r="I47" s="15">
        <v>11</v>
      </c>
      <c r="J47" s="15">
        <v>14.4</v>
      </c>
      <c r="K47" s="15">
        <v>2.16</v>
      </c>
      <c r="L47" s="15">
        <f>((C47+D47+E47+F47+G47+I47)-(J47-K47))</f>
        <v>1.0600000000000005</v>
      </c>
      <c r="M47" s="21">
        <f t="shared" si="0"/>
        <v>8.6601307189542523E-2</v>
      </c>
    </row>
    <row r="48" spans="1:13" x14ac:dyDescent="0.25">
      <c r="A48" s="13">
        <v>47</v>
      </c>
      <c r="B48" s="14">
        <v>45944</v>
      </c>
      <c r="C48" s="15">
        <v>0</v>
      </c>
      <c r="D48" s="15">
        <v>0</v>
      </c>
      <c r="E48" s="15">
        <v>4.4000000000000004</v>
      </c>
      <c r="F48" s="15">
        <v>0</v>
      </c>
      <c r="G48" s="15">
        <v>0</v>
      </c>
      <c r="H48" s="15">
        <v>0</v>
      </c>
      <c r="I48" s="15">
        <v>5</v>
      </c>
      <c r="J48" s="15">
        <v>8.8000000000000007</v>
      </c>
      <c r="K48" s="15">
        <v>1.32</v>
      </c>
      <c r="L48" s="15">
        <f>((C48+D48+E48+F48+G48+I48)-(J48-K48))</f>
        <v>1.92</v>
      </c>
      <c r="M48" s="21">
        <f t="shared" si="0"/>
        <v>0.2566844919786096</v>
      </c>
    </row>
    <row r="49" spans="1:13" x14ac:dyDescent="0.25">
      <c r="A49" s="13">
        <v>48</v>
      </c>
      <c r="B49" s="14">
        <v>45945</v>
      </c>
      <c r="C49" s="15">
        <v>0</v>
      </c>
      <c r="D49" s="15">
        <v>0</v>
      </c>
      <c r="E49" s="15">
        <v>1</v>
      </c>
      <c r="F49" s="15">
        <v>11.3</v>
      </c>
      <c r="G49" s="15">
        <v>0</v>
      </c>
      <c r="H49" s="15">
        <v>0</v>
      </c>
      <c r="I49" s="15">
        <v>30.3</v>
      </c>
      <c r="J49" s="15">
        <v>35.42</v>
      </c>
      <c r="K49" s="15">
        <v>0</v>
      </c>
      <c r="L49" s="15">
        <f>((C49+D49+E49+F49+G49+I49)-(J49-K49))</f>
        <v>7.18</v>
      </c>
      <c r="M49" s="21">
        <f t="shared" si="0"/>
        <v>0.20271033314511575</v>
      </c>
    </row>
    <row r="50" spans="1:13" x14ac:dyDescent="0.25">
      <c r="A50" s="13">
        <v>49</v>
      </c>
      <c r="B50" s="14">
        <v>45946</v>
      </c>
      <c r="C50" s="15">
        <v>0</v>
      </c>
      <c r="D50" s="15">
        <v>0</v>
      </c>
      <c r="E50" s="15">
        <v>1.8</v>
      </c>
      <c r="F50" s="15">
        <v>0.74</v>
      </c>
      <c r="G50" s="15">
        <v>0</v>
      </c>
      <c r="H50" s="15">
        <v>0</v>
      </c>
      <c r="I50" s="15">
        <v>5.4</v>
      </c>
      <c r="J50" s="15">
        <v>11.49</v>
      </c>
      <c r="K50" s="15">
        <v>0</v>
      </c>
      <c r="L50" s="15">
        <f>((C50+D50+E50+F50+G50+I50)-(J50-K50))</f>
        <v>-3.55</v>
      </c>
      <c r="M50" s="21">
        <f t="shared" si="0"/>
        <v>0.30896431679721492</v>
      </c>
    </row>
    <row r="51" spans="1:13" x14ac:dyDescent="0.25">
      <c r="A51" s="13">
        <v>50</v>
      </c>
      <c r="B51" s="14">
        <v>45946</v>
      </c>
      <c r="C51" s="15">
        <v>0</v>
      </c>
      <c r="D51" s="15">
        <v>0</v>
      </c>
      <c r="E51" s="15">
        <v>2</v>
      </c>
      <c r="F51" s="15">
        <v>0.7</v>
      </c>
      <c r="G51" s="15">
        <v>0.5</v>
      </c>
      <c r="H51" s="15">
        <v>0</v>
      </c>
      <c r="I51" s="15">
        <v>5</v>
      </c>
      <c r="J51" s="15">
        <v>9.6300000000000008</v>
      </c>
      <c r="K51" s="15">
        <v>2.41</v>
      </c>
      <c r="L51" s="15">
        <f>((C51+D51+E51+F51+G51+I51)-(J51-K51))</f>
        <v>0.97999999999999865</v>
      </c>
      <c r="M51" s="21">
        <f t="shared" si="0"/>
        <v>0.13573407202216048</v>
      </c>
    </row>
    <row r="52" spans="1:13" x14ac:dyDescent="0.25">
      <c r="A52" s="13">
        <v>51</v>
      </c>
      <c r="B52" s="14">
        <v>45946</v>
      </c>
      <c r="C52" s="15">
        <v>0</v>
      </c>
      <c r="D52" s="15">
        <v>0</v>
      </c>
      <c r="E52" s="15">
        <v>2.4</v>
      </c>
      <c r="F52" s="15">
        <v>0</v>
      </c>
      <c r="G52" s="15">
        <v>0</v>
      </c>
      <c r="H52" s="15">
        <v>0</v>
      </c>
      <c r="I52" s="15">
        <v>7.5</v>
      </c>
      <c r="J52" s="15">
        <v>11.6</v>
      </c>
      <c r="K52" s="15">
        <v>1.74</v>
      </c>
      <c r="L52" s="15">
        <f>((C52+D52+E52+F52+G52+I52)-(J52-K52))</f>
        <v>4.0000000000000924E-2</v>
      </c>
      <c r="M52" s="21">
        <f t="shared" si="0"/>
        <v>4.0567951318459354E-3</v>
      </c>
    </row>
    <row r="53" spans="1:13" x14ac:dyDescent="0.25">
      <c r="A53" s="13">
        <v>52</v>
      </c>
      <c r="B53" s="14">
        <v>45946</v>
      </c>
      <c r="C53" s="15">
        <v>0</v>
      </c>
      <c r="D53" s="15">
        <v>0</v>
      </c>
      <c r="E53" s="15">
        <v>1</v>
      </c>
      <c r="F53" s="15">
        <v>0</v>
      </c>
      <c r="G53" s="15">
        <v>0</v>
      </c>
      <c r="H53" s="15">
        <v>0</v>
      </c>
      <c r="I53" s="15">
        <v>11.8</v>
      </c>
      <c r="J53" s="15">
        <v>15</v>
      </c>
      <c r="K53" s="15">
        <v>0</v>
      </c>
      <c r="L53" s="15">
        <f>((C53+D53+E53+F53+G53+I53)-(J53-K53))</f>
        <v>-2.1999999999999993</v>
      </c>
      <c r="M53" s="21">
        <f t="shared" si="0"/>
        <v>0.14666666666666661</v>
      </c>
    </row>
    <row r="54" spans="1:13" x14ac:dyDescent="0.25">
      <c r="A54" s="13">
        <v>53</v>
      </c>
      <c r="B54" s="14">
        <v>45946</v>
      </c>
      <c r="C54" s="15">
        <v>9.4</v>
      </c>
      <c r="D54" s="15">
        <v>0</v>
      </c>
      <c r="E54" s="15">
        <v>1</v>
      </c>
      <c r="F54" s="15">
        <v>0</v>
      </c>
      <c r="G54" s="15">
        <v>0</v>
      </c>
      <c r="H54" s="15">
        <v>0</v>
      </c>
      <c r="I54" s="15">
        <v>16.899999999999999</v>
      </c>
      <c r="J54" s="15">
        <v>36.9</v>
      </c>
      <c r="K54" s="15">
        <v>0</v>
      </c>
      <c r="L54" s="15">
        <f>((C54+D54+E54+F54+G54+I54)-(J54-K54))</f>
        <v>-9.6000000000000014</v>
      </c>
      <c r="M54" s="21">
        <f t="shared" si="0"/>
        <v>0.26016260162601629</v>
      </c>
    </row>
    <row r="55" spans="1:13" x14ac:dyDescent="0.25">
      <c r="A55" s="13">
        <v>54</v>
      </c>
      <c r="B55" s="14">
        <v>45947</v>
      </c>
      <c r="C55" s="15">
        <v>0</v>
      </c>
      <c r="D55" s="15">
        <v>0</v>
      </c>
      <c r="E55" s="15">
        <v>5</v>
      </c>
      <c r="F55" s="15">
        <v>0</v>
      </c>
      <c r="G55" s="15">
        <v>0</v>
      </c>
      <c r="H55" s="15">
        <v>0</v>
      </c>
      <c r="I55" s="15">
        <v>5.7</v>
      </c>
      <c r="J55" s="15">
        <v>10.7</v>
      </c>
      <c r="K55" s="15">
        <v>0</v>
      </c>
      <c r="L55" s="15">
        <f>((C55+D55+E55+F55+G55+I55)-(J55-K55))</f>
        <v>0</v>
      </c>
      <c r="M55" s="21">
        <f t="shared" si="0"/>
        <v>0</v>
      </c>
    </row>
    <row r="56" spans="1:13" x14ac:dyDescent="0.25">
      <c r="A56" s="13">
        <v>55</v>
      </c>
      <c r="B56" s="14">
        <v>45947</v>
      </c>
      <c r="C56" s="15">
        <v>0</v>
      </c>
      <c r="D56" s="15">
        <v>0</v>
      </c>
      <c r="E56" s="15">
        <v>2.4</v>
      </c>
      <c r="F56" s="15">
        <v>0</v>
      </c>
      <c r="G56" s="15">
        <v>0</v>
      </c>
      <c r="H56" s="15">
        <v>0</v>
      </c>
      <c r="I56" s="15">
        <v>19</v>
      </c>
      <c r="J56" s="15">
        <v>26.6</v>
      </c>
      <c r="K56" s="15">
        <v>0</v>
      </c>
      <c r="L56" s="15">
        <f>((C56+D56+E56+F56+G56+I56)-(J56-K56))</f>
        <v>-5.2000000000000028</v>
      </c>
      <c r="M56" s="21">
        <f t="shared" si="0"/>
        <v>0.19548872180451138</v>
      </c>
    </row>
    <row r="57" spans="1:13" x14ac:dyDescent="0.25">
      <c r="A57" s="13">
        <v>56</v>
      </c>
      <c r="B57" s="14">
        <v>45947</v>
      </c>
      <c r="C57" s="15">
        <v>0</v>
      </c>
      <c r="D57" s="15">
        <v>0</v>
      </c>
      <c r="E57" s="15">
        <v>1.8</v>
      </c>
      <c r="F57" s="15">
        <v>0</v>
      </c>
      <c r="G57" s="15">
        <v>0.5</v>
      </c>
      <c r="H57" s="15">
        <v>0</v>
      </c>
      <c r="I57" s="15">
        <v>5.3</v>
      </c>
      <c r="J57" s="15">
        <v>7.6</v>
      </c>
      <c r="K57" s="15">
        <v>0</v>
      </c>
      <c r="L57" s="15">
        <f>((C57+D57+E57+F57+G57+I57)-(J57-K57))</f>
        <v>0</v>
      </c>
      <c r="M57" s="21">
        <f t="shared" si="0"/>
        <v>0</v>
      </c>
    </row>
    <row r="58" spans="1:13" x14ac:dyDescent="0.25">
      <c r="A58" s="13">
        <v>57</v>
      </c>
      <c r="B58" s="14">
        <v>45947</v>
      </c>
      <c r="C58" s="15">
        <v>0</v>
      </c>
      <c r="D58" s="15">
        <v>0</v>
      </c>
      <c r="E58" s="15">
        <v>1.8</v>
      </c>
      <c r="F58" s="15">
        <v>0</v>
      </c>
      <c r="G58" s="15">
        <v>0</v>
      </c>
      <c r="H58" s="15">
        <v>0</v>
      </c>
      <c r="I58" s="15">
        <v>5.2</v>
      </c>
      <c r="J58" s="15">
        <v>7.5</v>
      </c>
      <c r="K58" s="15">
        <v>0.75</v>
      </c>
      <c r="L58" s="15">
        <f>((C58+D58+E58+F58+G58+I58)-(J58-K58))</f>
        <v>0.25</v>
      </c>
      <c r="M58" s="21">
        <f t="shared" si="0"/>
        <v>3.7037037037037035E-2</v>
      </c>
    </row>
    <row r="59" spans="1:13" x14ac:dyDescent="0.25">
      <c r="A59" s="13">
        <v>58</v>
      </c>
      <c r="B59" s="14">
        <v>45947</v>
      </c>
      <c r="C59" s="15">
        <v>0</v>
      </c>
      <c r="D59" s="15">
        <v>0</v>
      </c>
      <c r="E59" s="15">
        <v>3.4</v>
      </c>
      <c r="F59" s="15">
        <v>0</v>
      </c>
      <c r="G59" s="15">
        <v>0</v>
      </c>
      <c r="H59" s="15">
        <v>0</v>
      </c>
      <c r="I59" s="15">
        <v>7.9</v>
      </c>
      <c r="J59" s="15">
        <v>13</v>
      </c>
      <c r="K59" s="15">
        <v>1.3</v>
      </c>
      <c r="L59" s="15">
        <f>((C59+D59+E59+F59+G59+I59)-(J59-K59))</f>
        <v>-0.39999999999999858</v>
      </c>
      <c r="M59" s="21">
        <f t="shared" si="0"/>
        <v>3.4188034188034067E-2</v>
      </c>
    </row>
    <row r="60" spans="1:13" x14ac:dyDescent="0.25">
      <c r="A60" s="13">
        <v>59</v>
      </c>
      <c r="B60" s="14">
        <v>45947</v>
      </c>
      <c r="C60" s="15">
        <v>7.1</v>
      </c>
      <c r="D60" s="15">
        <v>0</v>
      </c>
      <c r="E60" s="15">
        <v>1</v>
      </c>
      <c r="F60" s="15">
        <v>0</v>
      </c>
      <c r="G60" s="15">
        <v>0</v>
      </c>
      <c r="H60" s="15">
        <v>0</v>
      </c>
      <c r="I60" s="15">
        <v>12.2</v>
      </c>
      <c r="J60" s="15">
        <v>23.3</v>
      </c>
      <c r="K60" s="15">
        <v>0</v>
      </c>
      <c r="L60" s="15">
        <f>((C60+D60+E60+F60+G60+I60)-(J60-K60))</f>
        <v>-3.0000000000000036</v>
      </c>
      <c r="M60" s="21">
        <f t="shared" si="0"/>
        <v>0.12875536480686711</v>
      </c>
    </row>
    <row r="61" spans="1:13" x14ac:dyDescent="0.25">
      <c r="A61" s="13">
        <v>60</v>
      </c>
      <c r="B61" s="14">
        <v>45947</v>
      </c>
      <c r="C61" s="15">
        <v>3.1</v>
      </c>
      <c r="D61" s="15">
        <v>0</v>
      </c>
      <c r="E61" s="15">
        <v>1</v>
      </c>
      <c r="F61" s="15">
        <v>0</v>
      </c>
      <c r="G61" s="15">
        <v>0</v>
      </c>
      <c r="H61" s="15">
        <v>0</v>
      </c>
      <c r="I61" s="15">
        <v>5.7</v>
      </c>
      <c r="J61" s="15">
        <v>13.7</v>
      </c>
      <c r="K61" s="15">
        <v>0</v>
      </c>
      <c r="L61" s="15">
        <f>((C61+D61+E61+F61+G61+I61)-(J61-K61))</f>
        <v>-3.8999999999999986</v>
      </c>
      <c r="M61" s="21">
        <f t="shared" si="0"/>
        <v>0.28467153284671526</v>
      </c>
    </row>
    <row r="62" spans="1:13" x14ac:dyDescent="0.25">
      <c r="A62" s="13">
        <v>61</v>
      </c>
      <c r="B62" s="14">
        <v>45947</v>
      </c>
      <c r="C62" s="15">
        <v>3.4</v>
      </c>
      <c r="D62" s="15">
        <v>0</v>
      </c>
      <c r="E62" s="15">
        <v>1</v>
      </c>
      <c r="F62" s="15">
        <v>0</v>
      </c>
      <c r="G62" s="15">
        <v>0</v>
      </c>
      <c r="H62" s="15">
        <v>0</v>
      </c>
      <c r="I62" s="15">
        <v>6.5</v>
      </c>
      <c r="J62" s="15">
        <v>11.8</v>
      </c>
      <c r="K62" s="15">
        <v>0</v>
      </c>
      <c r="L62" s="15">
        <f>((C62+D62+E62+F62+G62+I62)-(J62-K62))</f>
        <v>-0.90000000000000036</v>
      </c>
      <c r="M62" s="21">
        <f t="shared" si="0"/>
        <v>7.6271186440677985E-2</v>
      </c>
    </row>
    <row r="63" spans="1:13" x14ac:dyDescent="0.25">
      <c r="A63" s="13">
        <v>62</v>
      </c>
      <c r="B63" s="14">
        <v>45947</v>
      </c>
      <c r="C63" s="15">
        <v>5.2</v>
      </c>
      <c r="D63" s="15">
        <v>0</v>
      </c>
      <c r="E63" s="15">
        <v>1</v>
      </c>
      <c r="F63" s="15">
        <v>0</v>
      </c>
      <c r="G63" s="15">
        <v>0</v>
      </c>
      <c r="H63" s="15">
        <v>0</v>
      </c>
      <c r="I63" s="15">
        <v>5.5</v>
      </c>
      <c r="J63" s="15">
        <v>12.8</v>
      </c>
      <c r="K63" s="15">
        <v>0</v>
      </c>
      <c r="L63" s="15">
        <f>((C63+D63+E63+F63+G63+I63)-(J63-K63))</f>
        <v>-1.1000000000000014</v>
      </c>
      <c r="M63" s="21">
        <f t="shared" si="0"/>
        <v>8.5937500000000111E-2</v>
      </c>
    </row>
    <row r="64" spans="1:13" x14ac:dyDescent="0.25">
      <c r="A64" s="13">
        <v>63</v>
      </c>
      <c r="B64" s="14">
        <v>45948</v>
      </c>
      <c r="C64" s="15">
        <v>0</v>
      </c>
      <c r="D64" s="15">
        <v>0</v>
      </c>
      <c r="E64" s="15">
        <v>1.5</v>
      </c>
      <c r="F64" s="15">
        <v>0</v>
      </c>
      <c r="G64" s="15">
        <v>0</v>
      </c>
      <c r="H64" s="15">
        <v>0</v>
      </c>
      <c r="I64" s="15">
        <v>7.3</v>
      </c>
      <c r="J64" s="15">
        <v>12.4</v>
      </c>
      <c r="K64" s="15">
        <v>0</v>
      </c>
      <c r="L64" s="15">
        <f>((C64+D64+E64+F64+G64+I64)-(J64-K64))</f>
        <v>-3.5999999999999996</v>
      </c>
      <c r="M64" s="21">
        <f t="shared" si="0"/>
        <v>0.29032258064516125</v>
      </c>
    </row>
    <row r="65" spans="1:13" x14ac:dyDescent="0.25">
      <c r="A65" s="13">
        <v>64</v>
      </c>
      <c r="B65" s="14">
        <v>45948</v>
      </c>
      <c r="C65" s="15">
        <v>1.6</v>
      </c>
      <c r="D65" s="15">
        <v>0</v>
      </c>
      <c r="E65" s="15">
        <v>1.2</v>
      </c>
      <c r="F65" s="15">
        <v>0</v>
      </c>
      <c r="G65" s="15">
        <v>0</v>
      </c>
      <c r="H65" s="15">
        <v>0</v>
      </c>
      <c r="I65" s="15">
        <v>14.3</v>
      </c>
      <c r="J65" s="15">
        <v>22.9</v>
      </c>
      <c r="K65" s="15">
        <v>0</v>
      </c>
      <c r="L65" s="15">
        <f>((C65+D65+E65+F65+G65+I65)-(J65-K65))</f>
        <v>-5.7999999999999972</v>
      </c>
      <c r="M65" s="21">
        <f t="shared" si="0"/>
        <v>0.25327510917030555</v>
      </c>
    </row>
    <row r="66" spans="1:13" x14ac:dyDescent="0.25">
      <c r="A66" s="13">
        <v>65</v>
      </c>
      <c r="B66" s="14">
        <v>45948</v>
      </c>
      <c r="C66" s="15">
        <v>0.8</v>
      </c>
      <c r="D66" s="15">
        <v>0</v>
      </c>
      <c r="E66" s="15">
        <v>1.4</v>
      </c>
      <c r="F66" s="15">
        <v>0</v>
      </c>
      <c r="G66" s="15">
        <v>0</v>
      </c>
      <c r="H66" s="15">
        <v>0</v>
      </c>
      <c r="I66" s="15">
        <v>7</v>
      </c>
      <c r="J66" s="15">
        <v>8.6999999999999993</v>
      </c>
      <c r="K66" s="15">
        <v>0</v>
      </c>
      <c r="L66" s="15">
        <f>((C66+D66+E66+F66+G66+I66)-(J66-K66))</f>
        <v>0.5</v>
      </c>
      <c r="M66" s="21">
        <f t="shared" ref="M66:M93" si="1">ABS(L66/(J66-K66))</f>
        <v>5.7471264367816098E-2</v>
      </c>
    </row>
    <row r="67" spans="1:13" x14ac:dyDescent="0.25">
      <c r="A67" s="13">
        <v>66</v>
      </c>
      <c r="B67" s="14">
        <v>45948</v>
      </c>
      <c r="C67" s="15">
        <v>0</v>
      </c>
      <c r="D67" s="15">
        <v>0</v>
      </c>
      <c r="E67" s="15">
        <v>2</v>
      </c>
      <c r="F67" s="15">
        <v>0</v>
      </c>
      <c r="G67" s="15">
        <v>0.5</v>
      </c>
      <c r="H67" s="15">
        <v>0</v>
      </c>
      <c r="I67" s="15">
        <v>7.1</v>
      </c>
      <c r="J67" s="15">
        <v>12.8</v>
      </c>
      <c r="K67" s="15">
        <v>0</v>
      </c>
      <c r="L67" s="15">
        <f>((C67+D67+E67+F67+G67+I67)-(J67-K67))</f>
        <v>-3.2000000000000011</v>
      </c>
      <c r="M67" s="21">
        <f t="shared" si="1"/>
        <v>0.25000000000000006</v>
      </c>
    </row>
    <row r="68" spans="1:13" x14ac:dyDescent="0.25">
      <c r="A68" s="13">
        <v>67</v>
      </c>
      <c r="B68" s="14">
        <v>45948</v>
      </c>
      <c r="C68" s="15">
        <v>6</v>
      </c>
      <c r="D68" s="15">
        <v>0</v>
      </c>
      <c r="E68" s="15">
        <v>1.2</v>
      </c>
      <c r="F68" s="15">
        <v>0</v>
      </c>
      <c r="G68" s="15">
        <v>0</v>
      </c>
      <c r="H68" s="15">
        <v>0</v>
      </c>
      <c r="I68" s="15">
        <v>13.3</v>
      </c>
      <c r="J68" s="15">
        <v>25.4</v>
      </c>
      <c r="K68" s="15">
        <v>3.81</v>
      </c>
      <c r="L68" s="15">
        <f>((C68+D68+E68+F68+G68+I68)-(J68-K68))</f>
        <v>-1.0899999999999999</v>
      </c>
      <c r="M68" s="21">
        <f t="shared" si="1"/>
        <v>5.0486336266790173E-2</v>
      </c>
    </row>
    <row r="69" spans="1:13" x14ac:dyDescent="0.25">
      <c r="A69" s="13">
        <v>68</v>
      </c>
      <c r="B69" s="14">
        <v>45949</v>
      </c>
      <c r="C69" s="15">
        <v>3.6</v>
      </c>
      <c r="D69" s="15">
        <v>0</v>
      </c>
      <c r="E69" s="15">
        <v>1.1000000000000001</v>
      </c>
      <c r="F69" s="15">
        <v>0</v>
      </c>
      <c r="G69" s="15">
        <v>0</v>
      </c>
      <c r="H69" s="15">
        <v>0</v>
      </c>
      <c r="I69" s="15">
        <v>10.4</v>
      </c>
      <c r="J69" s="15">
        <v>15.4</v>
      </c>
      <c r="K69" s="15">
        <v>0</v>
      </c>
      <c r="L69" s="15">
        <f>((C69+D69+E69+F69+G69+I69)-(J69-K69))</f>
        <v>-0.29999999999999893</v>
      </c>
      <c r="M69" s="21">
        <f t="shared" si="1"/>
        <v>1.9480519480519411E-2</v>
      </c>
    </row>
    <row r="70" spans="1:13" x14ac:dyDescent="0.25">
      <c r="A70" s="13">
        <v>69</v>
      </c>
      <c r="B70" s="14">
        <v>45949</v>
      </c>
      <c r="C70" s="15">
        <v>0.8</v>
      </c>
      <c r="D70" s="15">
        <v>0</v>
      </c>
      <c r="E70" s="15">
        <v>1.2</v>
      </c>
      <c r="F70" s="15">
        <v>0.88</v>
      </c>
      <c r="G70" s="15">
        <v>0</v>
      </c>
      <c r="H70" s="15">
        <v>0</v>
      </c>
      <c r="I70" s="15">
        <v>6.3</v>
      </c>
      <c r="J70" s="15">
        <v>12.5</v>
      </c>
      <c r="K70" s="15">
        <v>0</v>
      </c>
      <c r="L70" s="15">
        <f>((C70+D70+E70+F70+G70+I70)-(J70-K70))</f>
        <v>-3.3200000000000003</v>
      </c>
      <c r="M70" s="21">
        <f t="shared" si="1"/>
        <v>0.2656</v>
      </c>
    </row>
    <row r="71" spans="1:13" x14ac:dyDescent="0.25">
      <c r="A71" s="13">
        <v>70</v>
      </c>
      <c r="B71" s="14">
        <v>45949</v>
      </c>
      <c r="C71" s="15">
        <v>0</v>
      </c>
      <c r="D71" s="15">
        <v>0</v>
      </c>
      <c r="E71" s="15">
        <v>4.8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f>((C71+D71+E71+F71+G71+I71)-(J71-K71))</f>
        <v>4.8</v>
      </c>
      <c r="M71" s="21" t="e">
        <f t="shared" si="1"/>
        <v>#DIV/0!</v>
      </c>
    </row>
    <row r="72" spans="1:13" x14ac:dyDescent="0.25">
      <c r="A72" s="13">
        <v>71</v>
      </c>
      <c r="B72" s="14">
        <v>45949</v>
      </c>
      <c r="C72" s="15">
        <v>5.3</v>
      </c>
      <c r="D72" s="15">
        <v>0</v>
      </c>
      <c r="E72" s="15">
        <v>1.2</v>
      </c>
      <c r="F72" s="15">
        <v>0</v>
      </c>
      <c r="G72" s="15">
        <v>0.68</v>
      </c>
      <c r="H72" s="15">
        <v>0</v>
      </c>
      <c r="I72" s="15">
        <v>9</v>
      </c>
      <c r="J72" s="15">
        <v>22.9</v>
      </c>
      <c r="K72" s="15">
        <v>0</v>
      </c>
      <c r="L72" s="15">
        <f>((C72+D72+E72+F72+G72+I72)-(J72-K72))</f>
        <v>-6.7199999999999989</v>
      </c>
      <c r="M72" s="21">
        <f t="shared" si="1"/>
        <v>0.29344978165938862</v>
      </c>
    </row>
    <row r="73" spans="1:13" x14ac:dyDescent="0.25">
      <c r="A73" s="13">
        <v>72</v>
      </c>
      <c r="B73" s="14">
        <v>45949</v>
      </c>
      <c r="C73" s="15">
        <v>4</v>
      </c>
      <c r="D73" s="15">
        <v>0</v>
      </c>
      <c r="E73" s="15">
        <v>1.1000000000000001</v>
      </c>
      <c r="F73" s="15">
        <v>0</v>
      </c>
      <c r="G73" s="15">
        <v>0</v>
      </c>
      <c r="H73" s="15">
        <v>0</v>
      </c>
      <c r="I73" s="15">
        <v>6.4</v>
      </c>
      <c r="J73" s="15">
        <v>16</v>
      </c>
      <c r="K73" s="15">
        <v>0</v>
      </c>
      <c r="L73" s="15">
        <f>((C73+D73+E73+F73+G73+I73)-(J73-K73))</f>
        <v>-4.5</v>
      </c>
      <c r="M73" s="21">
        <f t="shared" si="1"/>
        <v>0.28125</v>
      </c>
    </row>
    <row r="74" spans="1:13" x14ac:dyDescent="0.25">
      <c r="A74" s="13">
        <v>73</v>
      </c>
      <c r="B74" s="14">
        <v>45949</v>
      </c>
      <c r="C74" s="15">
        <v>0</v>
      </c>
      <c r="D74" s="15">
        <v>0</v>
      </c>
      <c r="E74" s="15">
        <v>0</v>
      </c>
      <c r="F74" s="15">
        <v>0</v>
      </c>
      <c r="G74" s="15">
        <v>0</v>
      </c>
      <c r="H74" s="15">
        <v>0</v>
      </c>
      <c r="I74" s="15">
        <v>7.69</v>
      </c>
      <c r="J74" s="15">
        <v>0</v>
      </c>
      <c r="K74" s="15">
        <v>0</v>
      </c>
      <c r="L74" s="15">
        <f>((C74+D74+E74+F74+G74+I74)-(J74-K74))</f>
        <v>7.69</v>
      </c>
      <c r="M74" s="21" t="e">
        <f t="shared" si="1"/>
        <v>#DIV/0!</v>
      </c>
    </row>
    <row r="75" spans="1:13" x14ac:dyDescent="0.25">
      <c r="A75" s="13">
        <v>74</v>
      </c>
      <c r="B75" s="14">
        <v>45951</v>
      </c>
      <c r="C75" s="15">
        <v>1</v>
      </c>
      <c r="D75" s="15">
        <v>0</v>
      </c>
      <c r="E75" s="15">
        <v>1.6</v>
      </c>
      <c r="F75" s="15">
        <v>0</v>
      </c>
      <c r="G75" s="15">
        <v>0</v>
      </c>
      <c r="H75" s="15">
        <v>0</v>
      </c>
      <c r="I75" s="15">
        <v>7.6</v>
      </c>
      <c r="J75" s="15">
        <v>14.5</v>
      </c>
      <c r="K75" s="15">
        <v>2.1800000000000002</v>
      </c>
      <c r="L75" s="15">
        <f>((C75+D75+E75+F75+G75+I75)-(J75-K75))</f>
        <v>-2.120000000000001</v>
      </c>
      <c r="M75" s="21">
        <f t="shared" si="1"/>
        <v>0.17207792207792216</v>
      </c>
    </row>
    <row r="76" spans="1:13" x14ac:dyDescent="0.25">
      <c r="A76" s="13">
        <v>75</v>
      </c>
      <c r="B76" s="14">
        <v>45951</v>
      </c>
      <c r="C76" s="15">
        <v>7.1</v>
      </c>
      <c r="D76" s="15">
        <v>0</v>
      </c>
      <c r="E76" s="15">
        <v>1</v>
      </c>
      <c r="F76" s="15">
        <v>4.26</v>
      </c>
      <c r="G76" s="15">
        <v>0</v>
      </c>
      <c r="H76" s="15">
        <v>0</v>
      </c>
      <c r="I76" s="15">
        <v>12.2</v>
      </c>
      <c r="J76" s="15">
        <v>23.57</v>
      </c>
      <c r="K76" s="15">
        <v>0</v>
      </c>
      <c r="L76" s="15">
        <f>((C76+D76+E76+F76+G76+I76)-(J76-K76))</f>
        <v>0.98999999999999844</v>
      </c>
      <c r="M76" s="21">
        <f t="shared" si="1"/>
        <v>4.2002545608824708E-2</v>
      </c>
    </row>
    <row r="77" spans="1:13" x14ac:dyDescent="0.25">
      <c r="A77" s="13">
        <v>76</v>
      </c>
      <c r="B77" s="14">
        <v>45951</v>
      </c>
      <c r="C77" s="15">
        <v>0</v>
      </c>
      <c r="D77" s="15">
        <v>0</v>
      </c>
      <c r="E77" s="15">
        <v>4</v>
      </c>
      <c r="F77" s="15">
        <v>0</v>
      </c>
      <c r="G77" s="15">
        <v>0</v>
      </c>
      <c r="H77" s="15">
        <v>0</v>
      </c>
      <c r="I77" s="15">
        <v>5</v>
      </c>
      <c r="J77" s="15">
        <v>10.3</v>
      </c>
      <c r="K77" s="15">
        <v>0</v>
      </c>
      <c r="L77" s="15">
        <f>((C77+D77+E77+F77+G77+I77)-(J77-K77))</f>
        <v>-1.3000000000000007</v>
      </c>
      <c r="M77" s="21">
        <f t="shared" si="1"/>
        <v>0.12621359223300976</v>
      </c>
    </row>
    <row r="78" spans="1:13" x14ac:dyDescent="0.25">
      <c r="A78" s="13">
        <v>77</v>
      </c>
      <c r="B78" s="14">
        <v>45951</v>
      </c>
      <c r="C78" s="15">
        <v>0</v>
      </c>
      <c r="D78" s="15">
        <v>0</v>
      </c>
      <c r="E78" s="15">
        <v>1</v>
      </c>
      <c r="F78" s="15">
        <v>0</v>
      </c>
      <c r="G78" s="15">
        <v>0</v>
      </c>
      <c r="H78" s="15">
        <v>0</v>
      </c>
      <c r="I78" s="15">
        <v>17</v>
      </c>
      <c r="J78" s="15">
        <v>23.6</v>
      </c>
      <c r="K78" s="15">
        <v>0</v>
      </c>
      <c r="L78" s="15">
        <f>((C78+D78+E78+F78+G78+I78)-(J78-K78))</f>
        <v>-5.6000000000000014</v>
      </c>
      <c r="M78" s="21">
        <f t="shared" si="1"/>
        <v>0.23728813559322037</v>
      </c>
    </row>
    <row r="79" spans="1:13" x14ac:dyDescent="0.25">
      <c r="A79" s="13">
        <v>78</v>
      </c>
      <c r="B79" s="14">
        <v>45951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3.7</v>
      </c>
      <c r="J79" s="15">
        <v>0</v>
      </c>
      <c r="K79" s="15">
        <v>0</v>
      </c>
      <c r="L79" s="15">
        <f>((C79+D79+E79+F79+G79+I79)-(J79-K79))</f>
        <v>3.7</v>
      </c>
      <c r="M79" s="21" t="e">
        <f t="shared" si="1"/>
        <v>#DIV/0!</v>
      </c>
    </row>
    <row r="80" spans="1:13" x14ac:dyDescent="0.25">
      <c r="A80" s="13">
        <v>79</v>
      </c>
      <c r="B80" s="14">
        <v>45952</v>
      </c>
      <c r="C80" s="15">
        <v>0</v>
      </c>
      <c r="D80" s="15">
        <v>0</v>
      </c>
      <c r="E80" s="15">
        <v>2.8</v>
      </c>
      <c r="F80" s="15">
        <v>0</v>
      </c>
      <c r="G80" s="15">
        <v>0</v>
      </c>
      <c r="H80" s="15">
        <v>0</v>
      </c>
      <c r="I80" s="15">
        <v>5.7</v>
      </c>
      <c r="J80" s="15">
        <v>9.9</v>
      </c>
      <c r="K80" s="15">
        <v>0</v>
      </c>
      <c r="L80" s="15">
        <f>((C80+D80+E80+F80+G80+I80)-(J80-K80))</f>
        <v>-1.4000000000000004</v>
      </c>
      <c r="M80" s="21">
        <f t="shared" si="1"/>
        <v>0.14141414141414144</v>
      </c>
    </row>
    <row r="81" spans="1:13" x14ac:dyDescent="0.25">
      <c r="A81" s="13">
        <v>80</v>
      </c>
      <c r="B81" s="14">
        <v>45952</v>
      </c>
      <c r="C81" s="15">
        <v>0</v>
      </c>
      <c r="D81" s="15">
        <v>0</v>
      </c>
      <c r="E81" s="15">
        <v>1.6</v>
      </c>
      <c r="F81" s="15">
        <v>0</v>
      </c>
      <c r="G81" s="15">
        <v>0</v>
      </c>
      <c r="H81" s="15">
        <v>0</v>
      </c>
      <c r="I81" s="15">
        <v>5.4</v>
      </c>
      <c r="J81" s="15">
        <v>8.1999999999999993</v>
      </c>
      <c r="K81" s="15">
        <v>0</v>
      </c>
      <c r="L81" s="15">
        <f>((C81+D81+E81+F81+G81+I81)-(J81-K81))</f>
        <v>-1.1999999999999993</v>
      </c>
      <c r="M81" s="21">
        <f t="shared" si="1"/>
        <v>0.14634146341463408</v>
      </c>
    </row>
    <row r="82" spans="1:13" x14ac:dyDescent="0.25">
      <c r="A82" s="13">
        <v>81</v>
      </c>
      <c r="B82" s="14">
        <v>45871</v>
      </c>
      <c r="C82" s="15">
        <v>0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25.9</v>
      </c>
      <c r="J82" s="15">
        <v>33.94</v>
      </c>
      <c r="K82" s="15">
        <v>2.77</v>
      </c>
      <c r="L82" s="15">
        <f>((C82+D82+E82+F82+G82+I82)-(J82-K82))</f>
        <v>-5.27</v>
      </c>
      <c r="M82" s="21">
        <f t="shared" si="1"/>
        <v>0.16907282643567534</v>
      </c>
    </row>
    <row r="83" spans="1:13" x14ac:dyDescent="0.25">
      <c r="A83" s="13">
        <v>82</v>
      </c>
      <c r="B83" s="14">
        <v>45871</v>
      </c>
      <c r="C83" s="15">
        <v>0</v>
      </c>
      <c r="D83" s="15">
        <v>0</v>
      </c>
      <c r="E83" s="15">
        <v>0</v>
      </c>
      <c r="F83" s="15">
        <v>0</v>
      </c>
      <c r="G83" s="15">
        <v>7.0000000000000007E-2</v>
      </c>
      <c r="H83" s="15">
        <v>0</v>
      </c>
      <c r="I83" s="15">
        <v>7.18</v>
      </c>
      <c r="J83" s="15">
        <v>12.05</v>
      </c>
      <c r="K83" s="15">
        <v>0</v>
      </c>
      <c r="L83" s="15">
        <f>((C83+D83+E83+F83+G83+I83)-(J83-K83))</f>
        <v>-4.8000000000000007</v>
      </c>
      <c r="M83" s="21">
        <f t="shared" si="1"/>
        <v>0.39834024896265563</v>
      </c>
    </row>
    <row r="84" spans="1:13" x14ac:dyDescent="0.25">
      <c r="A84" s="13">
        <v>83</v>
      </c>
      <c r="B84" s="14">
        <v>45871</v>
      </c>
      <c r="C84" s="15">
        <v>0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6.99</v>
      </c>
      <c r="J84" s="15">
        <v>8.9700000000000006</v>
      </c>
      <c r="K84" s="15">
        <v>0</v>
      </c>
      <c r="L84" s="15">
        <f>((C84+D84+E84+F84+G84+I84)-(J84-K84))</f>
        <v>-1.9800000000000004</v>
      </c>
      <c r="M84" s="21">
        <f t="shared" si="1"/>
        <v>0.22073578595317728</v>
      </c>
    </row>
    <row r="85" spans="1:13" x14ac:dyDescent="0.25">
      <c r="A85" s="13">
        <v>84</v>
      </c>
      <c r="B85" s="14">
        <v>45871</v>
      </c>
      <c r="C85" s="15">
        <v>0</v>
      </c>
      <c r="D85" s="15">
        <v>0</v>
      </c>
      <c r="E85" s="15">
        <v>0</v>
      </c>
      <c r="F85" s="15">
        <v>0</v>
      </c>
      <c r="G85" s="15">
        <v>0.11</v>
      </c>
      <c r="H85" s="15">
        <v>0</v>
      </c>
      <c r="I85" s="15">
        <v>6.99</v>
      </c>
      <c r="J85" s="15">
        <v>10.039999999999999</v>
      </c>
      <c r="K85" s="15">
        <v>2.0099999999999998</v>
      </c>
      <c r="L85" s="15">
        <f>((C85+D85+E85+F85+G85+I85)-(J85-K85))</f>
        <v>-0.92999999999999883</v>
      </c>
      <c r="M85" s="21">
        <f t="shared" si="1"/>
        <v>0.11581569115815678</v>
      </c>
    </row>
    <row r="86" spans="1:13" x14ac:dyDescent="0.25">
      <c r="A86" s="13">
        <v>85</v>
      </c>
      <c r="B86" s="14">
        <v>45871</v>
      </c>
      <c r="C86" s="15">
        <v>0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>
        <v>9.43</v>
      </c>
      <c r="J86" s="15">
        <v>13.98</v>
      </c>
      <c r="K86" s="15">
        <v>0</v>
      </c>
      <c r="L86" s="15">
        <f>((C86+D86+E86+F86+G86+I86)-(J86-K86))</f>
        <v>-4.5500000000000007</v>
      </c>
      <c r="M86" s="21">
        <f t="shared" si="1"/>
        <v>0.3254649499284693</v>
      </c>
    </row>
    <row r="87" spans="1:13" x14ac:dyDescent="0.25">
      <c r="A87" s="13">
        <v>86</v>
      </c>
      <c r="B87" s="14">
        <v>45871</v>
      </c>
      <c r="C87" s="15">
        <v>0</v>
      </c>
      <c r="D87" s="15">
        <v>0</v>
      </c>
      <c r="E87" s="15">
        <v>0</v>
      </c>
      <c r="F87" s="15">
        <v>0</v>
      </c>
      <c r="G87" s="15">
        <v>0</v>
      </c>
      <c r="H87" s="15">
        <v>0</v>
      </c>
      <c r="I87" s="15">
        <v>8.98</v>
      </c>
      <c r="J87" s="15">
        <v>14.96</v>
      </c>
      <c r="K87" s="15">
        <v>0</v>
      </c>
      <c r="L87" s="15">
        <f>((C87+D87+E87+F87+G87+I87)-(J87-K87))</f>
        <v>-5.98</v>
      </c>
      <c r="M87" s="21">
        <f t="shared" si="1"/>
        <v>0.3997326203208556</v>
      </c>
    </row>
    <row r="88" spans="1:13" x14ac:dyDescent="0.25">
      <c r="A88" s="13">
        <v>87</v>
      </c>
      <c r="B88" s="14">
        <v>45871</v>
      </c>
      <c r="C88" s="15">
        <v>0</v>
      </c>
      <c r="D88" s="15">
        <v>0</v>
      </c>
      <c r="E88" s="15">
        <v>0</v>
      </c>
      <c r="F88" s="15">
        <v>0</v>
      </c>
      <c r="G88" s="15">
        <v>0.05</v>
      </c>
      <c r="H88" s="15">
        <v>0</v>
      </c>
      <c r="I88" s="15">
        <v>6.99</v>
      </c>
      <c r="J88" s="15">
        <v>11.97</v>
      </c>
      <c r="K88" s="15">
        <v>1.2</v>
      </c>
      <c r="L88" s="15">
        <f>((C88+D88+E88+F88+G88+I88)-(J88-K88))</f>
        <v>-3.7300000000000013</v>
      </c>
      <c r="M88" s="21">
        <f t="shared" si="1"/>
        <v>0.34633240482822664</v>
      </c>
    </row>
    <row r="89" spans="1:13" x14ac:dyDescent="0.25">
      <c r="A89" s="13">
        <v>88</v>
      </c>
      <c r="B89" s="14">
        <v>45871</v>
      </c>
      <c r="C89" s="15">
        <v>0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5">
        <v>6.99</v>
      </c>
      <c r="J89" s="15">
        <v>10.91</v>
      </c>
      <c r="K89" s="15">
        <v>0</v>
      </c>
      <c r="L89" s="15">
        <f>((C89+D89+E89+F89+G89+I89)-(J89-K89))</f>
        <v>-3.92</v>
      </c>
      <c r="M89" s="21">
        <f t="shared" si="1"/>
        <v>0.35930339138405132</v>
      </c>
    </row>
    <row r="90" spans="1:13" x14ac:dyDescent="0.25">
      <c r="A90" s="13">
        <v>89</v>
      </c>
      <c r="B90" s="14">
        <v>45871</v>
      </c>
      <c r="C90" s="15">
        <v>0</v>
      </c>
      <c r="D90" s="15">
        <v>0</v>
      </c>
      <c r="E90" s="15">
        <v>0</v>
      </c>
      <c r="F90" s="15">
        <v>0</v>
      </c>
      <c r="G90" s="15">
        <v>0</v>
      </c>
      <c r="H90" s="15">
        <v>0</v>
      </c>
      <c r="I90" s="15">
        <v>20.329999999999998</v>
      </c>
      <c r="J90" s="15">
        <v>29.93</v>
      </c>
      <c r="K90" s="15">
        <v>0</v>
      </c>
      <c r="L90" s="15">
        <f>((C90+D90+E90+F90+G90+I90)-(J90-K90))</f>
        <v>-9.6000000000000014</v>
      </c>
      <c r="M90" s="21">
        <f t="shared" si="1"/>
        <v>0.32074841296358175</v>
      </c>
    </row>
    <row r="91" spans="1:13" x14ac:dyDescent="0.25">
      <c r="A91" s="13">
        <v>90</v>
      </c>
      <c r="B91" s="14">
        <v>45871</v>
      </c>
      <c r="C91" s="15">
        <v>1</v>
      </c>
      <c r="D91" s="15">
        <v>0</v>
      </c>
      <c r="E91" s="15">
        <v>0</v>
      </c>
      <c r="F91" s="15">
        <v>3.66</v>
      </c>
      <c r="G91" s="15">
        <v>0</v>
      </c>
      <c r="H91" s="15">
        <v>0</v>
      </c>
      <c r="I91" s="15">
        <v>14.84</v>
      </c>
      <c r="J91" s="15">
        <v>24.96</v>
      </c>
      <c r="K91" s="15">
        <v>0</v>
      </c>
      <c r="L91" s="15">
        <f>((C91+D91+E91+F91+G91+I91)-(J91-K91))</f>
        <v>-5.4600000000000009</v>
      </c>
      <c r="M91" s="21">
        <f t="shared" si="1"/>
        <v>0.21875000000000003</v>
      </c>
    </row>
    <row r="92" spans="1:13" x14ac:dyDescent="0.25">
      <c r="A92" s="13">
        <v>91</v>
      </c>
      <c r="B92" s="14">
        <v>45871</v>
      </c>
      <c r="C92" s="15">
        <v>0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15.59</v>
      </c>
      <c r="J92" s="15">
        <v>18.95</v>
      </c>
      <c r="K92" s="15">
        <v>0</v>
      </c>
      <c r="L92" s="15">
        <f>((C92+D92+E92+F92+G92+I92)-(J92-K92))</f>
        <v>-3.3599999999999994</v>
      </c>
      <c r="M92" s="21">
        <f t="shared" si="1"/>
        <v>0.17730870712401053</v>
      </c>
    </row>
    <row r="93" spans="1:13" x14ac:dyDescent="0.25">
      <c r="A93" s="13">
        <v>92</v>
      </c>
      <c r="B93" s="14">
        <v>45871</v>
      </c>
      <c r="C93" s="15">
        <v>10</v>
      </c>
      <c r="D93" s="15">
        <v>0</v>
      </c>
      <c r="E93" s="15">
        <v>0</v>
      </c>
      <c r="F93" s="15">
        <v>0</v>
      </c>
      <c r="G93" s="15">
        <v>0</v>
      </c>
      <c r="H93" s="15">
        <v>0</v>
      </c>
      <c r="I93" s="15">
        <v>9.4499999999999993</v>
      </c>
      <c r="J93" s="15">
        <v>21.1</v>
      </c>
      <c r="K93" s="15">
        <v>10.14</v>
      </c>
      <c r="L93" s="15">
        <f>((C93+D93+E93+F93+G93+I93)-(J93-K93))</f>
        <v>8.4899999999999984</v>
      </c>
      <c r="M93" s="21">
        <f t="shared" si="1"/>
        <v>0.77463503649635013</v>
      </c>
    </row>
    <row r="94" spans="1:13" x14ac:dyDescent="0.25">
      <c r="A94" s="13">
        <v>93</v>
      </c>
      <c r="B94" s="14">
        <v>45871</v>
      </c>
      <c r="C94" s="15">
        <v>2.25</v>
      </c>
      <c r="D94" s="15">
        <v>0</v>
      </c>
      <c r="E94" s="15">
        <v>0</v>
      </c>
      <c r="F94" s="15">
        <v>0</v>
      </c>
      <c r="G94" s="15">
        <v>7.0000000000000007E-2</v>
      </c>
      <c r="H94" s="15">
        <v>0</v>
      </c>
      <c r="I94" s="15">
        <v>29.12</v>
      </c>
      <c r="J94" s="15">
        <v>45.04</v>
      </c>
      <c r="K94" s="15">
        <v>0</v>
      </c>
      <c r="L94" s="15">
        <f>((C94+D94+E94+F94+G94+I94)-(J94-K94))</f>
        <v>-13.599999999999998</v>
      </c>
      <c r="M94" s="21">
        <f>ABS(L94/(J94-K94))</f>
        <v>0.30195381882770866</v>
      </c>
    </row>
    <row r="95" spans="1:13" x14ac:dyDescent="0.25">
      <c r="A95" s="13">
        <v>94</v>
      </c>
      <c r="B95" s="14">
        <v>45871</v>
      </c>
      <c r="C95" s="15">
        <v>0</v>
      </c>
      <c r="D95" s="15">
        <v>0</v>
      </c>
      <c r="E95" s="15">
        <v>0</v>
      </c>
      <c r="F95" s="15">
        <v>0</v>
      </c>
      <c r="G95" s="15">
        <v>0</v>
      </c>
      <c r="H95" s="15">
        <v>0</v>
      </c>
      <c r="I95" s="15">
        <v>10.029999999999999</v>
      </c>
      <c r="J95" s="15">
        <v>11.93</v>
      </c>
      <c r="K95" s="15">
        <v>7.16</v>
      </c>
      <c r="L95" s="15">
        <f>((C95+D95+E95+F95+G95+I95)-(J95-K95))</f>
        <v>5.26</v>
      </c>
      <c r="M95" s="21">
        <f>ABS(L95/(J95-K95))</f>
        <v>1.1027253668763104</v>
      </c>
    </row>
    <row r="96" spans="1:13" x14ac:dyDescent="0.25">
      <c r="A96" s="13">
        <v>95</v>
      </c>
      <c r="B96" s="14">
        <v>45871</v>
      </c>
      <c r="C96" s="15">
        <v>0</v>
      </c>
      <c r="D96" s="15">
        <v>0</v>
      </c>
      <c r="E96" s="15">
        <v>0</v>
      </c>
      <c r="F96" s="15">
        <v>0</v>
      </c>
      <c r="G96" s="15">
        <v>0</v>
      </c>
      <c r="H96" s="15">
        <v>0</v>
      </c>
      <c r="I96" s="15">
        <v>4.57</v>
      </c>
      <c r="J96" s="15">
        <v>5.25</v>
      </c>
      <c r="K96" s="15">
        <v>0</v>
      </c>
      <c r="L96" s="15">
        <f>((C96+D96+E96+F96+G96+I96)-(J96-K96))</f>
        <v>-0.67999999999999972</v>
      </c>
      <c r="M96" s="21">
        <f>ABS(L96/(J96-K96))</f>
        <v>0.12952380952380946</v>
      </c>
    </row>
    <row r="97" spans="1:13" x14ac:dyDescent="0.25">
      <c r="A97" s="13">
        <v>96</v>
      </c>
      <c r="B97" s="14">
        <v>45871</v>
      </c>
      <c r="C97" s="15">
        <v>0</v>
      </c>
      <c r="D97" s="15">
        <v>0</v>
      </c>
      <c r="E97" s="15">
        <v>0</v>
      </c>
      <c r="F97" s="15">
        <v>0</v>
      </c>
      <c r="G97" s="15">
        <v>0</v>
      </c>
      <c r="H97" s="15">
        <v>0</v>
      </c>
      <c r="I97" s="15">
        <v>6.99</v>
      </c>
      <c r="J97" s="15">
        <v>8.9499999999999993</v>
      </c>
      <c r="K97" s="15">
        <v>0</v>
      </c>
      <c r="L97" s="15">
        <f>((C97+D97+E97+F97+G97+I97)-(J97-K97))</f>
        <v>-1.9599999999999991</v>
      </c>
      <c r="M97" s="21">
        <f>ABS(L97/(J97-K97))</f>
        <v>0.21899441340782114</v>
      </c>
    </row>
    <row r="98" spans="1:13" x14ac:dyDescent="0.25">
      <c r="A98" s="13">
        <v>97</v>
      </c>
      <c r="B98" s="14">
        <v>45871</v>
      </c>
      <c r="C98" s="15">
        <v>0</v>
      </c>
      <c r="D98" s="15">
        <v>0</v>
      </c>
      <c r="E98" s="15">
        <v>0</v>
      </c>
      <c r="F98" s="15">
        <v>0</v>
      </c>
      <c r="G98" s="15">
        <v>0</v>
      </c>
      <c r="H98" s="15">
        <v>0</v>
      </c>
      <c r="I98" s="15">
        <v>9.0299999999999994</v>
      </c>
      <c r="J98" s="15">
        <v>11.93</v>
      </c>
      <c r="K98" s="15">
        <v>0.97</v>
      </c>
      <c r="L98" s="15">
        <f>((C98+D98+E98+F98+G98+I98)-(J98-K98))</f>
        <v>-1.9299999999999997</v>
      </c>
      <c r="M98" s="21">
        <f>ABS(L98/(J98-K98))</f>
        <v>0.1760948905109489</v>
      </c>
    </row>
    <row r="99" spans="1:13" x14ac:dyDescent="0.25">
      <c r="A99" s="13">
        <v>98</v>
      </c>
      <c r="B99" s="14">
        <v>45871</v>
      </c>
      <c r="C99" s="15">
        <v>1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5">
        <v>9.65</v>
      </c>
      <c r="J99" s="15">
        <v>12.07</v>
      </c>
      <c r="K99" s="15">
        <v>3.15</v>
      </c>
      <c r="L99" s="15">
        <f>((C99+D99+E99+F99+G99+I99)-(J99-K99))</f>
        <v>1.7300000000000004</v>
      </c>
      <c r="M99" s="21">
        <f>ABS(L99/(J99-K99))</f>
        <v>0.19394618834080724</v>
      </c>
    </row>
    <row r="100" spans="1:13" x14ac:dyDescent="0.25">
      <c r="A100" s="13">
        <v>99</v>
      </c>
      <c r="B100" s="14">
        <v>45875</v>
      </c>
      <c r="C100" s="15">
        <v>3.75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>
        <v>6.99</v>
      </c>
      <c r="J100" s="15">
        <v>12.2</v>
      </c>
      <c r="K100" s="15">
        <v>3.26</v>
      </c>
      <c r="L100" s="15">
        <f>((C100+D100+E100+F100+G100+I100)-(J100-K100))</f>
        <v>1.8000000000000007</v>
      </c>
      <c r="M100" s="21">
        <f>ABS(L100/(J100-K100))</f>
        <v>0.20134228187919473</v>
      </c>
    </row>
    <row r="101" spans="1:13" x14ac:dyDescent="0.25">
      <c r="A101" s="13">
        <v>100</v>
      </c>
      <c r="B101" s="14">
        <v>45875</v>
      </c>
      <c r="C101" s="15">
        <v>4.25</v>
      </c>
      <c r="D101" s="15">
        <v>0</v>
      </c>
      <c r="E101" s="15">
        <v>0</v>
      </c>
      <c r="F101" s="15">
        <v>0</v>
      </c>
      <c r="G101" s="15">
        <v>0</v>
      </c>
      <c r="H101" s="15">
        <v>0</v>
      </c>
      <c r="I101" s="15">
        <v>8.76</v>
      </c>
      <c r="J101" s="15">
        <v>14.69</v>
      </c>
      <c r="K101" s="15">
        <v>5.72</v>
      </c>
      <c r="L101" s="15">
        <f>((C101+D101+E101+F101+G101+I101)-(J101-K101))</f>
        <v>4.0400000000000009</v>
      </c>
      <c r="M101" s="21">
        <f>ABS(L101/(J101-K101))</f>
        <v>0.45039018952062448</v>
      </c>
    </row>
    <row r="102" spans="1:13" x14ac:dyDescent="0.25">
      <c r="A102" s="13">
        <v>101</v>
      </c>
      <c r="B102" s="14">
        <v>45875</v>
      </c>
      <c r="C102" s="15">
        <v>3.25</v>
      </c>
      <c r="D102" s="15">
        <v>0</v>
      </c>
      <c r="E102" s="15">
        <v>0</v>
      </c>
      <c r="F102" s="15">
        <v>0</v>
      </c>
      <c r="G102" s="15">
        <v>0</v>
      </c>
      <c r="H102" s="15">
        <v>0</v>
      </c>
      <c r="I102" s="15">
        <v>8.98</v>
      </c>
      <c r="J102" s="15">
        <v>14.21</v>
      </c>
      <c r="K102" s="15">
        <v>0.3</v>
      </c>
      <c r="L102" s="15">
        <f>((C102+D102+E102+F102+G102+I102)-(J102-K102))</f>
        <v>-1.6799999999999997</v>
      </c>
      <c r="M102" s="21">
        <f>ABS(L102/(J102-K102))</f>
        <v>0.12077641984184039</v>
      </c>
    </row>
    <row r="103" spans="1:13" x14ac:dyDescent="0.25">
      <c r="A103" s="13">
        <v>102</v>
      </c>
      <c r="B103" s="14">
        <v>45875</v>
      </c>
      <c r="C103" s="15">
        <v>0</v>
      </c>
      <c r="D103" s="15">
        <v>0</v>
      </c>
      <c r="E103" s="15">
        <v>0</v>
      </c>
      <c r="F103" s="15">
        <v>0</v>
      </c>
      <c r="G103" s="15">
        <v>0</v>
      </c>
      <c r="H103" s="15">
        <v>0</v>
      </c>
      <c r="I103" s="15">
        <v>19.02</v>
      </c>
      <c r="J103" s="15">
        <v>22.95</v>
      </c>
      <c r="K103" s="15">
        <v>0</v>
      </c>
      <c r="L103" s="15">
        <f>((C103+D103+E103+F103+G103+I103)-(J103-K103))</f>
        <v>-3.9299999999999997</v>
      </c>
      <c r="M103" s="21">
        <f>ABS(L103/(J103-K103))</f>
        <v>0.17124183006535948</v>
      </c>
    </row>
    <row r="104" spans="1:13" x14ac:dyDescent="0.25">
      <c r="A104" s="13">
        <v>103</v>
      </c>
      <c r="B104" s="14">
        <v>45875</v>
      </c>
      <c r="C104" s="15">
        <v>3</v>
      </c>
      <c r="D104" s="15">
        <v>0</v>
      </c>
      <c r="E104" s="15">
        <v>0</v>
      </c>
      <c r="F104" s="15">
        <v>0</v>
      </c>
      <c r="G104" s="15">
        <v>0</v>
      </c>
      <c r="H104" s="15">
        <v>0</v>
      </c>
      <c r="I104" s="15">
        <v>16.29</v>
      </c>
      <c r="J104" s="15">
        <v>21.58</v>
      </c>
      <c r="K104" s="15">
        <v>2.62</v>
      </c>
      <c r="L104" s="15">
        <f>((C104+D104+E104+F104+G104+I104)-(J104-K104))</f>
        <v>0.33000000000000185</v>
      </c>
      <c r="M104" s="21">
        <f>ABS(L104/(J104-K104))</f>
        <v>1.740506329113934E-2</v>
      </c>
    </row>
    <row r="105" spans="1:13" x14ac:dyDescent="0.25">
      <c r="A105" s="13">
        <v>104</v>
      </c>
      <c r="B105" s="14">
        <v>45875</v>
      </c>
      <c r="C105" s="15">
        <v>3</v>
      </c>
      <c r="D105" s="15">
        <v>0</v>
      </c>
      <c r="E105" s="15">
        <v>0</v>
      </c>
      <c r="F105" s="15">
        <v>0</v>
      </c>
      <c r="G105" s="15">
        <v>0.34</v>
      </c>
      <c r="H105" s="15">
        <v>0</v>
      </c>
      <c r="I105" s="15">
        <v>6.99</v>
      </c>
      <c r="J105" s="15">
        <v>12.35</v>
      </c>
      <c r="K105" s="15">
        <v>1.71</v>
      </c>
      <c r="L105" s="15">
        <f>((C105+D105+E105+F105+G105+I105)-(J105-K105))</f>
        <v>-0.3100000000000005</v>
      </c>
      <c r="M105" s="21">
        <f>ABS(L105/(J105-K105))</f>
        <v>2.9135338345864705E-2</v>
      </c>
    </row>
    <row r="106" spans="1:13" x14ac:dyDescent="0.25">
      <c r="A106" s="13">
        <v>105</v>
      </c>
      <c r="B106" s="14">
        <v>45876</v>
      </c>
      <c r="C106" s="15">
        <v>0</v>
      </c>
      <c r="D106" s="15">
        <v>0</v>
      </c>
      <c r="E106" s="15">
        <v>0</v>
      </c>
      <c r="F106" s="15">
        <v>0</v>
      </c>
      <c r="G106" s="15">
        <v>0</v>
      </c>
      <c r="H106" s="15">
        <v>0</v>
      </c>
      <c r="I106" s="15">
        <v>4.57</v>
      </c>
      <c r="J106" s="15">
        <v>0</v>
      </c>
      <c r="K106" s="15">
        <v>0</v>
      </c>
      <c r="L106" s="15">
        <f>((C106+D106+E106+F106+G106+I106)-(J106-K106))</f>
        <v>4.57</v>
      </c>
      <c r="M106" s="21" t="e">
        <f>ABS(L106/(J106-K106))</f>
        <v>#DIV/0!</v>
      </c>
    </row>
    <row r="107" spans="1:13" x14ac:dyDescent="0.25">
      <c r="A107" s="13">
        <v>106</v>
      </c>
      <c r="B107" s="14">
        <v>45876</v>
      </c>
      <c r="C107" s="15">
        <v>1.5</v>
      </c>
      <c r="D107" s="15">
        <v>0</v>
      </c>
      <c r="E107" s="15">
        <v>0</v>
      </c>
      <c r="F107" s="15">
        <v>3.66</v>
      </c>
      <c r="G107" s="15">
        <v>0</v>
      </c>
      <c r="H107" s="15">
        <v>0</v>
      </c>
      <c r="I107" s="15">
        <v>8.17</v>
      </c>
      <c r="J107" s="15">
        <v>18.13</v>
      </c>
      <c r="K107" s="15">
        <v>0</v>
      </c>
      <c r="L107" s="15">
        <f>((C107+D107+E107+F107+G107+I107)-(J107-K107))</f>
        <v>-4.7999999999999989</v>
      </c>
      <c r="M107" s="21">
        <f>ABS(L107/(J107-K107))</f>
        <v>0.26475455046883611</v>
      </c>
    </row>
    <row r="108" spans="1:13" x14ac:dyDescent="0.25">
      <c r="A108" s="13">
        <v>107</v>
      </c>
      <c r="B108" s="14">
        <v>45876</v>
      </c>
      <c r="C108" s="15">
        <v>3.5</v>
      </c>
      <c r="D108" s="15">
        <v>0</v>
      </c>
      <c r="E108" s="15">
        <v>0</v>
      </c>
      <c r="F108" s="15">
        <v>0</v>
      </c>
      <c r="G108" s="15">
        <v>0.14000000000000001</v>
      </c>
      <c r="H108" s="15">
        <v>0</v>
      </c>
      <c r="I108" s="15">
        <v>9.4700000000000006</v>
      </c>
      <c r="J108" s="15">
        <v>14.85</v>
      </c>
      <c r="K108" s="15">
        <v>1.76</v>
      </c>
      <c r="L108" s="15">
        <f>((C108+D108+E108+F108+G108+I108)-(J108-K108))</f>
        <v>2.000000000000135E-2</v>
      </c>
      <c r="M108" s="21">
        <f>ABS(L108/(J108-K108))</f>
        <v>1.5278838808251605E-3</v>
      </c>
    </row>
    <row r="109" spans="1:13" x14ac:dyDescent="0.25">
      <c r="A109" s="13">
        <v>108</v>
      </c>
      <c r="B109" s="14">
        <v>45876</v>
      </c>
      <c r="C109" s="15">
        <v>1.5</v>
      </c>
      <c r="D109" s="15">
        <v>0</v>
      </c>
      <c r="E109" s="15">
        <v>0</v>
      </c>
      <c r="F109" s="15">
        <v>3.66</v>
      </c>
      <c r="G109" s="15">
        <v>0</v>
      </c>
      <c r="H109" s="15">
        <v>0</v>
      </c>
      <c r="I109" s="15">
        <v>9.0299999999999994</v>
      </c>
      <c r="J109" s="15">
        <v>17.05</v>
      </c>
      <c r="K109" s="15">
        <v>0</v>
      </c>
      <c r="L109" s="15">
        <f>((C109+D109+E109+F109+G109+I109)-(J109-K109))</f>
        <v>-2.8600000000000012</v>
      </c>
      <c r="M109" s="21">
        <f>ABS(L109/(J109-K109))</f>
        <v>0.16774193548387104</v>
      </c>
    </row>
    <row r="110" spans="1:13" x14ac:dyDescent="0.25">
      <c r="A110" s="13">
        <v>109</v>
      </c>
      <c r="B110" s="14">
        <v>45876</v>
      </c>
      <c r="C110" s="15">
        <v>1</v>
      </c>
      <c r="D110" s="15">
        <v>0</v>
      </c>
      <c r="E110" s="15">
        <v>0</v>
      </c>
      <c r="F110" s="15">
        <v>0</v>
      </c>
      <c r="G110" s="15">
        <v>0</v>
      </c>
      <c r="H110" s="15">
        <v>0</v>
      </c>
      <c r="I110" s="15">
        <v>6.99</v>
      </c>
      <c r="J110" s="15">
        <v>9.36</v>
      </c>
      <c r="K110" s="15">
        <v>1.42</v>
      </c>
      <c r="L110" s="15">
        <f>((C110+D110+E110+F110+G110+I110)-(J110-K110))</f>
        <v>5.0000000000000711E-2</v>
      </c>
      <c r="M110" s="21">
        <f>ABS(L110/(J110-K110))</f>
        <v>6.2972292191436664E-3</v>
      </c>
    </row>
    <row r="111" spans="1:13" x14ac:dyDescent="0.25">
      <c r="A111" s="13">
        <v>110</v>
      </c>
      <c r="B111" s="14">
        <v>45876</v>
      </c>
      <c r="C111" s="15">
        <v>0</v>
      </c>
      <c r="D111" s="15">
        <v>0</v>
      </c>
      <c r="E111" s="15">
        <v>0</v>
      </c>
      <c r="F111" s="15">
        <v>0</v>
      </c>
      <c r="G111" s="15">
        <v>0</v>
      </c>
      <c r="H111" s="15">
        <v>0</v>
      </c>
      <c r="I111" s="15">
        <v>1.86</v>
      </c>
      <c r="J111" s="15">
        <v>2.13</v>
      </c>
      <c r="K111" s="15">
        <v>0</v>
      </c>
      <c r="L111" s="15">
        <f>((C111+D111+E111+F111+G111+I111)-(J111-K111))</f>
        <v>-0.2699999999999998</v>
      </c>
      <c r="M111" s="21">
        <f>ABS(L111/(J111-K111))</f>
        <v>0.1267605633802816</v>
      </c>
    </row>
    <row r="112" spans="1:13" x14ac:dyDescent="0.25">
      <c r="A112" s="13">
        <v>111</v>
      </c>
      <c r="B112" s="14">
        <v>45876</v>
      </c>
      <c r="C112" s="15">
        <v>1.5</v>
      </c>
      <c r="D112" s="15">
        <v>0</v>
      </c>
      <c r="E112" s="15">
        <v>0</v>
      </c>
      <c r="F112" s="15">
        <v>0</v>
      </c>
      <c r="G112" s="15">
        <v>0</v>
      </c>
      <c r="H112" s="15">
        <v>0</v>
      </c>
      <c r="I112" s="15">
        <v>18.559999999999999</v>
      </c>
      <c r="J112" s="15">
        <v>22.28</v>
      </c>
      <c r="K112" s="15">
        <v>2.33</v>
      </c>
      <c r="L112" s="15">
        <f>((C112+D112+E112+F112+G112+I112)-(J112-K112))</f>
        <v>0.10999999999999588</v>
      </c>
      <c r="M112" s="21">
        <f>ABS(L112/(J112-K112))</f>
        <v>5.5137844611526749E-3</v>
      </c>
    </row>
    <row r="113" spans="1:13" x14ac:dyDescent="0.25">
      <c r="A113" s="13">
        <v>112</v>
      </c>
      <c r="B113" s="14">
        <v>45876</v>
      </c>
      <c r="C113" s="15">
        <v>2</v>
      </c>
      <c r="D113" s="15">
        <v>0</v>
      </c>
      <c r="E113" s="15">
        <v>0</v>
      </c>
      <c r="F113" s="15">
        <v>0</v>
      </c>
      <c r="G113" s="15">
        <v>0</v>
      </c>
      <c r="H113" s="15">
        <v>0</v>
      </c>
      <c r="I113" s="15">
        <v>12.17</v>
      </c>
      <c r="J113" s="15">
        <v>18.96</v>
      </c>
      <c r="K113" s="15">
        <v>4.38</v>
      </c>
      <c r="L113" s="15">
        <f>((C113+D113+E113+F113+G113+I113)-(J113-K113))</f>
        <v>-0.41000000000000192</v>
      </c>
      <c r="M113" s="21">
        <f>ABS(L113/(J113-K113))</f>
        <v>2.8120713305898618E-2</v>
      </c>
    </row>
    <row r="114" spans="1:13" x14ac:dyDescent="0.25">
      <c r="A114" s="13">
        <v>113</v>
      </c>
      <c r="B114" s="14">
        <v>45878</v>
      </c>
      <c r="C114" s="15">
        <v>0</v>
      </c>
      <c r="D114" s="15">
        <v>0</v>
      </c>
      <c r="E114" s="15">
        <v>0</v>
      </c>
      <c r="F114" s="15">
        <v>0</v>
      </c>
      <c r="G114" s="15">
        <v>0</v>
      </c>
      <c r="H114" s="15">
        <v>0</v>
      </c>
      <c r="I114" s="15">
        <v>27.65</v>
      </c>
      <c r="J114" s="15">
        <v>31.97</v>
      </c>
      <c r="K114" s="15">
        <v>7.99</v>
      </c>
      <c r="L114" s="15">
        <f>((C114+D114+E114+F114+G114+I114)-(J114-K114))</f>
        <v>3.6700000000000017</v>
      </c>
      <c r="M114" s="21">
        <f>ABS(L114/(J114-K114))</f>
        <v>0.1530442035029192</v>
      </c>
    </row>
    <row r="115" spans="1:13" x14ac:dyDescent="0.25">
      <c r="A115" s="13">
        <v>114</v>
      </c>
      <c r="B115" s="14">
        <v>45878</v>
      </c>
      <c r="C115" s="15">
        <v>1.5</v>
      </c>
      <c r="D115" s="15">
        <v>0</v>
      </c>
      <c r="E115" s="15">
        <v>0</v>
      </c>
      <c r="F115" s="15">
        <v>0</v>
      </c>
      <c r="G115" s="15">
        <v>0</v>
      </c>
      <c r="H115" s="15">
        <v>0</v>
      </c>
      <c r="I115" s="15">
        <v>24.25</v>
      </c>
      <c r="J115" s="15">
        <v>38.94</v>
      </c>
      <c r="K115" s="15">
        <v>0</v>
      </c>
      <c r="L115" s="15">
        <f>((C115+D115+E115+F115+G115+I115)-(J115-K115))</f>
        <v>-13.189999999999998</v>
      </c>
      <c r="M115" s="21">
        <f>ABS(L115/(J115-K115))</f>
        <v>0.33872624550590646</v>
      </c>
    </row>
    <row r="116" spans="1:13" x14ac:dyDescent="0.25">
      <c r="A116" s="13">
        <v>115</v>
      </c>
      <c r="B116" s="14">
        <v>45878</v>
      </c>
      <c r="C116" s="15">
        <v>2.25</v>
      </c>
      <c r="D116" s="15">
        <v>0</v>
      </c>
      <c r="E116" s="15">
        <v>0</v>
      </c>
      <c r="F116" s="15">
        <v>3.66</v>
      </c>
      <c r="G116" s="15">
        <v>0</v>
      </c>
      <c r="H116" s="15">
        <v>0</v>
      </c>
      <c r="I116" s="15">
        <v>10.16</v>
      </c>
      <c r="J116" s="15">
        <v>20.43</v>
      </c>
      <c r="K116" s="15">
        <v>0</v>
      </c>
      <c r="L116" s="15">
        <f>((C116+D116+E116+F116+G116+I116)-(J116-K116))</f>
        <v>-4.3599999999999994</v>
      </c>
      <c r="M116" s="21">
        <f>ABS(L116/(J116-K116))</f>
        <v>0.21341164953499753</v>
      </c>
    </row>
    <row r="117" spans="1:13" x14ac:dyDescent="0.25">
      <c r="A117" s="13">
        <v>116</v>
      </c>
      <c r="B117" s="14">
        <v>45878</v>
      </c>
      <c r="C117" s="15">
        <v>0</v>
      </c>
      <c r="D117" s="15">
        <v>0</v>
      </c>
      <c r="E117" s="15">
        <v>0</v>
      </c>
      <c r="F117" s="15">
        <v>3.66</v>
      </c>
      <c r="G117" s="15">
        <v>0</v>
      </c>
      <c r="H117" s="15">
        <v>0</v>
      </c>
      <c r="I117" s="15">
        <v>6.99</v>
      </c>
      <c r="J117" s="15">
        <v>13.92</v>
      </c>
      <c r="K117" s="15">
        <v>0.7</v>
      </c>
      <c r="L117" s="15">
        <f>((C117+D117+E117+F117+G117+I117)-(J117-K117))</f>
        <v>-2.5700000000000003</v>
      </c>
      <c r="M117" s="21">
        <f>ABS(L117/(J117-K117))</f>
        <v>0.19440242057488655</v>
      </c>
    </row>
    <row r="118" spans="1:13" x14ac:dyDescent="0.25">
      <c r="A118" s="13">
        <v>117</v>
      </c>
      <c r="B118" s="14">
        <v>45878</v>
      </c>
      <c r="C118" s="15">
        <v>0</v>
      </c>
      <c r="D118" s="15">
        <v>0</v>
      </c>
      <c r="E118" s="15">
        <v>0</v>
      </c>
      <c r="F118" s="15">
        <v>0</v>
      </c>
      <c r="G118" s="15">
        <v>0</v>
      </c>
      <c r="H118" s="15">
        <v>0</v>
      </c>
      <c r="I118" s="15">
        <v>8.57</v>
      </c>
      <c r="J118" s="15">
        <v>10.01</v>
      </c>
      <c r="K118" s="15">
        <v>0.06</v>
      </c>
      <c r="L118" s="15">
        <f>((C118+D118+E118+F118+G118+I118)-(J118-K118))</f>
        <v>-1.379999999999999</v>
      </c>
      <c r="M118" s="21">
        <f>ABS(L118/(J118-K118))</f>
        <v>0.13869346733668333</v>
      </c>
    </row>
    <row r="119" spans="1:13" x14ac:dyDescent="0.25">
      <c r="A119" s="13">
        <v>118</v>
      </c>
      <c r="B119" s="14">
        <v>45878</v>
      </c>
      <c r="C119" s="15">
        <v>0</v>
      </c>
      <c r="D119" s="15">
        <v>0</v>
      </c>
      <c r="E119" s="15">
        <v>0</v>
      </c>
      <c r="F119" s="15">
        <v>3.66</v>
      </c>
      <c r="G119" s="15">
        <v>0</v>
      </c>
      <c r="H119" s="15">
        <v>0</v>
      </c>
      <c r="I119" s="15">
        <v>22.02</v>
      </c>
      <c r="J119" s="15">
        <v>31.5</v>
      </c>
      <c r="K119" s="15">
        <v>0</v>
      </c>
      <c r="L119" s="15">
        <f>((C119+D119+E119+F119+G119+I119)-(J119-K119))</f>
        <v>-5.82</v>
      </c>
      <c r="M119" s="21">
        <f>ABS(L119/(J119-K119))</f>
        <v>0.18476190476190477</v>
      </c>
    </row>
    <row r="120" spans="1:13" x14ac:dyDescent="0.25">
      <c r="A120" s="13">
        <v>119</v>
      </c>
      <c r="B120" s="14">
        <v>45878</v>
      </c>
      <c r="C120" s="15">
        <v>0</v>
      </c>
      <c r="D120" s="15">
        <v>0</v>
      </c>
      <c r="E120" s="15">
        <v>0</v>
      </c>
      <c r="F120" s="15">
        <v>0</v>
      </c>
      <c r="G120" s="15">
        <v>0</v>
      </c>
      <c r="H120" s="15">
        <v>3</v>
      </c>
      <c r="I120" s="15">
        <v>17.32</v>
      </c>
      <c r="J120" s="15">
        <v>19.920000000000002</v>
      </c>
      <c r="K120" s="15">
        <v>6.97</v>
      </c>
      <c r="L120" s="15">
        <f>((C120+D120+E120+F120+G120+I120)-(J120-K120))</f>
        <v>4.3699999999999974</v>
      </c>
      <c r="M120" s="21">
        <f>ABS(L120/(J120-K120))</f>
        <v>0.33745173745173718</v>
      </c>
    </row>
    <row r="121" spans="1:13" x14ac:dyDescent="0.25">
      <c r="A121" s="13">
        <v>120</v>
      </c>
      <c r="B121" s="14">
        <v>45878</v>
      </c>
      <c r="C121" s="15">
        <v>0</v>
      </c>
      <c r="D121" s="15">
        <v>0</v>
      </c>
      <c r="E121" s="15">
        <v>0</v>
      </c>
      <c r="F121" s="15">
        <v>0</v>
      </c>
      <c r="G121" s="15">
        <v>0.51</v>
      </c>
      <c r="H121" s="15">
        <v>0</v>
      </c>
      <c r="I121" s="15">
        <v>33.03</v>
      </c>
      <c r="J121" s="15">
        <v>38.159999999999997</v>
      </c>
      <c r="K121" s="15">
        <v>3.6</v>
      </c>
      <c r="L121" s="15">
        <f>((C121+D121+E121+F121+G121+I121)-(J121-K121))</f>
        <v>-1.019999999999996</v>
      </c>
      <c r="M121" s="21">
        <f>ABS(L121/(J121-K121))</f>
        <v>2.9513888888888777E-2</v>
      </c>
    </row>
    <row r="122" spans="1:13" x14ac:dyDescent="0.25">
      <c r="A122" s="13">
        <v>121</v>
      </c>
      <c r="B122" s="14">
        <v>45878</v>
      </c>
      <c r="C122" s="15">
        <v>3.75</v>
      </c>
      <c r="D122" s="15">
        <v>0</v>
      </c>
      <c r="E122" s="15">
        <v>0</v>
      </c>
      <c r="F122" s="15">
        <v>0</v>
      </c>
      <c r="G122" s="15">
        <v>0</v>
      </c>
      <c r="H122" s="15">
        <v>0</v>
      </c>
      <c r="I122" s="15">
        <v>21.24</v>
      </c>
      <c r="J122" s="15">
        <v>28.39</v>
      </c>
      <c r="K122" s="15">
        <v>1.84</v>
      </c>
      <c r="L122" s="15">
        <f>((C122+D122+E122+F122+G122+I122)-(J122-K122))</f>
        <v>-1.5600000000000023</v>
      </c>
      <c r="M122" s="21">
        <f>ABS(L122/(J122-K122))</f>
        <v>5.875706214689274E-2</v>
      </c>
    </row>
    <row r="123" spans="1:13" x14ac:dyDescent="0.25">
      <c r="A123" s="13">
        <v>122</v>
      </c>
      <c r="B123" s="14">
        <v>45878</v>
      </c>
      <c r="C123" s="15">
        <v>1.75</v>
      </c>
      <c r="D123" s="15">
        <v>0</v>
      </c>
      <c r="E123" s="15">
        <v>0</v>
      </c>
      <c r="F123" s="15">
        <v>0</v>
      </c>
      <c r="G123" s="15">
        <v>0</v>
      </c>
      <c r="H123" s="15">
        <v>0</v>
      </c>
      <c r="I123" s="15">
        <v>7.61</v>
      </c>
      <c r="J123" s="15">
        <v>11.01</v>
      </c>
      <c r="K123" s="15">
        <v>0.05</v>
      </c>
      <c r="L123" s="15">
        <f>((C123+D123+E123+F123+G123+I123)-(J123-K123))</f>
        <v>-1.5999999999999996</v>
      </c>
      <c r="M123" s="21">
        <f>ABS(L123/(J123-K123))</f>
        <v>0.145985401459854</v>
      </c>
    </row>
    <row r="124" spans="1:13" x14ac:dyDescent="0.25">
      <c r="A124" s="13">
        <v>123</v>
      </c>
      <c r="B124" s="14">
        <v>45878</v>
      </c>
      <c r="C124" s="15">
        <v>0</v>
      </c>
      <c r="D124" s="15">
        <v>0</v>
      </c>
      <c r="E124" s="15">
        <v>0</v>
      </c>
      <c r="F124" s="15">
        <v>0</v>
      </c>
      <c r="G124" s="15">
        <v>0</v>
      </c>
      <c r="H124" s="15">
        <v>0</v>
      </c>
      <c r="I124" s="15">
        <v>8.25</v>
      </c>
      <c r="J124" s="15">
        <v>9.65</v>
      </c>
      <c r="K124" s="15">
        <v>1.73</v>
      </c>
      <c r="L124" s="15">
        <f>((C124+D124+E124+F124+G124+I124)-(J124-K124))</f>
        <v>0.33000000000000007</v>
      </c>
      <c r="M124" s="21">
        <f>ABS(L124/(J124-K124))</f>
        <v>4.1666666666666678E-2</v>
      </c>
    </row>
    <row r="125" spans="1:13" x14ac:dyDescent="0.25">
      <c r="A125" s="13">
        <v>124</v>
      </c>
      <c r="B125" s="14">
        <v>45880</v>
      </c>
      <c r="C125" s="15">
        <v>3.75</v>
      </c>
      <c r="D125" s="15">
        <v>0</v>
      </c>
      <c r="E125" s="15">
        <v>0</v>
      </c>
      <c r="F125" s="15">
        <v>0</v>
      </c>
      <c r="G125" s="15">
        <v>0</v>
      </c>
      <c r="H125" s="15">
        <v>0</v>
      </c>
      <c r="I125" s="15">
        <v>14.74</v>
      </c>
      <c r="J125" s="15">
        <v>20.74</v>
      </c>
      <c r="K125" s="15">
        <v>1.81</v>
      </c>
      <c r="L125" s="15">
        <f>((C125+D125+E125+F125+G125+I125)-(J125-K125))</f>
        <v>-0.43999999999999773</v>
      </c>
      <c r="M125" s="21">
        <f>ABS(L125/(J125-K125))</f>
        <v>2.3243528790279858E-2</v>
      </c>
    </row>
    <row r="126" spans="1:13" x14ac:dyDescent="0.25">
      <c r="A126" s="13">
        <v>125</v>
      </c>
      <c r="B126" s="14">
        <v>45880</v>
      </c>
      <c r="C126" s="15">
        <v>0</v>
      </c>
      <c r="D126" s="15">
        <v>0</v>
      </c>
      <c r="E126" s="15">
        <v>0</v>
      </c>
      <c r="F126" s="15">
        <v>0</v>
      </c>
      <c r="G126" s="15">
        <v>0</v>
      </c>
      <c r="H126" s="15">
        <v>0</v>
      </c>
      <c r="I126" s="15">
        <v>10.45</v>
      </c>
      <c r="J126" s="15">
        <v>12.2</v>
      </c>
      <c r="K126" s="15">
        <v>1.27</v>
      </c>
      <c r="L126" s="15">
        <f>((C126+D126+E126+F126+G126+I126)-(J126-K126))</f>
        <v>-0.48000000000000043</v>
      </c>
      <c r="M126" s="21">
        <f>ABS(L126/(J126-K126))</f>
        <v>4.391582799634039E-2</v>
      </c>
    </row>
    <row r="127" spans="1:13" x14ac:dyDescent="0.25">
      <c r="A127" s="13">
        <v>126</v>
      </c>
      <c r="B127" s="14">
        <v>45880</v>
      </c>
      <c r="C127" s="15">
        <v>0</v>
      </c>
      <c r="D127" s="15">
        <v>0</v>
      </c>
      <c r="E127" s="15">
        <v>0</v>
      </c>
      <c r="F127" s="15">
        <v>0</v>
      </c>
      <c r="G127" s="15">
        <v>0.17</v>
      </c>
      <c r="H127" s="15">
        <v>0</v>
      </c>
      <c r="I127" s="15">
        <v>8.64</v>
      </c>
      <c r="J127" s="15">
        <v>11.11</v>
      </c>
      <c r="K127" s="15">
        <v>0</v>
      </c>
      <c r="L127" s="15">
        <f>((C127+D127+E127+F127+G127+I127)-(J127-K127))</f>
        <v>-2.2999999999999989</v>
      </c>
      <c r="M127" s="21">
        <f>ABS(L127/(J127-K127))</f>
        <v>0.20702070207020692</v>
      </c>
    </row>
    <row r="128" spans="1:13" x14ac:dyDescent="0.25">
      <c r="A128" s="13">
        <v>127</v>
      </c>
      <c r="B128" s="14">
        <v>45880</v>
      </c>
      <c r="C128" s="15">
        <v>0</v>
      </c>
      <c r="D128" s="15">
        <v>0</v>
      </c>
      <c r="E128" s="15">
        <v>0</v>
      </c>
      <c r="F128" s="15">
        <v>0</v>
      </c>
      <c r="G128" s="15">
        <v>0.69</v>
      </c>
      <c r="H128" s="15">
        <v>0</v>
      </c>
      <c r="I128" s="15">
        <v>11.28</v>
      </c>
      <c r="J128" s="15">
        <v>13.83</v>
      </c>
      <c r="K128" s="15">
        <v>0.11</v>
      </c>
      <c r="L128" s="15">
        <f>((C128+D128+E128+F128+G128+I128)-(J128-K128))</f>
        <v>-1.7500000000000018</v>
      </c>
      <c r="M128" s="21">
        <f>ABS(L128/(J128-K128))</f>
        <v>0.12755102040816338</v>
      </c>
    </row>
    <row r="129" spans="1:13" x14ac:dyDescent="0.25">
      <c r="A129" s="13">
        <v>128</v>
      </c>
      <c r="B129" s="14">
        <v>45891</v>
      </c>
      <c r="C129" s="15">
        <v>0</v>
      </c>
      <c r="D129" s="15">
        <v>0</v>
      </c>
      <c r="E129" s="15">
        <v>0</v>
      </c>
      <c r="F129" s="15">
        <v>0</v>
      </c>
      <c r="G129" s="15">
        <v>0</v>
      </c>
      <c r="H129" s="15">
        <v>0</v>
      </c>
      <c r="I129" s="15">
        <v>15.76</v>
      </c>
      <c r="J129" s="15">
        <v>17.82</v>
      </c>
      <c r="K129" s="15">
        <v>3.45</v>
      </c>
      <c r="L129" s="15">
        <f>((C129+D129+E129+F129+G129+I129)-(J129-K129))</f>
        <v>1.3899999999999988</v>
      </c>
      <c r="M129" s="21">
        <f>ABS(L129/(J129-K129))</f>
        <v>9.6729297146833593E-2</v>
      </c>
    </row>
    <row r="130" spans="1:13" x14ac:dyDescent="0.25">
      <c r="A130" s="13">
        <v>129</v>
      </c>
      <c r="B130" s="14">
        <v>45891</v>
      </c>
      <c r="C130" s="15">
        <v>0</v>
      </c>
      <c r="D130" s="15">
        <v>0</v>
      </c>
      <c r="E130" s="15">
        <v>0</v>
      </c>
      <c r="F130" s="15">
        <v>0</v>
      </c>
      <c r="G130" s="15">
        <v>0</v>
      </c>
      <c r="H130" s="15">
        <v>0</v>
      </c>
      <c r="I130" s="15">
        <v>14.92</v>
      </c>
      <c r="J130" s="15">
        <v>16.72</v>
      </c>
      <c r="K130" s="15">
        <v>3.78</v>
      </c>
      <c r="L130" s="15">
        <f>((C130+D130+E130+F130+G130+I130)-(J130-K130))</f>
        <v>1.9800000000000004</v>
      </c>
      <c r="M130" s="21">
        <f>ABS(L130/(J130-K130))</f>
        <v>0.15301391035548689</v>
      </c>
    </row>
    <row r="131" spans="1:13" x14ac:dyDescent="0.25">
      <c r="A131" s="13">
        <v>130</v>
      </c>
      <c r="B131" s="14">
        <v>45891</v>
      </c>
      <c r="C131" s="15">
        <v>0</v>
      </c>
      <c r="D131" s="15">
        <v>0</v>
      </c>
      <c r="E131" s="15">
        <v>0</v>
      </c>
      <c r="F131" s="15">
        <v>0</v>
      </c>
      <c r="G131" s="15">
        <v>0.56000000000000005</v>
      </c>
      <c r="H131" s="15">
        <v>0</v>
      </c>
      <c r="I131" s="15">
        <v>10.44</v>
      </c>
      <c r="J131" s="15">
        <v>12.53</v>
      </c>
      <c r="K131" s="15">
        <v>1.91</v>
      </c>
      <c r="L131" s="15">
        <f>((C131+D131+E131+F131+G131+I131)-(J131-K131))</f>
        <v>0.38000000000000078</v>
      </c>
      <c r="M131" s="21">
        <f>ABS(L131/(J131-K131))</f>
        <v>3.5781544256120602E-2</v>
      </c>
    </row>
    <row r="132" spans="1:13" x14ac:dyDescent="0.25">
      <c r="A132" s="13">
        <v>131</v>
      </c>
      <c r="B132" s="14">
        <v>45892</v>
      </c>
      <c r="C132" s="15">
        <v>3.25</v>
      </c>
      <c r="D132" s="15">
        <v>0</v>
      </c>
      <c r="E132" s="15">
        <v>0</v>
      </c>
      <c r="F132" s="15">
        <v>0</v>
      </c>
      <c r="G132" s="15">
        <v>0</v>
      </c>
      <c r="H132" s="15">
        <v>0</v>
      </c>
      <c r="I132" s="15">
        <v>8.8000000000000007</v>
      </c>
      <c r="J132" s="15">
        <v>13.86</v>
      </c>
      <c r="K132" s="15">
        <v>4.3499999999999996</v>
      </c>
      <c r="L132" s="15">
        <f>((C132+D132+E132+F132+G132+I132)-(J132-K132))</f>
        <v>2.5400000000000009</v>
      </c>
      <c r="M132" s="21">
        <f>ABS(L132/(J132-K132))</f>
        <v>0.26708727655099906</v>
      </c>
    </row>
    <row r="133" spans="1:13" x14ac:dyDescent="0.25">
      <c r="A133" s="13">
        <v>132</v>
      </c>
      <c r="B133" s="14">
        <v>45892</v>
      </c>
      <c r="C133" s="15">
        <v>0</v>
      </c>
      <c r="D133" s="15">
        <v>0</v>
      </c>
      <c r="E133" s="15">
        <v>0</v>
      </c>
      <c r="F133" s="15">
        <v>0</v>
      </c>
      <c r="G133" s="15">
        <v>0</v>
      </c>
      <c r="H133" s="15">
        <v>0</v>
      </c>
      <c r="I133" s="15">
        <v>4.57</v>
      </c>
      <c r="J133" s="15">
        <v>5.25</v>
      </c>
      <c r="K133" s="15">
        <v>0</v>
      </c>
      <c r="L133" s="15">
        <f>((C133+D133+E133+F133+G133+I133)-(J133-K133))</f>
        <v>-0.67999999999999972</v>
      </c>
      <c r="M133" s="21">
        <f>ABS(L133/(J133-K133))</f>
        <v>0.12952380952380946</v>
      </c>
    </row>
    <row r="134" spans="1:13" x14ac:dyDescent="0.25">
      <c r="A134" s="13">
        <v>133</v>
      </c>
      <c r="B134" s="14">
        <v>45892</v>
      </c>
      <c r="C134" s="15">
        <v>0</v>
      </c>
      <c r="D134" s="15">
        <v>0</v>
      </c>
      <c r="E134" s="15">
        <v>0</v>
      </c>
      <c r="F134" s="15">
        <v>0</v>
      </c>
      <c r="G134" s="15">
        <v>0</v>
      </c>
      <c r="H134" s="15">
        <v>0</v>
      </c>
      <c r="I134" s="15">
        <v>7.76</v>
      </c>
      <c r="J134" s="15">
        <v>12.94</v>
      </c>
      <c r="K134" s="15">
        <v>0</v>
      </c>
      <c r="L134" s="15">
        <f>((C134+D134+E134+F134+G134+I134)-(J134-K134))</f>
        <v>-5.18</v>
      </c>
      <c r="M134" s="21">
        <f>ABS(L134/(J134-K134))</f>
        <v>0.40030911901081917</v>
      </c>
    </row>
    <row r="135" spans="1:13" x14ac:dyDescent="0.25">
      <c r="A135" s="13">
        <v>134</v>
      </c>
      <c r="B135" s="14">
        <v>45892</v>
      </c>
      <c r="C135" s="15">
        <v>1.5</v>
      </c>
      <c r="D135" s="15">
        <v>0</v>
      </c>
      <c r="E135" s="15">
        <v>0</v>
      </c>
      <c r="F135" s="15">
        <v>0</v>
      </c>
      <c r="G135" s="15">
        <v>0</v>
      </c>
      <c r="H135" s="15">
        <v>0</v>
      </c>
      <c r="I135" s="15">
        <v>6.99</v>
      </c>
      <c r="J135" s="15">
        <v>11.98</v>
      </c>
      <c r="K135" s="15">
        <v>0</v>
      </c>
      <c r="L135" s="15">
        <f>((C135+D135+E135+F135+G135+I135)-(J135-K135))</f>
        <v>-3.49</v>
      </c>
      <c r="M135" s="21">
        <f>ABS(L135/(J135-K135))</f>
        <v>0.29131886477462438</v>
      </c>
    </row>
    <row r="136" spans="1:13" x14ac:dyDescent="0.25">
      <c r="A136" s="13">
        <v>135</v>
      </c>
      <c r="B136" s="14">
        <v>45892</v>
      </c>
      <c r="C136" s="15">
        <v>2.5</v>
      </c>
      <c r="D136" s="15">
        <v>0</v>
      </c>
      <c r="E136" s="15">
        <v>0</v>
      </c>
      <c r="F136" s="15">
        <v>3.66</v>
      </c>
      <c r="G136" s="15">
        <v>0</v>
      </c>
      <c r="H136" s="15">
        <v>0</v>
      </c>
      <c r="I136" s="15">
        <v>22.26</v>
      </c>
      <c r="J136" s="15">
        <v>32.299999999999997</v>
      </c>
      <c r="K136" s="15">
        <v>0</v>
      </c>
      <c r="L136" s="15">
        <f>((C136+D136+E136+F136+G136+I136)-(J136-K136))</f>
        <v>-3.8799999999999955</v>
      </c>
      <c r="M136" s="21">
        <f>ABS(L136/(J136-K136))</f>
        <v>0.12012383900928779</v>
      </c>
    </row>
    <row r="137" spans="1:13" x14ac:dyDescent="0.25">
      <c r="A137" s="13">
        <v>136</v>
      </c>
      <c r="B137" s="14">
        <v>45892</v>
      </c>
      <c r="C137" s="15">
        <v>2.25</v>
      </c>
      <c r="D137" s="15">
        <v>0</v>
      </c>
      <c r="E137" s="15">
        <v>0</v>
      </c>
      <c r="F137" s="15">
        <v>0</v>
      </c>
      <c r="G137" s="15">
        <v>1.79</v>
      </c>
      <c r="H137" s="15">
        <v>0</v>
      </c>
      <c r="I137" s="15">
        <v>20.91</v>
      </c>
      <c r="J137" s="15">
        <v>37.94</v>
      </c>
      <c r="K137" s="15">
        <v>0</v>
      </c>
      <c r="L137" s="15">
        <f>((C137+D137+E137+F137+G137+I137)-(J137-K137))</f>
        <v>-12.989999999999998</v>
      </c>
      <c r="M137" s="21">
        <f>ABS(L137/(J137-K137))</f>
        <v>0.34238270954138111</v>
      </c>
    </row>
    <row r="138" spans="1:13" x14ac:dyDescent="0.25">
      <c r="A138" s="13">
        <v>137</v>
      </c>
      <c r="B138" s="14">
        <v>45892</v>
      </c>
      <c r="C138" s="15">
        <v>1.75</v>
      </c>
      <c r="D138" s="15">
        <v>0</v>
      </c>
      <c r="E138" s="15">
        <v>0</v>
      </c>
      <c r="F138" s="15">
        <v>0</v>
      </c>
      <c r="G138" s="15">
        <v>0</v>
      </c>
      <c r="H138" s="15">
        <v>0</v>
      </c>
      <c r="I138" s="15">
        <v>7.21</v>
      </c>
      <c r="J138" s="15">
        <v>14.94</v>
      </c>
      <c r="K138" s="15">
        <v>0</v>
      </c>
      <c r="L138" s="15">
        <f>((C138+D138+E138+F138+G138+I138)-(J138-K138))</f>
        <v>-5.9799999999999986</v>
      </c>
      <c r="M138" s="21">
        <f>ABS(L138/(J138-K138))</f>
        <v>0.40026773761713513</v>
      </c>
    </row>
    <row r="139" spans="1:13" x14ac:dyDescent="0.25">
      <c r="A139" s="13">
        <v>138</v>
      </c>
      <c r="B139" s="14">
        <v>45892</v>
      </c>
      <c r="C139" s="15">
        <v>9.25</v>
      </c>
      <c r="D139" s="15">
        <v>0</v>
      </c>
      <c r="E139" s="15">
        <v>0</v>
      </c>
      <c r="F139" s="15">
        <v>0</v>
      </c>
      <c r="G139" s="15">
        <v>0</v>
      </c>
      <c r="H139" s="15">
        <v>0</v>
      </c>
      <c r="I139" s="15">
        <v>9.56</v>
      </c>
      <c r="J139" s="15">
        <v>20.7</v>
      </c>
      <c r="K139" s="15">
        <v>6.78</v>
      </c>
      <c r="L139" s="15">
        <f>((C139+D139+E139+F139+G139+I139)-(J139-K139))</f>
        <v>4.8900000000000041</v>
      </c>
      <c r="M139" s="21">
        <f>ABS(L139/(J139-K139))</f>
        <v>0.35129310344827619</v>
      </c>
    </row>
    <row r="140" spans="1:13" x14ac:dyDescent="0.25">
      <c r="A140" s="13">
        <v>139</v>
      </c>
      <c r="B140" s="14">
        <v>45892</v>
      </c>
      <c r="C140" s="15">
        <v>1.25</v>
      </c>
      <c r="D140" s="15">
        <v>0</v>
      </c>
      <c r="E140" s="15">
        <v>0</v>
      </c>
      <c r="F140" s="15">
        <v>0</v>
      </c>
      <c r="G140" s="15">
        <v>0</v>
      </c>
      <c r="H140" s="15">
        <v>0</v>
      </c>
      <c r="I140" s="15">
        <v>8.02</v>
      </c>
      <c r="J140" s="15">
        <v>10.87</v>
      </c>
      <c r="K140" s="15">
        <v>0.97</v>
      </c>
      <c r="L140" s="15">
        <f>((C140+D140+E140+F140+G140+I140)-(J140-K140))</f>
        <v>-0.62999999999999901</v>
      </c>
      <c r="M140" s="21">
        <f>ABS(L140/(J140-K140))</f>
        <v>6.3636363636363547E-2</v>
      </c>
    </row>
    <row r="141" spans="1:13" x14ac:dyDescent="0.25">
      <c r="A141" s="13">
        <v>140</v>
      </c>
      <c r="B141" s="14">
        <v>45892</v>
      </c>
      <c r="C141" s="15">
        <v>0</v>
      </c>
      <c r="D141" s="15">
        <v>0</v>
      </c>
      <c r="E141" s="15">
        <v>0</v>
      </c>
      <c r="F141" s="15">
        <v>0</v>
      </c>
      <c r="G141" s="15">
        <v>0</v>
      </c>
      <c r="H141" s="15">
        <v>0</v>
      </c>
      <c r="I141" s="15">
        <v>20.81</v>
      </c>
      <c r="J141" s="15">
        <v>27.9</v>
      </c>
      <c r="K141" s="15">
        <v>0</v>
      </c>
      <c r="L141" s="15">
        <f>((C141+D141+E141+F141+G141+I141)-(J141-K141))</f>
        <v>-7.09</v>
      </c>
      <c r="M141" s="21">
        <f>ABS(L141/(J141-K141))</f>
        <v>0.25412186379928314</v>
      </c>
    </row>
    <row r="142" spans="1:13" x14ac:dyDescent="0.25">
      <c r="A142" s="13">
        <v>141</v>
      </c>
    </row>
    <row r="143" spans="1:13" x14ac:dyDescent="0.25">
      <c r="A143" s="13">
        <v>142</v>
      </c>
    </row>
    <row r="144" spans="1:13" x14ac:dyDescent="0.25">
      <c r="A144" s="13">
        <v>143</v>
      </c>
    </row>
    <row r="145" spans="1:1" x14ac:dyDescent="0.25">
      <c r="A145" s="13">
        <v>144</v>
      </c>
    </row>
    <row r="146" spans="1:1" x14ac:dyDescent="0.25">
      <c r="A146" s="13">
        <v>145</v>
      </c>
    </row>
    <row r="147" spans="1:1" x14ac:dyDescent="0.25">
      <c r="A147" s="13">
        <v>146</v>
      </c>
    </row>
    <row r="148" spans="1:1" x14ac:dyDescent="0.25">
      <c r="A148" s="13">
        <v>147</v>
      </c>
    </row>
    <row r="149" spans="1:1" x14ac:dyDescent="0.25">
      <c r="A149" s="13">
        <v>148</v>
      </c>
    </row>
    <row r="150" spans="1:1" x14ac:dyDescent="0.25">
      <c r="A150" s="13">
        <v>149</v>
      </c>
    </row>
    <row r="151" spans="1:1" x14ac:dyDescent="0.25">
      <c r="A151" s="13">
        <v>150</v>
      </c>
    </row>
    <row r="152" spans="1:1" x14ac:dyDescent="0.25">
      <c r="A152" s="13">
        <v>151</v>
      </c>
    </row>
    <row r="153" spans="1:1" x14ac:dyDescent="0.25">
      <c r="A153" s="13">
        <v>152</v>
      </c>
    </row>
    <row r="154" spans="1:1" x14ac:dyDescent="0.25">
      <c r="A154" s="13">
        <v>153</v>
      </c>
    </row>
    <row r="155" spans="1:1" x14ac:dyDescent="0.25">
      <c r="A155" s="13">
        <v>154</v>
      </c>
    </row>
    <row r="156" spans="1:1" x14ac:dyDescent="0.25">
      <c r="A156" s="13">
        <v>155</v>
      </c>
    </row>
    <row r="157" spans="1:1" x14ac:dyDescent="0.25">
      <c r="A157" s="13">
        <v>156</v>
      </c>
    </row>
    <row r="158" spans="1:1" x14ac:dyDescent="0.25">
      <c r="A158" s="13">
        <v>157</v>
      </c>
    </row>
    <row r="159" spans="1:1" x14ac:dyDescent="0.25">
      <c r="A159" s="13">
        <v>158</v>
      </c>
    </row>
    <row r="160" spans="1:1" x14ac:dyDescent="0.25">
      <c r="A160" s="13">
        <v>159</v>
      </c>
    </row>
    <row r="161" spans="1:1" x14ac:dyDescent="0.25">
      <c r="A161" s="13">
        <v>160</v>
      </c>
    </row>
    <row r="162" spans="1:1" x14ac:dyDescent="0.25">
      <c r="A162" s="13">
        <v>161</v>
      </c>
    </row>
    <row r="163" spans="1:1" x14ac:dyDescent="0.25">
      <c r="A163" s="13">
        <v>162</v>
      </c>
    </row>
    <row r="164" spans="1:1" x14ac:dyDescent="0.25">
      <c r="A164" s="13">
        <v>163</v>
      </c>
    </row>
    <row r="165" spans="1:1" x14ac:dyDescent="0.25">
      <c r="A165" s="13">
        <v>164</v>
      </c>
    </row>
    <row r="166" spans="1:1" x14ac:dyDescent="0.25">
      <c r="A166" s="13">
        <v>165</v>
      </c>
    </row>
    <row r="167" spans="1:1" x14ac:dyDescent="0.25">
      <c r="A167" s="13">
        <v>166</v>
      </c>
    </row>
    <row r="168" spans="1:1" x14ac:dyDescent="0.25">
      <c r="A168" s="13">
        <v>167</v>
      </c>
    </row>
    <row r="169" spans="1:1" x14ac:dyDescent="0.25">
      <c r="A169" s="13">
        <v>168</v>
      </c>
    </row>
    <row r="170" spans="1:1" x14ac:dyDescent="0.25">
      <c r="A170" s="13">
        <v>169</v>
      </c>
    </row>
    <row r="171" spans="1:1" x14ac:dyDescent="0.25">
      <c r="A171" s="13">
        <v>170</v>
      </c>
    </row>
    <row r="172" spans="1:1" x14ac:dyDescent="0.25">
      <c r="A172" s="13">
        <v>171</v>
      </c>
    </row>
    <row r="173" spans="1:1" x14ac:dyDescent="0.25">
      <c r="A173" s="13">
        <v>172</v>
      </c>
    </row>
    <row r="174" spans="1:1" x14ac:dyDescent="0.25">
      <c r="A174" s="13">
        <v>173</v>
      </c>
    </row>
    <row r="175" spans="1:1" x14ac:dyDescent="0.25">
      <c r="A175" s="13">
        <v>174</v>
      </c>
    </row>
    <row r="176" spans="1:1" x14ac:dyDescent="0.25">
      <c r="A176" s="13">
        <v>175</v>
      </c>
    </row>
    <row r="177" spans="1:1" x14ac:dyDescent="0.25">
      <c r="A177" s="13">
        <v>176</v>
      </c>
    </row>
    <row r="178" spans="1:1" x14ac:dyDescent="0.25">
      <c r="A178" s="13">
        <v>177</v>
      </c>
    </row>
    <row r="179" spans="1:1" x14ac:dyDescent="0.25">
      <c r="A179" s="13">
        <v>178</v>
      </c>
    </row>
    <row r="180" spans="1:1" x14ac:dyDescent="0.25">
      <c r="A180" s="13">
        <v>179</v>
      </c>
    </row>
    <row r="181" spans="1:1" x14ac:dyDescent="0.25">
      <c r="A181" s="13">
        <v>180</v>
      </c>
    </row>
    <row r="182" spans="1:1" x14ac:dyDescent="0.25">
      <c r="A182" s="13">
        <v>181</v>
      </c>
    </row>
    <row r="183" spans="1:1" x14ac:dyDescent="0.25">
      <c r="A183" s="13">
        <v>182</v>
      </c>
    </row>
    <row r="184" spans="1:1" x14ac:dyDescent="0.25">
      <c r="A184" s="13">
        <v>183</v>
      </c>
    </row>
    <row r="185" spans="1:1" x14ac:dyDescent="0.25">
      <c r="A185" s="13">
        <v>184</v>
      </c>
    </row>
    <row r="186" spans="1:1" x14ac:dyDescent="0.25">
      <c r="A186" s="13">
        <v>185</v>
      </c>
    </row>
    <row r="187" spans="1:1" x14ac:dyDescent="0.25">
      <c r="A187" s="13">
        <v>186</v>
      </c>
    </row>
    <row r="188" spans="1:1" x14ac:dyDescent="0.25">
      <c r="A188" s="13">
        <v>187</v>
      </c>
    </row>
    <row r="189" spans="1:1" x14ac:dyDescent="0.25">
      <c r="A189" s="13">
        <v>188</v>
      </c>
    </row>
    <row r="190" spans="1:1" x14ac:dyDescent="0.25">
      <c r="A190" s="13">
        <v>189</v>
      </c>
    </row>
    <row r="191" spans="1:1" x14ac:dyDescent="0.25">
      <c r="A191" s="13">
        <v>190</v>
      </c>
    </row>
    <row r="192" spans="1:1" x14ac:dyDescent="0.25">
      <c r="A192" s="13">
        <v>191</v>
      </c>
    </row>
    <row r="193" spans="1:1" x14ac:dyDescent="0.25">
      <c r="A193" s="13">
        <v>192</v>
      </c>
    </row>
    <row r="194" spans="1:1" x14ac:dyDescent="0.25">
      <c r="A194" s="13">
        <v>193</v>
      </c>
    </row>
    <row r="195" spans="1:1" x14ac:dyDescent="0.25">
      <c r="A195" s="13">
        <v>194</v>
      </c>
    </row>
    <row r="196" spans="1:1" x14ac:dyDescent="0.25">
      <c r="A196" s="13">
        <v>195</v>
      </c>
    </row>
    <row r="197" spans="1:1" x14ac:dyDescent="0.25">
      <c r="A197" s="13">
        <v>196</v>
      </c>
    </row>
    <row r="198" spans="1:1" x14ac:dyDescent="0.25">
      <c r="A198" s="13">
        <v>197</v>
      </c>
    </row>
    <row r="199" spans="1:1" x14ac:dyDescent="0.25">
      <c r="A199" s="13">
        <v>198</v>
      </c>
    </row>
    <row r="200" spans="1:1" x14ac:dyDescent="0.25">
      <c r="A200" s="13">
        <v>199</v>
      </c>
    </row>
    <row r="201" spans="1:1" x14ac:dyDescent="0.25">
      <c r="A201" s="13">
        <v>200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3CDE-C054-4509-ACF9-EF7AA5BDBEE1}">
  <dimension ref="A1:B5"/>
  <sheetViews>
    <sheetView workbookViewId="0">
      <selection sqref="A1:XFD5"/>
    </sheetView>
  </sheetViews>
  <sheetFormatPr defaultRowHeight="15" x14ac:dyDescent="0.25"/>
  <sheetData>
    <row r="1" spans="1:2" s="3" customFormat="1" x14ac:dyDescent="0.25">
      <c r="A1" s="4" t="s">
        <v>22</v>
      </c>
      <c r="B1" s="4" t="s">
        <v>23</v>
      </c>
    </row>
    <row r="2" spans="1:2" s="3" customFormat="1" x14ac:dyDescent="0.25">
      <c r="A2" s="4">
        <v>1</v>
      </c>
      <c r="B2" s="4" t="s">
        <v>24</v>
      </c>
    </row>
    <row r="3" spans="1:2" s="3" customFormat="1" x14ac:dyDescent="0.25">
      <c r="A3" s="4">
        <v>2</v>
      </c>
      <c r="B3" s="9">
        <v>99</v>
      </c>
    </row>
    <row r="4" spans="1:2" s="3" customFormat="1" x14ac:dyDescent="0.25">
      <c r="A4" s="4">
        <v>3</v>
      </c>
      <c r="B4" s="4" t="s">
        <v>25</v>
      </c>
    </row>
    <row r="5" spans="1:2" s="3" customFormat="1" x14ac:dyDescent="0.25">
      <c r="A5" s="4">
        <v>4</v>
      </c>
      <c r="B5" s="4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4363-41CF-4281-AFE1-B65BB003B1EF}">
  <dimension ref="A1:C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6.42578125" style="3" bestFit="1" customWidth="1"/>
    <col min="3" max="3" width="11" style="3" bestFit="1" customWidth="1"/>
    <col min="4" max="16384" width="9.140625" style="3"/>
  </cols>
  <sheetData>
    <row r="1" spans="1:3" s="7" customFormat="1" x14ac:dyDescent="0.25">
      <c r="A1" s="6" t="s">
        <v>22</v>
      </c>
      <c r="B1" s="4" t="s">
        <v>23</v>
      </c>
      <c r="C1" s="7" t="s">
        <v>44</v>
      </c>
    </row>
    <row r="2" spans="1:3" s="7" customFormat="1" x14ac:dyDescent="0.25">
      <c r="A2" s="8" t="s">
        <v>27</v>
      </c>
      <c r="B2" s="4" t="s">
        <v>28</v>
      </c>
      <c r="C2" s="7">
        <v>34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16BB-6C3D-453C-A7FC-A7DA8AAFF7A9}">
  <dimension ref="A1:G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5" style="3" bestFit="1" customWidth="1"/>
    <col min="3" max="3" width="7.28515625" style="3" bestFit="1" customWidth="1"/>
    <col min="4" max="4" width="6.5703125" style="3" bestFit="1" customWidth="1"/>
    <col min="5" max="5" width="23.7109375" style="3" bestFit="1" customWidth="1"/>
    <col min="6" max="6" width="25.7109375" style="3" bestFit="1" customWidth="1"/>
    <col min="7" max="7" width="13.7109375" style="3" bestFit="1" customWidth="1"/>
    <col min="8" max="16384" width="9.140625" style="3"/>
  </cols>
  <sheetData>
    <row r="1" spans="1:7" s="5" customFormat="1" x14ac:dyDescent="0.25">
      <c r="A1" s="4" t="s">
        <v>22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</row>
    <row r="2" spans="1:7" s="5" customFormat="1" x14ac:dyDescent="0.25">
      <c r="A2" s="4">
        <v>1</v>
      </c>
      <c r="B2" s="4">
        <v>2016</v>
      </c>
      <c r="C2" s="4" t="s">
        <v>35</v>
      </c>
      <c r="D2" s="4" t="s">
        <v>36</v>
      </c>
      <c r="E2" s="4">
        <v>7.9</v>
      </c>
      <c r="F2" s="4">
        <v>12</v>
      </c>
      <c r="G2" s="4" t="s">
        <v>37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3F3B-7DA3-4570-A26A-4E4F2A018A4F}">
  <dimension ref="A1:B6"/>
  <sheetViews>
    <sheetView workbookViewId="0">
      <selection sqref="A1:B1"/>
    </sheetView>
  </sheetViews>
  <sheetFormatPr defaultRowHeight="15" x14ac:dyDescent="0.25"/>
  <cols>
    <col min="1" max="1" width="15" style="3" bestFit="1" customWidth="1"/>
    <col min="2" max="2" width="13.140625" style="3" bestFit="1" customWidth="1"/>
    <col min="3" max="16384" width="9.140625" style="3"/>
  </cols>
  <sheetData>
    <row r="1" spans="1:2" x14ac:dyDescent="0.25">
      <c r="A1" s="2" t="s">
        <v>6</v>
      </c>
      <c r="B1" s="2" t="s">
        <v>38</v>
      </c>
    </row>
    <row r="2" spans="1:2" x14ac:dyDescent="0.25">
      <c r="A2" s="4">
        <v>1</v>
      </c>
      <c r="B2" s="4" t="s">
        <v>39</v>
      </c>
    </row>
    <row r="3" spans="1:2" x14ac:dyDescent="0.25">
      <c r="A3" s="4">
        <v>2</v>
      </c>
      <c r="B3" s="4" t="s">
        <v>40</v>
      </c>
    </row>
    <row r="4" spans="1:2" x14ac:dyDescent="0.25">
      <c r="A4" s="4">
        <v>3</v>
      </c>
      <c r="B4" s="4" t="s">
        <v>41</v>
      </c>
    </row>
    <row r="5" spans="1:2" x14ac:dyDescent="0.25">
      <c r="A5" s="4">
        <v>4</v>
      </c>
      <c r="B5" s="4" t="s">
        <v>42</v>
      </c>
    </row>
    <row r="6" spans="1:2" x14ac:dyDescent="0.25">
      <c r="A6" s="4">
        <v>5</v>
      </c>
      <c r="B6" s="4" t="s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Corridas</vt:lpstr>
      <vt:lpstr>Localidade</vt:lpstr>
      <vt:lpstr>Valor_Viagem</vt:lpstr>
      <vt:lpstr>Aplicativos</vt:lpstr>
      <vt:lpstr>Motoristas</vt:lpstr>
      <vt:lpstr>Carros</vt:lpstr>
      <vt:lpstr>Tipo de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Sousa</dc:creator>
  <cp:lastModifiedBy>Renan Sousa</cp:lastModifiedBy>
  <dcterms:created xsi:type="dcterms:W3CDTF">2026-01-26T22:50:10Z</dcterms:created>
  <dcterms:modified xsi:type="dcterms:W3CDTF">2026-02-10T13:55:06Z</dcterms:modified>
</cp:coreProperties>
</file>