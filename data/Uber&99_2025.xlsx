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str\OneDrive\Documentos\Renan_Estacio\Portfolio\Portfolio_Uber\data\"/>
    </mc:Choice>
  </mc:AlternateContent>
  <xr:revisionPtr revIDLastSave="0" documentId="8_{3E5A0DAE-91F2-4979-A89B-43146801AD80}" xr6:coauthVersionLast="36" xr6:coauthVersionMax="36" xr10:uidLastSave="{00000000-0000-0000-0000-000000000000}"/>
  <bookViews>
    <workbookView xWindow="0" yWindow="0" windowWidth="21600" windowHeight="9525" activeTab="2" xr2:uid="{040551EE-EA37-4237-813B-3533D35435C9}"/>
  </bookViews>
  <sheets>
    <sheet name="Corrida" sheetId="1" r:id="rId1"/>
    <sheet name="Localidade" sheetId="2" r:id="rId2"/>
    <sheet name="Valor_Viagem" sheetId="3" r:id="rId3"/>
    <sheet name="Aplicativos" sheetId="4" r:id="rId4"/>
    <sheet name="Motoristas" sheetId="5" r:id="rId5"/>
    <sheet name="Carros" sheetId="6" r:id="rId6"/>
    <sheet name="Tipo de Pagamento" sheetId="7" r:id="rId7"/>
  </sheets>
  <definedNames>
    <definedName name="_xlnm._FilterDatabase" localSheetId="0" hidden="1">Corrida!$A$1:$K$201</definedName>
  </definedName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0" i="3" l="1"/>
  <c r="M320" i="3" s="1"/>
  <c r="L319" i="3"/>
  <c r="M319" i="3" s="1"/>
  <c r="L318" i="3"/>
  <c r="M318" i="3" s="1"/>
  <c r="L317" i="3"/>
  <c r="M317" i="3"/>
  <c r="L316" i="3"/>
  <c r="M316" i="3" s="1"/>
  <c r="L315" i="3"/>
  <c r="M315" i="3" s="1"/>
  <c r="L314" i="3"/>
  <c r="M314" i="3"/>
  <c r="L313" i="3"/>
  <c r="M313" i="3" s="1"/>
  <c r="L312" i="3"/>
  <c r="M312" i="3" s="1"/>
  <c r="L311" i="3"/>
  <c r="M311" i="3"/>
  <c r="L310" i="3"/>
  <c r="M310" i="3"/>
  <c r="G310" i="2"/>
  <c r="G311" i="2"/>
  <c r="G312" i="2"/>
  <c r="G313" i="2"/>
  <c r="G314" i="2"/>
  <c r="G315" i="2"/>
  <c r="G316" i="2"/>
  <c r="G317" i="2"/>
  <c r="G318" i="2"/>
  <c r="G319" i="2"/>
  <c r="G320" i="2"/>
  <c r="F310" i="1"/>
  <c r="F311" i="1"/>
  <c r="F312" i="1"/>
  <c r="F313" i="1"/>
  <c r="F314" i="1"/>
  <c r="F315" i="1"/>
  <c r="F316" i="1"/>
  <c r="F317" i="1"/>
  <c r="F318" i="1"/>
  <c r="F319" i="1"/>
  <c r="F320" i="1"/>
  <c r="F321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C311" i="1"/>
  <c r="C312" i="1"/>
  <c r="C313" i="1"/>
  <c r="C314" i="1"/>
  <c r="C315" i="1"/>
  <c r="C316" i="1"/>
  <c r="C317" i="1"/>
  <c r="C318" i="1"/>
  <c r="C319" i="1"/>
  <c r="C320" i="1"/>
  <c r="C321" i="1"/>
  <c r="C310" i="1"/>
  <c r="L309" i="3"/>
  <c r="M309" i="3" s="1"/>
  <c r="L308" i="3"/>
  <c r="M308" i="3" s="1"/>
  <c r="L307" i="3"/>
  <c r="M307" i="3"/>
  <c r="L306" i="3"/>
  <c r="M306" i="3"/>
  <c r="G306" i="2"/>
  <c r="G307" i="2"/>
  <c r="G308" i="2"/>
  <c r="G309" i="2"/>
  <c r="C306" i="1"/>
  <c r="C307" i="1"/>
  <c r="C308" i="1"/>
  <c r="C309" i="1"/>
  <c r="F306" i="1"/>
  <c r="F307" i="1"/>
  <c r="F308" i="1"/>
  <c r="F309" i="1"/>
  <c r="E306" i="1"/>
  <c r="E307" i="1"/>
  <c r="E308" i="1"/>
  <c r="E309" i="1"/>
  <c r="L305" i="3"/>
  <c r="M305" i="3"/>
  <c r="L304" i="3"/>
  <c r="M304" i="3"/>
  <c r="L303" i="3"/>
  <c r="M303" i="3" s="1"/>
  <c r="L302" i="3"/>
  <c r="M302" i="3" s="1"/>
  <c r="L301" i="3"/>
  <c r="M301" i="3" s="1"/>
  <c r="L300" i="3"/>
  <c r="M300" i="3" s="1"/>
  <c r="L299" i="3"/>
  <c r="M299" i="3" s="1"/>
  <c r="L298" i="3"/>
  <c r="M298" i="3" s="1"/>
  <c r="L297" i="3"/>
  <c r="M297" i="3" s="1"/>
  <c r="L296" i="3"/>
  <c r="M296" i="3" s="1"/>
  <c r="L295" i="3"/>
  <c r="M295" i="3" s="1"/>
  <c r="L294" i="3"/>
  <c r="M294" i="3" s="1"/>
  <c r="L293" i="3"/>
  <c r="M293" i="3" s="1"/>
  <c r="L292" i="3"/>
  <c r="M292" i="3" s="1"/>
  <c r="L291" i="3"/>
  <c r="M291" i="3" s="1"/>
  <c r="L290" i="3"/>
  <c r="M290" i="3" s="1"/>
  <c r="L289" i="3"/>
  <c r="M289" i="3" s="1"/>
  <c r="L288" i="3"/>
  <c r="M288" i="3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288" i="1"/>
  <c r="L287" i="3"/>
  <c r="M287" i="3" s="1"/>
  <c r="L286" i="3"/>
  <c r="M286" i="3" s="1"/>
  <c r="L285" i="3"/>
  <c r="M285" i="3"/>
  <c r="L284" i="3"/>
  <c r="M284" i="3"/>
  <c r="L283" i="3"/>
  <c r="M283" i="3" s="1"/>
  <c r="L282" i="3"/>
  <c r="M282" i="3"/>
  <c r="L281" i="3"/>
  <c r="M281" i="3" s="1"/>
  <c r="G281" i="2"/>
  <c r="G282" i="2"/>
  <c r="G283" i="2"/>
  <c r="G284" i="2"/>
  <c r="G285" i="2"/>
  <c r="G286" i="2"/>
  <c r="G287" i="2"/>
  <c r="F281" i="1"/>
  <c r="F282" i="1"/>
  <c r="F283" i="1"/>
  <c r="F284" i="1"/>
  <c r="F285" i="1"/>
  <c r="F286" i="1"/>
  <c r="F287" i="1"/>
  <c r="E281" i="1"/>
  <c r="E282" i="1"/>
  <c r="E283" i="1"/>
  <c r="E284" i="1"/>
  <c r="E285" i="1"/>
  <c r="E286" i="1"/>
  <c r="E287" i="1"/>
  <c r="C282" i="1"/>
  <c r="C283" i="1"/>
  <c r="C284" i="1"/>
  <c r="C285" i="1"/>
  <c r="C286" i="1"/>
  <c r="C287" i="1"/>
  <c r="C281" i="1"/>
  <c r="L280" i="3"/>
  <c r="M280" i="3" s="1"/>
  <c r="L279" i="3"/>
  <c r="M279" i="3" s="1"/>
  <c r="L278" i="3"/>
  <c r="M278" i="3" s="1"/>
  <c r="L277" i="3"/>
  <c r="M277" i="3" s="1"/>
  <c r="L276" i="3"/>
  <c r="M276" i="3" s="1"/>
  <c r="G276" i="2"/>
  <c r="G277" i="2"/>
  <c r="G278" i="2"/>
  <c r="G279" i="2"/>
  <c r="G280" i="2"/>
  <c r="C277" i="1"/>
  <c r="C278" i="1"/>
  <c r="C279" i="1"/>
  <c r="C280" i="1"/>
  <c r="C276" i="1"/>
  <c r="F276" i="1"/>
  <c r="F277" i="1"/>
  <c r="F278" i="1"/>
  <c r="F279" i="1"/>
  <c r="F280" i="1"/>
  <c r="E276" i="1"/>
  <c r="E277" i="1"/>
  <c r="E278" i="1"/>
  <c r="E279" i="1"/>
  <c r="E280" i="1"/>
  <c r="L275" i="3"/>
  <c r="M275" i="3" s="1"/>
  <c r="L274" i="3"/>
  <c r="M274" i="3"/>
  <c r="L273" i="3"/>
  <c r="M273" i="3" s="1"/>
  <c r="G275" i="2"/>
  <c r="F275" i="1"/>
  <c r="E275" i="1"/>
  <c r="C275" i="1"/>
  <c r="L272" i="3"/>
  <c r="M272" i="3"/>
  <c r="L271" i="3"/>
  <c r="M271" i="3" s="1"/>
  <c r="L270" i="3"/>
  <c r="M270" i="3"/>
  <c r="L269" i="3"/>
  <c r="M269" i="3" s="1"/>
  <c r="L268" i="3"/>
  <c r="M268" i="3" s="1"/>
  <c r="L267" i="3"/>
  <c r="M267" i="3" s="1"/>
  <c r="L266" i="3"/>
  <c r="M266" i="3"/>
  <c r="L265" i="3"/>
  <c r="M265" i="3" s="1"/>
  <c r="L264" i="3"/>
  <c r="M264" i="3" s="1"/>
  <c r="L263" i="3"/>
  <c r="M263" i="3" s="1"/>
  <c r="L262" i="3"/>
  <c r="M262" i="3" s="1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L261" i="3"/>
  <c r="M261" i="3" s="1"/>
  <c r="L260" i="3"/>
  <c r="M260" i="3"/>
  <c r="C262" i="1" l="1"/>
  <c r="C263" i="1"/>
  <c r="C264" i="1"/>
  <c r="C265" i="1"/>
  <c r="C266" i="1"/>
  <c r="C267" i="1"/>
  <c r="C268" i="1"/>
  <c r="C269" i="1"/>
  <c r="C270" i="1"/>
  <c r="C271" i="1"/>
  <c r="C272" i="1"/>
  <c r="C273" i="1"/>
  <c r="C274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L259" i="3"/>
  <c r="M259" i="3" s="1"/>
  <c r="L258" i="3"/>
  <c r="M258" i="3" s="1"/>
  <c r="G258" i="2"/>
  <c r="G259" i="2"/>
  <c r="G260" i="2"/>
  <c r="G261" i="2"/>
  <c r="C259" i="1"/>
  <c r="C260" i="1"/>
  <c r="C261" i="1"/>
  <c r="F258" i="1"/>
  <c r="F259" i="1"/>
  <c r="F260" i="1"/>
  <c r="F261" i="1"/>
  <c r="E258" i="1"/>
  <c r="E259" i="1"/>
  <c r="E260" i="1"/>
  <c r="E261" i="1"/>
  <c r="C258" i="1"/>
  <c r="L257" i="3"/>
  <c r="M257" i="3" s="1"/>
  <c r="L256" i="3"/>
  <c r="M256" i="3" s="1"/>
  <c r="L255" i="3"/>
  <c r="M255" i="3"/>
  <c r="L254" i="3"/>
  <c r="M254" i="3"/>
  <c r="L253" i="3"/>
  <c r="M253" i="3" s="1"/>
  <c r="L252" i="3"/>
  <c r="M252" i="3"/>
  <c r="L251" i="3"/>
  <c r="M251" i="3"/>
  <c r="L250" i="3"/>
  <c r="M250" i="3" s="1"/>
  <c r="L249" i="3"/>
  <c r="M249" i="3"/>
  <c r="L248" i="3"/>
  <c r="M248" i="3"/>
  <c r="L247" i="3"/>
  <c r="M247" i="3" s="1"/>
  <c r="L246" i="3"/>
  <c r="M246" i="3" s="1"/>
  <c r="L245" i="3"/>
  <c r="M245" i="3" s="1"/>
  <c r="L244" i="3"/>
  <c r="M244" i="3" s="1"/>
  <c r="L243" i="3"/>
  <c r="M243" i="3" s="1"/>
  <c r="L242" i="3"/>
  <c r="M242" i="3" s="1"/>
  <c r="L241" i="3"/>
  <c r="M241" i="3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41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42" i="1"/>
  <c r="F242" i="1"/>
  <c r="E241" i="1"/>
  <c r="F241" i="1"/>
  <c r="L240" i="3"/>
  <c r="M240" i="3"/>
  <c r="L239" i="3"/>
  <c r="M239" i="3" s="1"/>
  <c r="L238" i="3"/>
  <c r="M238" i="3" s="1"/>
  <c r="L237" i="3"/>
  <c r="M237" i="3" s="1"/>
  <c r="L236" i="3"/>
  <c r="M236" i="3" s="1"/>
  <c r="L235" i="3"/>
  <c r="M235" i="3"/>
  <c r="L234" i="3"/>
  <c r="M234" i="3" s="1"/>
  <c r="L233" i="3"/>
  <c r="M233" i="3" s="1"/>
  <c r="L232" i="3"/>
  <c r="M232" i="3" s="1"/>
  <c r="L231" i="3"/>
  <c r="M231" i="3"/>
  <c r="L230" i="3"/>
  <c r="M230" i="3" s="1"/>
  <c r="L229" i="3"/>
  <c r="M229" i="3" s="1"/>
  <c r="L228" i="3"/>
  <c r="M228" i="3" s="1"/>
  <c r="L227" i="3"/>
  <c r="M227" i="3" s="1"/>
  <c r="L226" i="3"/>
  <c r="M226" i="3"/>
  <c r="F232" i="1"/>
  <c r="F233" i="1"/>
  <c r="F234" i="1"/>
  <c r="F235" i="1"/>
  <c r="F236" i="1"/>
  <c r="F237" i="1"/>
  <c r="F238" i="1"/>
  <c r="F239" i="1"/>
  <c r="F240" i="1"/>
  <c r="E232" i="1"/>
  <c r="E233" i="1"/>
  <c r="E234" i="1"/>
  <c r="E235" i="1"/>
  <c r="E236" i="1"/>
  <c r="E237" i="1"/>
  <c r="E238" i="1"/>
  <c r="E239" i="1"/>
  <c r="E240" i="1"/>
  <c r="C232" i="1"/>
  <c r="C233" i="1"/>
  <c r="C234" i="1"/>
  <c r="C235" i="1"/>
  <c r="C236" i="1"/>
  <c r="C237" i="1"/>
  <c r="C238" i="1"/>
  <c r="C239" i="1"/>
  <c r="C240" i="1"/>
  <c r="G232" i="2"/>
  <c r="G233" i="2"/>
  <c r="G234" i="2"/>
  <c r="G235" i="2"/>
  <c r="G236" i="2"/>
  <c r="G237" i="2"/>
  <c r="G238" i="2"/>
  <c r="G239" i="2"/>
  <c r="G240" i="2"/>
  <c r="G241" i="2"/>
  <c r="L225" i="3"/>
  <c r="M225" i="3" s="1"/>
  <c r="L224" i="3"/>
  <c r="M224" i="3" s="1"/>
  <c r="L223" i="3"/>
  <c r="M223" i="3"/>
  <c r="L222" i="3"/>
  <c r="M222" i="3" s="1"/>
  <c r="G222" i="2"/>
  <c r="G223" i="2"/>
  <c r="G224" i="2"/>
  <c r="G225" i="2"/>
  <c r="G226" i="2"/>
  <c r="G227" i="2"/>
  <c r="G228" i="2"/>
  <c r="G229" i="2"/>
  <c r="G230" i="2"/>
  <c r="G231" i="2"/>
  <c r="L221" i="3"/>
  <c r="M221" i="3"/>
  <c r="L220" i="3"/>
  <c r="M220" i="3"/>
  <c r="L219" i="3"/>
  <c r="M219" i="3" s="1"/>
  <c r="L218" i="3"/>
  <c r="M218" i="3" s="1"/>
  <c r="F222" i="1"/>
  <c r="F223" i="1"/>
  <c r="F224" i="1"/>
  <c r="F225" i="1"/>
  <c r="F226" i="1"/>
  <c r="F227" i="1"/>
  <c r="F228" i="1"/>
  <c r="F229" i="1"/>
  <c r="F230" i="1"/>
  <c r="F231" i="1"/>
  <c r="E222" i="1"/>
  <c r="E223" i="1"/>
  <c r="E224" i="1"/>
  <c r="E225" i="1"/>
  <c r="E226" i="1"/>
  <c r="E227" i="1"/>
  <c r="E228" i="1"/>
  <c r="E229" i="1"/>
  <c r="E230" i="1"/>
  <c r="E231" i="1"/>
  <c r="C222" i="1"/>
  <c r="C223" i="1"/>
  <c r="C224" i="1"/>
  <c r="C225" i="1"/>
  <c r="C226" i="1"/>
  <c r="C227" i="1"/>
  <c r="C228" i="1"/>
  <c r="C229" i="1"/>
  <c r="C230" i="1"/>
  <c r="C231" i="1"/>
  <c r="C219" i="1"/>
  <c r="C220" i="1"/>
  <c r="C221" i="1"/>
  <c r="L217" i="3"/>
  <c r="M217" i="3"/>
  <c r="L216" i="3"/>
  <c r="M216" i="3" s="1"/>
  <c r="L215" i="3"/>
  <c r="M215" i="3" s="1"/>
  <c r="L214" i="3"/>
  <c r="M214" i="3" s="1"/>
  <c r="L213" i="3"/>
  <c r="M213" i="3" s="1"/>
  <c r="C214" i="1"/>
  <c r="C215" i="1"/>
  <c r="C216" i="1"/>
  <c r="C217" i="1"/>
  <c r="C218" i="1"/>
  <c r="C213" i="1"/>
  <c r="L212" i="3"/>
  <c r="M212" i="3" s="1"/>
  <c r="G212" i="2"/>
  <c r="G213" i="2"/>
  <c r="G214" i="2"/>
  <c r="G215" i="2"/>
  <c r="G216" i="2"/>
  <c r="G217" i="2"/>
  <c r="G218" i="2"/>
  <c r="G219" i="2"/>
  <c r="G220" i="2"/>
  <c r="G221" i="2"/>
  <c r="G210" i="2"/>
  <c r="G211" i="2"/>
  <c r="C212" i="1"/>
  <c r="F212" i="1" l="1"/>
  <c r="F213" i="1"/>
  <c r="F214" i="1"/>
  <c r="F215" i="1"/>
  <c r="F216" i="1"/>
  <c r="F217" i="1"/>
  <c r="F218" i="1"/>
  <c r="F219" i="1"/>
  <c r="F220" i="1"/>
  <c r="F221" i="1"/>
  <c r="E212" i="1"/>
  <c r="E213" i="1"/>
  <c r="E214" i="1"/>
  <c r="E215" i="1"/>
  <c r="E216" i="1"/>
  <c r="E217" i="1"/>
  <c r="E218" i="1"/>
  <c r="E219" i="1"/>
  <c r="E220" i="1"/>
  <c r="E221" i="1"/>
  <c r="M202" i="3"/>
  <c r="M203" i="3"/>
  <c r="L202" i="3"/>
  <c r="L203" i="3"/>
  <c r="L204" i="3"/>
  <c r="M204" i="3" s="1"/>
  <c r="L205" i="3"/>
  <c r="M205" i="3" s="1"/>
  <c r="L206" i="3"/>
  <c r="M206" i="3" s="1"/>
  <c r="L207" i="3"/>
  <c r="M207" i="3" s="1"/>
  <c r="L208" i="3"/>
  <c r="M208" i="3" s="1"/>
  <c r="L209" i="3"/>
  <c r="M209" i="3" s="1"/>
  <c r="L210" i="3"/>
  <c r="M210" i="3" s="1"/>
  <c r="L211" i="3"/>
  <c r="M211" i="3" s="1"/>
  <c r="G203" i="2"/>
  <c r="G204" i="2"/>
  <c r="G205" i="2"/>
  <c r="G206" i="2"/>
  <c r="G207" i="2"/>
  <c r="G208" i="2"/>
  <c r="G209" i="2"/>
  <c r="G200" i="2"/>
  <c r="G201" i="2"/>
  <c r="G202" i="2"/>
  <c r="F202" i="1"/>
  <c r="F203" i="1"/>
  <c r="F204" i="1"/>
  <c r="F205" i="1"/>
  <c r="F206" i="1"/>
  <c r="F207" i="1"/>
  <c r="F208" i="1"/>
  <c r="F209" i="1"/>
  <c r="F210" i="1"/>
  <c r="F211" i="1"/>
  <c r="E202" i="1"/>
  <c r="E203" i="1"/>
  <c r="E204" i="1"/>
  <c r="E205" i="1"/>
  <c r="E206" i="1"/>
  <c r="E207" i="1"/>
  <c r="E208" i="1"/>
  <c r="E209" i="1"/>
  <c r="E210" i="1"/>
  <c r="E211" i="1"/>
  <c r="C202" i="1"/>
  <c r="C203" i="1"/>
  <c r="C204" i="1"/>
  <c r="C205" i="1"/>
  <c r="C206" i="1"/>
  <c r="C207" i="1"/>
  <c r="C208" i="1"/>
  <c r="C209" i="1"/>
  <c r="C210" i="1"/>
  <c r="C211" i="1"/>
  <c r="L193" i="3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182" i="1"/>
  <c r="C181" i="1" l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M167" i="3"/>
  <c r="L167" i="3"/>
  <c r="L168" i="3"/>
  <c r="M168" i="3" s="1"/>
  <c r="L169" i="3"/>
  <c r="M169" i="3" s="1"/>
  <c r="L170" i="3"/>
  <c r="M170" i="3" s="1"/>
  <c r="L171" i="3"/>
  <c r="M171" i="3" s="1"/>
  <c r="L172" i="3"/>
  <c r="M172" i="3" s="1"/>
  <c r="L173" i="3"/>
  <c r="M173" i="3" s="1"/>
  <c r="L174" i="3"/>
  <c r="M174" i="3" s="1"/>
  <c r="L175" i="3"/>
  <c r="M175" i="3" s="1"/>
  <c r="L176" i="3"/>
  <c r="M176" i="3" s="1"/>
  <c r="L177" i="3"/>
  <c r="M177" i="3" s="1"/>
  <c r="L178" i="3"/>
  <c r="M178" i="3" s="1"/>
  <c r="L179" i="3"/>
  <c r="M179" i="3" s="1"/>
  <c r="L180" i="3"/>
  <c r="M180" i="3" s="1"/>
  <c r="L181" i="3"/>
  <c r="M181" i="3" s="1"/>
  <c r="L182" i="3"/>
  <c r="M182" i="3" s="1"/>
  <c r="L183" i="3"/>
  <c r="M183" i="3" s="1"/>
  <c r="L184" i="3"/>
  <c r="M184" i="3" s="1"/>
  <c r="L185" i="3"/>
  <c r="M185" i="3" s="1"/>
  <c r="L186" i="3"/>
  <c r="M186" i="3" s="1"/>
  <c r="L187" i="3"/>
  <c r="M187" i="3" s="1"/>
  <c r="L188" i="3"/>
  <c r="M188" i="3" s="1"/>
  <c r="L189" i="3"/>
  <c r="M189" i="3" s="1"/>
  <c r="L190" i="3"/>
  <c r="M190" i="3" s="1"/>
  <c r="L191" i="3"/>
  <c r="M191" i="3" s="1"/>
  <c r="L192" i="3"/>
  <c r="M192" i="3" s="1"/>
  <c r="M193" i="3"/>
  <c r="L194" i="3"/>
  <c r="M194" i="3" s="1"/>
  <c r="L195" i="3"/>
  <c r="M195" i="3" s="1"/>
  <c r="L196" i="3"/>
  <c r="M196" i="3" s="1"/>
  <c r="L197" i="3"/>
  <c r="M197" i="3" s="1"/>
  <c r="L198" i="3"/>
  <c r="M198" i="3" s="1"/>
  <c r="L199" i="3"/>
  <c r="M199" i="3" s="1"/>
  <c r="L200" i="3"/>
  <c r="M200" i="3" s="1"/>
  <c r="L201" i="3"/>
  <c r="M201" i="3" s="1"/>
  <c r="L166" i="3"/>
  <c r="C167" i="1"/>
  <c r="C166" i="1"/>
  <c r="L165" i="3"/>
  <c r="M165" i="3" s="1"/>
  <c r="C165" i="1"/>
  <c r="L164" i="3"/>
  <c r="M164" i="3" s="1"/>
  <c r="C164" i="1"/>
  <c r="L163" i="3"/>
  <c r="M163" i="3" s="1"/>
  <c r="C163" i="1"/>
  <c r="L162" i="3"/>
  <c r="M162" i="3" s="1"/>
  <c r="C162" i="1"/>
  <c r="L161" i="3"/>
  <c r="M161" i="3" s="1"/>
  <c r="C161" i="1"/>
  <c r="L160" i="3"/>
  <c r="M160" i="3"/>
  <c r="C160" i="1"/>
  <c r="L159" i="3"/>
  <c r="M159" i="3"/>
  <c r="C159" i="1"/>
  <c r="L158" i="3"/>
  <c r="M158" i="3" s="1"/>
  <c r="C158" i="1"/>
  <c r="L157" i="3"/>
  <c r="M157" i="3"/>
  <c r="C157" i="1"/>
  <c r="L156" i="3" l="1"/>
  <c r="M156" i="3" s="1"/>
  <c r="C156" i="1"/>
  <c r="L155" i="3"/>
  <c r="M155" i="3" s="1"/>
  <c r="C155" i="1"/>
  <c r="M154" i="3"/>
  <c r="L154" i="3"/>
  <c r="L153" i="3"/>
  <c r="C154" i="1"/>
  <c r="C153" i="1"/>
  <c r="L152" i="3"/>
  <c r="M152" i="3"/>
  <c r="C152" i="1"/>
  <c r="L151" i="3"/>
  <c r="M151" i="3" s="1"/>
  <c r="C151" i="1"/>
  <c r="L150" i="3"/>
  <c r="M150" i="3" s="1"/>
  <c r="C150" i="1"/>
  <c r="L149" i="3"/>
  <c r="M149" i="3" s="1"/>
  <c r="C149" i="1"/>
  <c r="M148" i="3"/>
  <c r="L148" i="3"/>
  <c r="C148" i="1"/>
  <c r="L147" i="3"/>
  <c r="M147" i="3" s="1"/>
  <c r="C147" i="1"/>
  <c r="L146" i="3"/>
  <c r="M146" i="3" s="1"/>
  <c r="C146" i="1"/>
  <c r="L145" i="3"/>
  <c r="M145" i="3" s="1"/>
  <c r="C145" i="1"/>
  <c r="L144" i="3"/>
  <c r="M144" i="3"/>
  <c r="C144" i="1"/>
  <c r="L143" i="3"/>
  <c r="M143" i="3" s="1"/>
  <c r="C143" i="1"/>
  <c r="L142" i="3"/>
  <c r="M142" i="3"/>
  <c r="C142" i="1"/>
  <c r="L141" i="3" l="1"/>
  <c r="M141" i="3" s="1"/>
  <c r="C141" i="1"/>
  <c r="L140" i="3"/>
  <c r="M140" i="3" s="1"/>
  <c r="C140" i="1"/>
  <c r="L139" i="3"/>
  <c r="M139" i="3"/>
  <c r="C139" i="1"/>
  <c r="L138" i="3"/>
  <c r="M138" i="3" s="1"/>
  <c r="C138" i="1"/>
  <c r="L137" i="3"/>
  <c r="M137" i="3" s="1"/>
  <c r="C137" i="1"/>
  <c r="L136" i="3"/>
  <c r="M136" i="3" s="1"/>
  <c r="C136" i="1"/>
  <c r="L135" i="3"/>
  <c r="M135" i="3" s="1"/>
  <c r="C135" i="1"/>
  <c r="L134" i="3"/>
  <c r="M134" i="3"/>
  <c r="C134" i="1"/>
  <c r="L133" i="3"/>
  <c r="M133" i="3"/>
  <c r="C133" i="1"/>
  <c r="L132" i="3"/>
  <c r="M132" i="3" s="1"/>
  <c r="C132" i="1"/>
  <c r="L131" i="3"/>
  <c r="M131" i="3" s="1"/>
  <c r="C131" i="1"/>
  <c r="L130" i="3"/>
  <c r="M130" i="3"/>
  <c r="C130" i="1"/>
  <c r="L129" i="3"/>
  <c r="M129" i="3"/>
  <c r="C129" i="1"/>
  <c r="L128" i="3"/>
  <c r="M128" i="3" s="1"/>
  <c r="C128" i="1"/>
  <c r="L127" i="3"/>
  <c r="M127" i="3"/>
  <c r="C127" i="1"/>
  <c r="L126" i="3"/>
  <c r="M126" i="3" s="1"/>
  <c r="C126" i="1"/>
  <c r="L125" i="3"/>
  <c r="M125" i="3"/>
  <c r="C125" i="1"/>
  <c r="L124" i="3"/>
  <c r="M124" i="3" s="1"/>
  <c r="C124" i="1"/>
  <c r="L123" i="3"/>
  <c r="M123" i="3"/>
  <c r="C123" i="1"/>
  <c r="L122" i="3"/>
  <c r="M122" i="3" s="1"/>
  <c r="C122" i="1"/>
  <c r="L121" i="3"/>
  <c r="M121" i="3"/>
  <c r="C121" i="1"/>
  <c r="L120" i="3"/>
  <c r="M120" i="3"/>
  <c r="C120" i="1"/>
  <c r="L119" i="3"/>
  <c r="M119" i="3" s="1"/>
  <c r="C119" i="1"/>
  <c r="L118" i="3"/>
  <c r="M118" i="3"/>
  <c r="C118" i="1"/>
  <c r="L117" i="3"/>
  <c r="M117" i="3" s="1"/>
  <c r="C117" i="1"/>
  <c r="L116" i="3"/>
  <c r="M116" i="3" s="1"/>
  <c r="C116" i="1"/>
  <c r="L115" i="3"/>
  <c r="M115" i="3" s="1"/>
  <c r="C115" i="1"/>
  <c r="L114" i="3"/>
  <c r="M114" i="3"/>
  <c r="C114" i="1"/>
  <c r="L113" i="3"/>
  <c r="M113" i="3" s="1"/>
  <c r="C113" i="1"/>
  <c r="L112" i="3"/>
  <c r="M112" i="3" s="1"/>
  <c r="C112" i="1"/>
  <c r="L111" i="3"/>
  <c r="M111" i="3"/>
  <c r="C111" i="1"/>
  <c r="L110" i="3"/>
  <c r="M110" i="3" s="1"/>
  <c r="C110" i="1"/>
  <c r="L109" i="3"/>
  <c r="M109" i="3"/>
  <c r="C109" i="1"/>
  <c r="L108" i="3"/>
  <c r="M108" i="3" s="1"/>
  <c r="C108" i="1"/>
  <c r="L107" i="3"/>
  <c r="M107" i="3" s="1"/>
  <c r="C107" i="1"/>
  <c r="L106" i="3"/>
  <c r="C106" i="1"/>
  <c r="L105" i="3"/>
  <c r="M105" i="3" s="1"/>
  <c r="C105" i="1"/>
  <c r="L104" i="3"/>
  <c r="M104" i="3"/>
  <c r="L103" i="3"/>
  <c r="M103" i="3" s="1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C104" i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C103" i="1"/>
  <c r="L102" i="3"/>
  <c r="M102" i="3" s="1"/>
  <c r="C102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L3" i="3" l="1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9" i="3"/>
  <c r="M49" i="3" s="1"/>
  <c r="L50" i="3"/>
  <c r="M50" i="3" s="1"/>
  <c r="L51" i="3"/>
  <c r="M51" i="3" s="1"/>
  <c r="L52" i="3"/>
  <c r="M52" i="3" s="1"/>
  <c r="L53" i="3"/>
  <c r="M53" i="3" s="1"/>
  <c r="L54" i="3"/>
  <c r="M54" i="3" s="1"/>
  <c r="L55" i="3"/>
  <c r="M55" i="3" s="1"/>
  <c r="L56" i="3"/>
  <c r="M56" i="3" s="1"/>
  <c r="L57" i="3"/>
  <c r="M57" i="3" s="1"/>
  <c r="L58" i="3"/>
  <c r="M58" i="3" s="1"/>
  <c r="L59" i="3"/>
  <c r="M59" i="3" s="1"/>
  <c r="L60" i="3"/>
  <c r="M60" i="3" s="1"/>
  <c r="L61" i="3"/>
  <c r="M61" i="3" s="1"/>
  <c r="L62" i="3"/>
  <c r="M62" i="3" s="1"/>
  <c r="L63" i="3"/>
  <c r="M63" i="3" s="1"/>
  <c r="L64" i="3"/>
  <c r="M64" i="3" s="1"/>
  <c r="L65" i="3"/>
  <c r="M65" i="3" s="1"/>
  <c r="L66" i="3"/>
  <c r="M66" i="3" s="1"/>
  <c r="L67" i="3"/>
  <c r="M67" i="3" s="1"/>
  <c r="L68" i="3"/>
  <c r="M68" i="3" s="1"/>
  <c r="L69" i="3"/>
  <c r="M69" i="3" s="1"/>
  <c r="L70" i="3"/>
  <c r="M70" i="3" s="1"/>
  <c r="L71" i="3"/>
  <c r="M71" i="3" s="1"/>
  <c r="L72" i="3"/>
  <c r="M72" i="3" s="1"/>
  <c r="L73" i="3"/>
  <c r="M73" i="3" s="1"/>
  <c r="L74" i="3"/>
  <c r="M74" i="3" s="1"/>
  <c r="L75" i="3"/>
  <c r="M75" i="3" s="1"/>
  <c r="L76" i="3"/>
  <c r="M76" i="3" s="1"/>
  <c r="L77" i="3"/>
  <c r="M77" i="3" s="1"/>
  <c r="L78" i="3"/>
  <c r="M78" i="3" s="1"/>
  <c r="L79" i="3"/>
  <c r="M79" i="3" s="1"/>
  <c r="L80" i="3"/>
  <c r="M80" i="3" s="1"/>
  <c r="L81" i="3"/>
  <c r="M81" i="3" s="1"/>
  <c r="L82" i="3"/>
  <c r="M82" i="3" s="1"/>
  <c r="L83" i="3"/>
  <c r="M83" i="3" s="1"/>
  <c r="L84" i="3"/>
  <c r="M84" i="3" s="1"/>
  <c r="L85" i="3"/>
  <c r="M85" i="3" s="1"/>
  <c r="L86" i="3"/>
  <c r="M86" i="3" s="1"/>
  <c r="L87" i="3"/>
  <c r="M87" i="3" s="1"/>
  <c r="L88" i="3"/>
  <c r="M88" i="3" s="1"/>
  <c r="L89" i="3"/>
  <c r="M89" i="3" s="1"/>
  <c r="L90" i="3"/>
  <c r="M90" i="3" s="1"/>
  <c r="L91" i="3"/>
  <c r="M91" i="3" s="1"/>
  <c r="L92" i="3"/>
  <c r="M92" i="3" s="1"/>
  <c r="L93" i="3"/>
  <c r="M93" i="3" s="1"/>
  <c r="L94" i="3"/>
  <c r="M94" i="3" s="1"/>
  <c r="L95" i="3"/>
  <c r="M95" i="3" s="1"/>
  <c r="L96" i="3"/>
  <c r="M96" i="3" s="1"/>
  <c r="L97" i="3"/>
  <c r="M97" i="3" s="1"/>
  <c r="L98" i="3"/>
  <c r="M98" i="3" s="1"/>
  <c r="L99" i="3"/>
  <c r="M99" i="3" s="1"/>
  <c r="L100" i="3"/>
  <c r="M100" i="3" s="1"/>
  <c r="L101" i="3"/>
  <c r="M101" i="3" s="1"/>
  <c r="L2" i="3"/>
  <c r="M2" i="3" s="1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3" i="1"/>
  <c r="C2" i="1"/>
</calcChain>
</file>

<file path=xl/sharedStrings.xml><?xml version="1.0" encoding="utf-8"?>
<sst xmlns="http://schemas.openxmlformats.org/spreadsheetml/2006/main" count="1298" uniqueCount="150">
  <si>
    <t>ID_viagem</t>
  </si>
  <si>
    <t>Data</t>
  </si>
  <si>
    <t>Dia_da_Semana</t>
  </si>
  <si>
    <t>Horário</t>
  </si>
  <si>
    <t>ID_local</t>
  </si>
  <si>
    <t>ID_valor</t>
  </si>
  <si>
    <t>ID_Pagamento</t>
  </si>
  <si>
    <t>ID_Carro</t>
  </si>
  <si>
    <t>ID_Motorista</t>
  </si>
  <si>
    <t>ID_Aplicativo</t>
  </si>
  <si>
    <t>Duração_min</t>
  </si>
  <si>
    <t>Municipio_Embarque</t>
  </si>
  <si>
    <t>Bairro_Embarque</t>
  </si>
  <si>
    <t>Municipio_Desembarque</t>
  </si>
  <si>
    <t>Bairro_Desembarque</t>
  </si>
  <si>
    <t>Distância_Corrida(KM)</t>
  </si>
  <si>
    <t>Distância_Embarque(KM)</t>
  </si>
  <si>
    <t>Preço_Dinamico</t>
  </si>
  <si>
    <t>Turbo+</t>
  </si>
  <si>
    <t>PG_Usuario</t>
  </si>
  <si>
    <t>Promo_Usuario</t>
  </si>
  <si>
    <t>ID</t>
  </si>
  <si>
    <t>Nome</t>
  </si>
  <si>
    <t>Uber</t>
  </si>
  <si>
    <t>Indriver</t>
  </si>
  <si>
    <t>Particular</t>
  </si>
  <si>
    <t>1</t>
  </si>
  <si>
    <t>Renan</t>
  </si>
  <si>
    <t>Ano</t>
  </si>
  <si>
    <t>Modelo</t>
  </si>
  <si>
    <t>Marca</t>
  </si>
  <si>
    <t>Rendimento_Etanol(km/L)</t>
  </si>
  <si>
    <t>Rendimento_Gasolina(km/L)</t>
  </si>
  <si>
    <t>Abastecimento</t>
  </si>
  <si>
    <t>KA SE</t>
  </si>
  <si>
    <t>Ford</t>
  </si>
  <si>
    <t>Flex</t>
  </si>
  <si>
    <t>Tipo</t>
  </si>
  <si>
    <t>Dinheiro</t>
  </si>
  <si>
    <t>Cartão</t>
  </si>
  <si>
    <t>Ajuste</t>
  </si>
  <si>
    <t>Cancelamento</t>
  </si>
  <si>
    <t>Missão</t>
  </si>
  <si>
    <t>Idade(anos)</t>
  </si>
  <si>
    <t>Niterói</t>
  </si>
  <si>
    <t>DSC_App</t>
  </si>
  <si>
    <t>Centro</t>
  </si>
  <si>
    <t>São Gonçalo</t>
  </si>
  <si>
    <t>Galo Branco</t>
  </si>
  <si>
    <t>Estrela do Norte</t>
  </si>
  <si>
    <t>Coelho</t>
  </si>
  <si>
    <t>Alcântara</t>
  </si>
  <si>
    <t>Vista Alegre</t>
  </si>
  <si>
    <t>Maria Paula</t>
  </si>
  <si>
    <t>Colubandê</t>
  </si>
  <si>
    <t>%_Pago_App</t>
  </si>
  <si>
    <t>Maricá</t>
  </si>
  <si>
    <t>Araçatiba</t>
  </si>
  <si>
    <t>Trindade</t>
  </si>
  <si>
    <t>Mutondo</t>
  </si>
  <si>
    <t>São Miguel</t>
  </si>
  <si>
    <t>Ititioca</t>
  </si>
  <si>
    <t>Fonseca</t>
  </si>
  <si>
    <t>Lindo Parque</t>
  </si>
  <si>
    <t>Sete Pontes</t>
  </si>
  <si>
    <t>Camarão</t>
  </si>
  <si>
    <t>Zé Garoto</t>
  </si>
  <si>
    <t>Porto Novo</t>
  </si>
  <si>
    <t>Vila Lage</t>
  </si>
  <si>
    <t>Porto Velho</t>
  </si>
  <si>
    <t>Patronato</t>
  </si>
  <si>
    <t>Rocha</t>
  </si>
  <si>
    <t>Santa Rosa</t>
  </si>
  <si>
    <t>Jardim Catarina</t>
  </si>
  <si>
    <t>Icaraí</t>
  </si>
  <si>
    <t>Pita</t>
  </si>
  <si>
    <t>Venda da Cruz</t>
  </si>
  <si>
    <t>Barro Vermelho</t>
  </si>
  <si>
    <t>Vital Brasil</t>
  </si>
  <si>
    <t>Barreto</t>
  </si>
  <si>
    <t>Engenho Pequeno</t>
  </si>
  <si>
    <t>Santa Catarina</t>
  </si>
  <si>
    <t>Itaboraí</t>
  </si>
  <si>
    <t>Ampliação</t>
  </si>
  <si>
    <t>Retiro São Joaquim</t>
  </si>
  <si>
    <t>Amendoeira</t>
  </si>
  <si>
    <t>Cubango</t>
  </si>
  <si>
    <t>Charitas</t>
  </si>
  <si>
    <t>Prioridade</t>
  </si>
  <si>
    <t>Tx_Espera</t>
  </si>
  <si>
    <t>Tx_Deslocamento</t>
  </si>
  <si>
    <t>Engenhoca</t>
  </si>
  <si>
    <t>Boa Vista</t>
  </si>
  <si>
    <t>Itaipu</t>
  </si>
  <si>
    <t>Baldeador</t>
  </si>
  <si>
    <t>Santa Barbara</t>
  </si>
  <si>
    <t>Largo do Barradas</t>
  </si>
  <si>
    <t>Tribobó</t>
  </si>
  <si>
    <t>Ponta D'areia</t>
  </si>
  <si>
    <t>Covanca</t>
  </si>
  <si>
    <t>Sapê</t>
  </si>
  <si>
    <t>Jardim Alcântara</t>
  </si>
  <si>
    <t>Porto da Madama</t>
  </si>
  <si>
    <t>Paraíso</t>
  </si>
  <si>
    <t>Brasilândia</t>
  </si>
  <si>
    <t>Largo da Batalha</t>
  </si>
  <si>
    <t>Maceio</t>
  </si>
  <si>
    <t>Cantagalo</t>
  </si>
  <si>
    <t>Piratininga</t>
  </si>
  <si>
    <t>Laranjal</t>
  </si>
  <si>
    <t>Miriambi</t>
  </si>
  <si>
    <t>Arsenal</t>
  </si>
  <si>
    <t>Morro do Estado</t>
  </si>
  <si>
    <t>São Domingos</t>
  </si>
  <si>
    <t>São Francisco</t>
  </si>
  <si>
    <t>Ingá</t>
  </si>
  <si>
    <t>Caramujo</t>
  </si>
  <si>
    <t>Raul Veiga</t>
  </si>
  <si>
    <t>Vila Três</t>
  </si>
  <si>
    <t>$_extra</t>
  </si>
  <si>
    <t>São Lourenço</t>
  </si>
  <si>
    <t>Monjolo</t>
  </si>
  <si>
    <t>Nova Cidade</t>
  </si>
  <si>
    <t>Mutuá</t>
  </si>
  <si>
    <t>Porto da Pedra</t>
  </si>
  <si>
    <t>Boaçu</t>
  </si>
  <si>
    <t>Mutua</t>
  </si>
  <si>
    <t>Neves</t>
  </si>
  <si>
    <t>Santana</t>
  </si>
  <si>
    <t>Almerinda</t>
  </si>
  <si>
    <t>PG_Base</t>
  </si>
  <si>
    <t>Jardim California</t>
  </si>
  <si>
    <t>Roca</t>
  </si>
  <si>
    <t>Antonina</t>
  </si>
  <si>
    <t>Maceió</t>
  </si>
  <si>
    <t>Ten. Jardim</t>
  </si>
  <si>
    <t>Monjolos</t>
  </si>
  <si>
    <t>Gradim</t>
  </si>
  <si>
    <t>Brasilandia</t>
  </si>
  <si>
    <t>Mumbuca</t>
  </si>
  <si>
    <t>Zacarias</t>
  </si>
  <si>
    <t>Itapeba</t>
  </si>
  <si>
    <t>Marica</t>
  </si>
  <si>
    <t>Marambaia</t>
  </si>
  <si>
    <t>Ipiiba</t>
  </si>
  <si>
    <t>Rio do Ouro</t>
  </si>
  <si>
    <t>Anaia Pequeno</t>
  </si>
  <si>
    <t>Boa Viagem</t>
  </si>
  <si>
    <t>Fatima</t>
  </si>
  <si>
    <t>Santa Luzia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</si>
</sst>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1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 applyProtection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4" fontId="2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2" fontId="4" fillId="0" borderId="1" xfId="0" applyNumberFormat="1" applyFont="1" applyBorder="1" applyAlignment="1" applyProtection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4" fillId="0" borderId="1" xfId="1" applyNumberFormat="1" applyFont="1" applyBorder="1" applyAlignment="1" applyProtection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8472-2685-40D3-824E-FED05F46CE0E}">
  <dimension ref="A1:K321"/>
  <sheetViews>
    <sheetView workbookViewId="0">
      <pane ySplit="1" topLeftCell="A310" activePane="bottomLeft" state="frozen"/>
      <selection pane="bottomLeft" activeCell="D321" sqref="D321"/>
    </sheetView>
  </sheetViews>
  <sheetFormatPr defaultRowHeight="15" x14ac:dyDescent="0.25"/>
  <cols>
    <col min="1" max="1" width="10.42578125" style="13" bestFit="1" customWidth="1"/>
    <col min="2" max="2" width="10.7109375" style="13" bestFit="1" customWidth="1"/>
    <col min="3" max="3" width="15.140625" style="13" bestFit="1" customWidth="1"/>
    <col min="4" max="4" width="12" style="20" bestFit="1" customWidth="1"/>
    <col min="5" max="5" width="8.28515625" style="13" bestFit="1" customWidth="1"/>
    <col min="6" max="6" width="8.5703125" style="13" bestFit="1" customWidth="1"/>
    <col min="7" max="7" width="14" style="13" bestFit="1" customWidth="1"/>
    <col min="8" max="8" width="9.28515625" style="13" bestFit="1" customWidth="1"/>
    <col min="9" max="9" width="12.42578125" style="13" bestFit="1" customWidth="1"/>
    <col min="10" max="10" width="12.85546875" style="13" bestFit="1" customWidth="1"/>
    <col min="11" max="11" width="12.42578125" style="19" bestFit="1" customWidth="1"/>
    <col min="12" max="16384" width="9.140625" style="13"/>
  </cols>
  <sheetData>
    <row r="1" spans="1:11" s="17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13">
        <v>1</v>
      </c>
      <c r="B2" s="14">
        <v>45871</v>
      </c>
      <c r="C2" s="13" t="str">
        <f t="shared" ref="C2:C65" si="0">PROPER(TEXT(WEEKDAY(B2),"dddd"))</f>
        <v>Sábado</v>
      </c>
      <c r="D2" s="20">
        <v>0.41944444444444445</v>
      </c>
      <c r="E2" s="13">
        <f t="shared" ref="E2:E65" si="1">A2</f>
        <v>1</v>
      </c>
      <c r="F2" s="13">
        <f t="shared" ref="F2:F65" si="2">A2</f>
        <v>1</v>
      </c>
      <c r="G2" s="13">
        <v>1</v>
      </c>
      <c r="H2" s="13">
        <v>1</v>
      </c>
      <c r="I2" s="13">
        <v>1</v>
      </c>
      <c r="J2" s="13">
        <v>2</v>
      </c>
      <c r="K2" s="19">
        <v>6.75</v>
      </c>
    </row>
    <row r="3" spans="1:11" x14ac:dyDescent="0.25">
      <c r="A3" s="13">
        <v>2</v>
      </c>
      <c r="B3" s="14">
        <v>45911</v>
      </c>
      <c r="C3" s="13" t="str">
        <f t="shared" si="0"/>
        <v>Quinta-Feira</v>
      </c>
      <c r="D3" s="20">
        <v>0.65208333333333335</v>
      </c>
      <c r="E3" s="13">
        <f t="shared" si="1"/>
        <v>2</v>
      </c>
      <c r="F3" s="13">
        <f t="shared" si="2"/>
        <v>2</v>
      </c>
      <c r="G3" s="13">
        <v>2</v>
      </c>
      <c r="H3" s="13">
        <v>1</v>
      </c>
      <c r="I3" s="13">
        <v>1</v>
      </c>
      <c r="J3" s="13">
        <v>2</v>
      </c>
      <c r="K3" s="19">
        <v>8.51</v>
      </c>
    </row>
    <row r="4" spans="1:11" x14ac:dyDescent="0.25">
      <c r="A4" s="13">
        <v>3</v>
      </c>
      <c r="B4" s="14">
        <v>45913</v>
      </c>
      <c r="C4" s="13" t="str">
        <f t="shared" si="0"/>
        <v>Sábado</v>
      </c>
      <c r="D4" s="20">
        <v>0.47638888888888892</v>
      </c>
      <c r="E4" s="13">
        <f t="shared" si="1"/>
        <v>3</v>
      </c>
      <c r="F4" s="13">
        <f t="shared" si="2"/>
        <v>3</v>
      </c>
      <c r="G4" s="13">
        <v>1</v>
      </c>
      <c r="H4" s="13">
        <v>1</v>
      </c>
      <c r="I4" s="13">
        <v>1</v>
      </c>
      <c r="J4" s="13">
        <v>2</v>
      </c>
      <c r="K4" s="19">
        <v>8.35</v>
      </c>
    </row>
    <row r="5" spans="1:11" x14ac:dyDescent="0.25">
      <c r="A5" s="13">
        <v>4</v>
      </c>
      <c r="B5" s="14">
        <v>45913</v>
      </c>
      <c r="C5" s="13" t="str">
        <f t="shared" si="0"/>
        <v>Sábado</v>
      </c>
      <c r="D5" s="20">
        <v>0.5</v>
      </c>
      <c r="E5" s="13">
        <f t="shared" si="1"/>
        <v>4</v>
      </c>
      <c r="F5" s="13">
        <f t="shared" si="2"/>
        <v>4</v>
      </c>
      <c r="G5" s="13">
        <v>1</v>
      </c>
      <c r="H5" s="13">
        <v>1</v>
      </c>
      <c r="I5" s="13">
        <v>1</v>
      </c>
      <c r="J5" s="13">
        <v>2</v>
      </c>
      <c r="K5" s="19">
        <v>10.8</v>
      </c>
    </row>
    <row r="6" spans="1:11" x14ac:dyDescent="0.25">
      <c r="A6" s="13">
        <v>5</v>
      </c>
      <c r="B6" s="14">
        <v>45913</v>
      </c>
      <c r="C6" s="13" t="str">
        <f t="shared" si="0"/>
        <v>Sábado</v>
      </c>
      <c r="D6" s="20">
        <v>0.52847222222222223</v>
      </c>
      <c r="E6" s="13">
        <f t="shared" si="1"/>
        <v>5</v>
      </c>
      <c r="F6" s="13">
        <f t="shared" si="2"/>
        <v>5</v>
      </c>
      <c r="G6" s="13">
        <v>2</v>
      </c>
      <c r="H6" s="13">
        <v>1</v>
      </c>
      <c r="I6" s="13">
        <v>1</v>
      </c>
      <c r="J6" s="13">
        <v>2</v>
      </c>
      <c r="K6" s="19">
        <v>15.6</v>
      </c>
    </row>
    <row r="7" spans="1:11" x14ac:dyDescent="0.25">
      <c r="A7" s="13">
        <v>6</v>
      </c>
      <c r="B7" s="14">
        <v>45913</v>
      </c>
      <c r="C7" s="13" t="str">
        <f t="shared" si="0"/>
        <v>Sábado</v>
      </c>
      <c r="D7" s="20">
        <v>0.54166666666666663</v>
      </c>
      <c r="E7" s="13">
        <f t="shared" si="1"/>
        <v>6</v>
      </c>
      <c r="F7" s="13">
        <f t="shared" si="2"/>
        <v>6</v>
      </c>
      <c r="G7" s="13">
        <v>3</v>
      </c>
      <c r="H7" s="13">
        <v>1</v>
      </c>
      <c r="I7" s="13">
        <v>1</v>
      </c>
      <c r="J7" s="13">
        <v>2</v>
      </c>
      <c r="K7" s="19">
        <v>0</v>
      </c>
    </row>
    <row r="8" spans="1:11" x14ac:dyDescent="0.25">
      <c r="A8" s="13">
        <v>7</v>
      </c>
      <c r="B8" s="14">
        <v>45913</v>
      </c>
      <c r="C8" s="13" t="str">
        <f t="shared" si="0"/>
        <v>Sábado</v>
      </c>
      <c r="D8" s="20">
        <v>0.60833333333333328</v>
      </c>
      <c r="E8" s="13">
        <f t="shared" si="1"/>
        <v>7</v>
      </c>
      <c r="F8" s="13">
        <f t="shared" si="2"/>
        <v>7</v>
      </c>
      <c r="G8" s="13">
        <v>2</v>
      </c>
      <c r="H8" s="13">
        <v>1</v>
      </c>
      <c r="I8" s="13">
        <v>1</v>
      </c>
      <c r="J8" s="13">
        <v>2</v>
      </c>
      <c r="K8" s="19">
        <v>14.51</v>
      </c>
    </row>
    <row r="9" spans="1:11" x14ac:dyDescent="0.25">
      <c r="A9" s="13">
        <v>8</v>
      </c>
      <c r="B9" s="14">
        <v>45913</v>
      </c>
      <c r="C9" s="13" t="str">
        <f t="shared" si="0"/>
        <v>Sábado</v>
      </c>
      <c r="D9" s="20">
        <v>0.62430555555555556</v>
      </c>
      <c r="E9" s="13">
        <f t="shared" si="1"/>
        <v>8</v>
      </c>
      <c r="F9" s="13">
        <f t="shared" si="2"/>
        <v>8</v>
      </c>
      <c r="G9" s="13">
        <v>5</v>
      </c>
      <c r="H9" s="13">
        <v>1</v>
      </c>
      <c r="I9" s="13">
        <v>1</v>
      </c>
      <c r="J9" s="13">
        <v>2</v>
      </c>
      <c r="K9" s="19">
        <v>0</v>
      </c>
    </row>
    <row r="10" spans="1:11" x14ac:dyDescent="0.25">
      <c r="A10" s="13">
        <v>9</v>
      </c>
      <c r="B10" s="14">
        <v>45913</v>
      </c>
      <c r="C10" s="13" t="str">
        <f t="shared" si="0"/>
        <v>Sábado</v>
      </c>
      <c r="D10" s="20">
        <v>0.63958333333333328</v>
      </c>
      <c r="E10" s="13">
        <f t="shared" si="1"/>
        <v>9</v>
      </c>
      <c r="F10" s="13">
        <f t="shared" si="2"/>
        <v>9</v>
      </c>
      <c r="G10" s="13">
        <v>2</v>
      </c>
      <c r="H10" s="13">
        <v>1</v>
      </c>
      <c r="I10" s="13">
        <v>1</v>
      </c>
      <c r="J10" s="13">
        <v>2</v>
      </c>
      <c r="K10" s="19">
        <v>13.3</v>
      </c>
    </row>
    <row r="11" spans="1:11" x14ac:dyDescent="0.25">
      <c r="A11" s="13">
        <v>10</v>
      </c>
      <c r="B11" s="14">
        <v>45929</v>
      </c>
      <c r="C11" s="13" t="str">
        <f t="shared" si="0"/>
        <v>Segunda-Feira</v>
      </c>
      <c r="D11" s="20">
        <v>0.46388888888888885</v>
      </c>
      <c r="E11" s="13">
        <f t="shared" si="1"/>
        <v>10</v>
      </c>
      <c r="F11" s="13">
        <f t="shared" si="2"/>
        <v>10</v>
      </c>
      <c r="G11" s="13">
        <v>1</v>
      </c>
      <c r="H11" s="13">
        <v>1</v>
      </c>
      <c r="I11" s="13">
        <v>1</v>
      </c>
      <c r="J11" s="13">
        <v>2</v>
      </c>
      <c r="K11" s="19">
        <v>6.7</v>
      </c>
    </row>
    <row r="12" spans="1:11" x14ac:dyDescent="0.25">
      <c r="A12" s="13">
        <v>11</v>
      </c>
      <c r="B12" s="14">
        <v>45929</v>
      </c>
      <c r="C12" s="13" t="str">
        <f t="shared" si="0"/>
        <v>Segunda-Feira</v>
      </c>
      <c r="D12" s="20">
        <v>0.47361111111111115</v>
      </c>
      <c r="E12" s="13">
        <f t="shared" si="1"/>
        <v>11</v>
      </c>
      <c r="F12" s="13">
        <f t="shared" si="2"/>
        <v>11</v>
      </c>
      <c r="G12" s="13">
        <v>3</v>
      </c>
      <c r="H12" s="13">
        <v>1</v>
      </c>
      <c r="I12" s="13">
        <v>1</v>
      </c>
      <c r="J12" s="13">
        <v>2</v>
      </c>
      <c r="K12" s="19">
        <v>0</v>
      </c>
    </row>
    <row r="13" spans="1:11" x14ac:dyDescent="0.25">
      <c r="A13" s="13">
        <v>12</v>
      </c>
      <c r="B13" s="14">
        <v>45932</v>
      </c>
      <c r="C13" s="13" t="str">
        <f t="shared" si="0"/>
        <v>Quinta-Feira</v>
      </c>
      <c r="D13" s="20">
        <v>0.65416666666666667</v>
      </c>
      <c r="E13" s="13">
        <f t="shared" si="1"/>
        <v>12</v>
      </c>
      <c r="F13" s="13">
        <f t="shared" si="2"/>
        <v>12</v>
      </c>
      <c r="G13" s="13">
        <v>1</v>
      </c>
      <c r="H13" s="13">
        <v>1</v>
      </c>
      <c r="I13" s="13">
        <v>1</v>
      </c>
      <c r="J13" s="13">
        <v>2</v>
      </c>
      <c r="K13" s="19">
        <v>13.35</v>
      </c>
    </row>
    <row r="14" spans="1:11" x14ac:dyDescent="0.25">
      <c r="A14" s="13">
        <v>13</v>
      </c>
      <c r="B14" s="14">
        <v>45932</v>
      </c>
      <c r="C14" s="13" t="str">
        <f t="shared" si="0"/>
        <v>Quinta-Feira</v>
      </c>
      <c r="D14" s="20">
        <v>0.66597222222222219</v>
      </c>
      <c r="E14" s="13">
        <f t="shared" si="1"/>
        <v>13</v>
      </c>
      <c r="F14" s="13">
        <f t="shared" si="2"/>
        <v>13</v>
      </c>
      <c r="G14" s="13">
        <v>2</v>
      </c>
      <c r="H14" s="13">
        <v>1</v>
      </c>
      <c r="I14" s="13">
        <v>1</v>
      </c>
      <c r="J14" s="13">
        <v>2</v>
      </c>
      <c r="K14" s="19">
        <v>10.51</v>
      </c>
    </row>
    <row r="15" spans="1:11" x14ac:dyDescent="0.25">
      <c r="A15" s="13">
        <v>14</v>
      </c>
      <c r="B15" s="14">
        <v>45932</v>
      </c>
      <c r="C15" s="13" t="str">
        <f t="shared" si="0"/>
        <v>Quinta-Feira</v>
      </c>
      <c r="D15" s="20">
        <v>0.67986111111111114</v>
      </c>
      <c r="E15" s="13">
        <f t="shared" si="1"/>
        <v>14</v>
      </c>
      <c r="F15" s="13">
        <f t="shared" si="2"/>
        <v>14</v>
      </c>
      <c r="G15" s="13">
        <v>1</v>
      </c>
      <c r="H15" s="13">
        <v>1</v>
      </c>
      <c r="I15" s="13">
        <v>1</v>
      </c>
      <c r="J15" s="13">
        <v>2</v>
      </c>
      <c r="K15" s="19">
        <v>30.5</v>
      </c>
    </row>
    <row r="16" spans="1:11" x14ac:dyDescent="0.25">
      <c r="A16" s="13">
        <v>15</v>
      </c>
      <c r="B16" s="14">
        <v>45932</v>
      </c>
      <c r="C16" s="13" t="str">
        <f t="shared" si="0"/>
        <v>Quinta-Feira</v>
      </c>
      <c r="D16" s="20">
        <v>0.70486111111111116</v>
      </c>
      <c r="E16" s="13">
        <f t="shared" si="1"/>
        <v>15</v>
      </c>
      <c r="F16" s="13">
        <f t="shared" si="2"/>
        <v>15</v>
      </c>
      <c r="G16" s="13">
        <v>1</v>
      </c>
      <c r="H16" s="13">
        <v>1</v>
      </c>
      <c r="I16" s="13">
        <v>1</v>
      </c>
      <c r="J16" s="13">
        <v>2</v>
      </c>
      <c r="K16" s="19">
        <v>37</v>
      </c>
    </row>
    <row r="17" spans="1:11" x14ac:dyDescent="0.25">
      <c r="A17" s="13">
        <v>16</v>
      </c>
      <c r="B17" s="14">
        <v>45932</v>
      </c>
      <c r="C17" s="13" t="str">
        <f t="shared" si="0"/>
        <v>Quinta-Feira</v>
      </c>
      <c r="D17" s="20">
        <v>0.73958333333333337</v>
      </c>
      <c r="E17" s="13">
        <f t="shared" si="1"/>
        <v>16</v>
      </c>
      <c r="F17" s="13">
        <f t="shared" si="2"/>
        <v>16</v>
      </c>
      <c r="G17" s="13">
        <v>2</v>
      </c>
      <c r="H17" s="13">
        <v>1</v>
      </c>
      <c r="I17" s="13">
        <v>1</v>
      </c>
      <c r="J17" s="13">
        <v>2</v>
      </c>
      <c r="K17" s="19">
        <v>9</v>
      </c>
    </row>
    <row r="18" spans="1:11" x14ac:dyDescent="0.25">
      <c r="A18" s="13">
        <v>17</v>
      </c>
      <c r="B18" s="14">
        <v>45932</v>
      </c>
      <c r="C18" s="13" t="str">
        <f t="shared" si="0"/>
        <v>Quinta-Feira</v>
      </c>
      <c r="D18" s="20">
        <v>0.74652777777777779</v>
      </c>
      <c r="E18" s="13">
        <f t="shared" si="1"/>
        <v>17</v>
      </c>
      <c r="F18" s="13">
        <f t="shared" si="2"/>
        <v>17</v>
      </c>
      <c r="G18" s="13">
        <v>1</v>
      </c>
      <c r="H18" s="13">
        <v>1</v>
      </c>
      <c r="I18" s="13">
        <v>1</v>
      </c>
      <c r="J18" s="13">
        <v>2</v>
      </c>
      <c r="K18" s="19">
        <v>12.5</v>
      </c>
    </row>
    <row r="19" spans="1:11" x14ac:dyDescent="0.25">
      <c r="A19" s="13">
        <v>18</v>
      </c>
      <c r="B19" s="14">
        <v>45932</v>
      </c>
      <c r="C19" s="13" t="str">
        <f t="shared" si="0"/>
        <v>Quinta-Feira</v>
      </c>
      <c r="D19" s="20">
        <v>0.77500000000000002</v>
      </c>
      <c r="E19" s="13">
        <f t="shared" si="1"/>
        <v>18</v>
      </c>
      <c r="F19" s="13">
        <f t="shared" si="2"/>
        <v>18</v>
      </c>
      <c r="G19" s="13">
        <v>3</v>
      </c>
      <c r="H19" s="13">
        <v>1</v>
      </c>
      <c r="I19" s="13">
        <v>1</v>
      </c>
      <c r="J19" s="13">
        <v>2</v>
      </c>
      <c r="K19" s="19">
        <v>0</v>
      </c>
    </row>
    <row r="20" spans="1:11" x14ac:dyDescent="0.25">
      <c r="A20" s="13">
        <v>19</v>
      </c>
      <c r="B20" s="14">
        <v>45933</v>
      </c>
      <c r="C20" s="13" t="str">
        <f t="shared" si="0"/>
        <v>Sexta-Feira</v>
      </c>
      <c r="D20" s="20">
        <v>0.59791666666666665</v>
      </c>
      <c r="E20" s="13">
        <f t="shared" si="1"/>
        <v>19</v>
      </c>
      <c r="F20" s="13">
        <f t="shared" si="2"/>
        <v>19</v>
      </c>
      <c r="G20" s="13">
        <v>1</v>
      </c>
      <c r="H20" s="13">
        <v>1</v>
      </c>
      <c r="I20" s="13">
        <v>1</v>
      </c>
      <c r="J20" s="13">
        <v>2</v>
      </c>
      <c r="K20" s="19">
        <v>41.9</v>
      </c>
    </row>
    <row r="21" spans="1:11" x14ac:dyDescent="0.25">
      <c r="A21" s="13">
        <v>20</v>
      </c>
      <c r="B21" s="14">
        <v>45933</v>
      </c>
      <c r="C21" s="13" t="str">
        <f t="shared" si="0"/>
        <v>Sexta-Feira</v>
      </c>
      <c r="D21" s="20">
        <v>0.63958333333333328</v>
      </c>
      <c r="E21" s="13">
        <f t="shared" si="1"/>
        <v>20</v>
      </c>
      <c r="F21" s="13">
        <f t="shared" si="2"/>
        <v>20</v>
      </c>
      <c r="G21" s="13">
        <v>2</v>
      </c>
      <c r="H21" s="13">
        <v>1</v>
      </c>
      <c r="I21" s="13">
        <v>1</v>
      </c>
      <c r="J21" s="13">
        <v>2</v>
      </c>
      <c r="K21" s="19">
        <v>5.6</v>
      </c>
    </row>
    <row r="22" spans="1:11" x14ac:dyDescent="0.25">
      <c r="A22" s="13">
        <v>21</v>
      </c>
      <c r="B22" s="14">
        <v>45933</v>
      </c>
      <c r="C22" s="13" t="str">
        <f t="shared" si="0"/>
        <v>Sexta-Feira</v>
      </c>
      <c r="D22" s="20">
        <v>0.64861111111111114</v>
      </c>
      <c r="E22" s="13">
        <f t="shared" si="1"/>
        <v>21</v>
      </c>
      <c r="F22" s="13">
        <f t="shared" si="2"/>
        <v>21</v>
      </c>
      <c r="G22" s="13">
        <v>2</v>
      </c>
      <c r="H22" s="13">
        <v>1</v>
      </c>
      <c r="I22" s="13">
        <v>1</v>
      </c>
      <c r="J22" s="13">
        <v>2</v>
      </c>
      <c r="K22" s="19">
        <v>6.4</v>
      </c>
    </row>
    <row r="23" spans="1:11" x14ac:dyDescent="0.25">
      <c r="A23" s="13">
        <v>22</v>
      </c>
      <c r="B23" s="14">
        <v>45933</v>
      </c>
      <c r="C23" s="13" t="str">
        <f t="shared" si="0"/>
        <v>Sexta-Feira</v>
      </c>
      <c r="D23" s="20">
        <v>0.66666666666666663</v>
      </c>
      <c r="E23" s="13">
        <f t="shared" si="1"/>
        <v>22</v>
      </c>
      <c r="F23" s="13">
        <f t="shared" si="2"/>
        <v>22</v>
      </c>
      <c r="G23" s="13">
        <v>1</v>
      </c>
      <c r="H23" s="13">
        <v>1</v>
      </c>
      <c r="I23" s="13">
        <v>1</v>
      </c>
      <c r="J23" s="13">
        <v>2</v>
      </c>
      <c r="K23" s="19">
        <v>2.9</v>
      </c>
    </row>
    <row r="24" spans="1:11" x14ac:dyDescent="0.25">
      <c r="A24" s="13">
        <v>23</v>
      </c>
      <c r="B24" s="14">
        <v>45936</v>
      </c>
      <c r="C24" s="13" t="str">
        <f t="shared" si="0"/>
        <v>Segunda-Feira</v>
      </c>
      <c r="D24" s="20">
        <v>0.22013888888888888</v>
      </c>
      <c r="E24" s="13">
        <f t="shared" si="1"/>
        <v>23</v>
      </c>
      <c r="F24" s="13">
        <f t="shared" si="2"/>
        <v>23</v>
      </c>
      <c r="G24" s="13">
        <v>2</v>
      </c>
      <c r="H24" s="13">
        <v>1</v>
      </c>
      <c r="I24" s="13">
        <v>1</v>
      </c>
      <c r="J24" s="13">
        <v>2</v>
      </c>
      <c r="K24" s="19">
        <v>4.6100000000000003</v>
      </c>
    </row>
    <row r="25" spans="1:11" x14ac:dyDescent="0.25">
      <c r="A25" s="13">
        <v>24</v>
      </c>
      <c r="B25" s="14">
        <v>45936</v>
      </c>
      <c r="C25" s="13" t="str">
        <f t="shared" si="0"/>
        <v>Segunda-Feira</v>
      </c>
      <c r="D25" s="20">
        <v>0.42986111111111108</v>
      </c>
      <c r="E25" s="13">
        <f t="shared" si="1"/>
        <v>24</v>
      </c>
      <c r="F25" s="13">
        <f t="shared" si="2"/>
        <v>24</v>
      </c>
      <c r="G25" s="13">
        <v>2</v>
      </c>
      <c r="H25" s="13">
        <v>1</v>
      </c>
      <c r="I25" s="13">
        <v>1</v>
      </c>
      <c r="J25" s="13">
        <v>2</v>
      </c>
      <c r="K25" s="19">
        <v>24.7</v>
      </c>
    </row>
    <row r="26" spans="1:11" x14ac:dyDescent="0.25">
      <c r="A26" s="13">
        <v>25</v>
      </c>
      <c r="B26" s="14">
        <v>45937</v>
      </c>
      <c r="C26" s="13" t="str">
        <f t="shared" si="0"/>
        <v>Terça-Feira</v>
      </c>
      <c r="D26" s="20">
        <v>0.21736111111111112</v>
      </c>
      <c r="E26" s="13">
        <f t="shared" si="1"/>
        <v>25</v>
      </c>
      <c r="F26" s="13">
        <f t="shared" si="2"/>
        <v>25</v>
      </c>
      <c r="G26" s="13">
        <v>1</v>
      </c>
      <c r="H26" s="13">
        <v>1</v>
      </c>
      <c r="I26" s="13">
        <v>1</v>
      </c>
      <c r="J26" s="13">
        <v>2</v>
      </c>
      <c r="K26" s="19">
        <v>7.4</v>
      </c>
    </row>
    <row r="27" spans="1:11" x14ac:dyDescent="0.25">
      <c r="A27" s="13">
        <v>26</v>
      </c>
      <c r="B27" s="14">
        <v>45937</v>
      </c>
      <c r="C27" s="13" t="str">
        <f t="shared" si="0"/>
        <v>Terça-Feira</v>
      </c>
      <c r="D27" s="20">
        <v>0.23819444444444446</v>
      </c>
      <c r="E27" s="13">
        <f t="shared" si="1"/>
        <v>26</v>
      </c>
      <c r="F27" s="13">
        <f t="shared" si="2"/>
        <v>26</v>
      </c>
      <c r="G27" s="13">
        <v>2</v>
      </c>
      <c r="H27" s="13">
        <v>1</v>
      </c>
      <c r="I27" s="13">
        <v>1</v>
      </c>
      <c r="J27" s="13">
        <v>2</v>
      </c>
      <c r="K27" s="19">
        <v>46</v>
      </c>
    </row>
    <row r="28" spans="1:11" x14ac:dyDescent="0.25">
      <c r="A28" s="13">
        <v>27</v>
      </c>
      <c r="B28" s="14">
        <v>45937</v>
      </c>
      <c r="C28" s="13" t="str">
        <f t="shared" si="0"/>
        <v>Terça-Feira</v>
      </c>
      <c r="D28" s="20">
        <v>0.3</v>
      </c>
      <c r="E28" s="13">
        <f t="shared" si="1"/>
        <v>27</v>
      </c>
      <c r="F28" s="13">
        <f t="shared" si="2"/>
        <v>27</v>
      </c>
      <c r="G28" s="13">
        <v>1</v>
      </c>
      <c r="H28" s="13">
        <v>1</v>
      </c>
      <c r="I28" s="13">
        <v>1</v>
      </c>
      <c r="J28" s="13">
        <v>2</v>
      </c>
      <c r="K28" s="19">
        <v>16.05</v>
      </c>
    </row>
    <row r="29" spans="1:11" x14ac:dyDescent="0.25">
      <c r="A29" s="13">
        <v>28</v>
      </c>
      <c r="B29" s="14">
        <v>45937</v>
      </c>
      <c r="C29" s="13" t="str">
        <f t="shared" si="0"/>
        <v>Terça-Feira</v>
      </c>
      <c r="D29" s="20">
        <v>0.33263888888888887</v>
      </c>
      <c r="E29" s="13">
        <f t="shared" si="1"/>
        <v>28</v>
      </c>
      <c r="F29" s="13">
        <f t="shared" si="2"/>
        <v>28</v>
      </c>
      <c r="G29" s="13">
        <v>2</v>
      </c>
      <c r="H29" s="13">
        <v>1</v>
      </c>
      <c r="I29" s="13">
        <v>1</v>
      </c>
      <c r="J29" s="13">
        <v>2</v>
      </c>
      <c r="K29" s="19">
        <v>9.1999999999999993</v>
      </c>
    </row>
    <row r="30" spans="1:11" x14ac:dyDescent="0.25">
      <c r="A30" s="13">
        <v>29</v>
      </c>
      <c r="B30" s="14">
        <v>45937</v>
      </c>
      <c r="C30" s="13" t="str">
        <f t="shared" si="0"/>
        <v>Terça-Feira</v>
      </c>
      <c r="D30" s="20">
        <v>0.33680555555555558</v>
      </c>
      <c r="E30" s="13">
        <f t="shared" si="1"/>
        <v>29</v>
      </c>
      <c r="F30" s="13">
        <f t="shared" si="2"/>
        <v>29</v>
      </c>
      <c r="G30" s="13">
        <v>1</v>
      </c>
      <c r="H30" s="13">
        <v>1</v>
      </c>
      <c r="I30" s="13">
        <v>1</v>
      </c>
      <c r="J30" s="13">
        <v>2</v>
      </c>
      <c r="K30" s="19">
        <v>14.4</v>
      </c>
    </row>
    <row r="31" spans="1:11" x14ac:dyDescent="0.25">
      <c r="A31" s="13">
        <v>30</v>
      </c>
      <c r="B31" s="14">
        <v>45937</v>
      </c>
      <c r="C31" s="13" t="str">
        <f t="shared" si="0"/>
        <v>Terça-Feira</v>
      </c>
      <c r="D31" s="20">
        <v>0.37222222222222223</v>
      </c>
      <c r="E31" s="13">
        <f t="shared" si="1"/>
        <v>30</v>
      </c>
      <c r="F31" s="13">
        <f t="shared" si="2"/>
        <v>30</v>
      </c>
      <c r="G31" s="13">
        <v>2</v>
      </c>
      <c r="H31" s="13">
        <v>1</v>
      </c>
      <c r="I31" s="13">
        <v>1</v>
      </c>
      <c r="J31" s="13">
        <v>2</v>
      </c>
      <c r="K31" s="19">
        <v>10.1</v>
      </c>
    </row>
    <row r="32" spans="1:11" x14ac:dyDescent="0.25">
      <c r="A32" s="13">
        <v>31</v>
      </c>
      <c r="B32" s="14">
        <v>45937</v>
      </c>
      <c r="C32" s="13" t="str">
        <f t="shared" si="0"/>
        <v>Terça-Feira</v>
      </c>
      <c r="D32" s="20">
        <v>0.40416666666666662</v>
      </c>
      <c r="E32" s="13">
        <f t="shared" si="1"/>
        <v>31</v>
      </c>
      <c r="F32" s="13">
        <f t="shared" si="2"/>
        <v>31</v>
      </c>
      <c r="G32" s="13">
        <v>1</v>
      </c>
      <c r="H32" s="13">
        <v>1</v>
      </c>
      <c r="I32" s="13">
        <v>1</v>
      </c>
      <c r="J32" s="13">
        <v>2</v>
      </c>
      <c r="K32" s="19">
        <v>60</v>
      </c>
    </row>
    <row r="33" spans="1:11" x14ac:dyDescent="0.25">
      <c r="A33" s="13">
        <v>32</v>
      </c>
      <c r="B33" s="14">
        <v>45937</v>
      </c>
      <c r="C33" s="13" t="str">
        <f t="shared" si="0"/>
        <v>Terça-Feira</v>
      </c>
      <c r="D33" s="20">
        <v>0.44930555555555557</v>
      </c>
      <c r="E33" s="13">
        <f t="shared" si="1"/>
        <v>32</v>
      </c>
      <c r="F33" s="13">
        <f t="shared" si="2"/>
        <v>32</v>
      </c>
      <c r="G33" s="13">
        <v>1</v>
      </c>
      <c r="H33" s="13">
        <v>1</v>
      </c>
      <c r="I33" s="13">
        <v>1</v>
      </c>
      <c r="J33" s="13">
        <v>2</v>
      </c>
      <c r="K33" s="19">
        <v>18.3</v>
      </c>
    </row>
    <row r="34" spans="1:11" x14ac:dyDescent="0.25">
      <c r="A34" s="13">
        <v>33</v>
      </c>
      <c r="B34" s="14">
        <v>45937</v>
      </c>
      <c r="C34" s="13" t="str">
        <f t="shared" si="0"/>
        <v>Terça-Feira</v>
      </c>
      <c r="D34" s="20">
        <v>0.47847222222222219</v>
      </c>
      <c r="E34" s="13">
        <f t="shared" si="1"/>
        <v>33</v>
      </c>
      <c r="F34" s="13">
        <f t="shared" si="2"/>
        <v>33</v>
      </c>
      <c r="G34" s="13">
        <v>2</v>
      </c>
      <c r="H34" s="13">
        <v>1</v>
      </c>
      <c r="I34" s="13">
        <v>1</v>
      </c>
      <c r="J34" s="13">
        <v>2</v>
      </c>
      <c r="K34" s="19">
        <v>17.899999999999999</v>
      </c>
    </row>
    <row r="35" spans="1:11" x14ac:dyDescent="0.25">
      <c r="A35" s="13">
        <v>34</v>
      </c>
      <c r="B35" s="14">
        <v>45937</v>
      </c>
      <c r="C35" s="13" t="str">
        <f t="shared" si="0"/>
        <v>Terça-Feira</v>
      </c>
      <c r="D35" s="20">
        <v>0.4993055555555555</v>
      </c>
      <c r="E35" s="13">
        <f t="shared" si="1"/>
        <v>34</v>
      </c>
      <c r="F35" s="13">
        <f t="shared" si="2"/>
        <v>34</v>
      </c>
      <c r="G35" s="13">
        <v>2</v>
      </c>
      <c r="H35" s="13">
        <v>1</v>
      </c>
      <c r="I35" s="13">
        <v>1</v>
      </c>
      <c r="J35" s="13">
        <v>2</v>
      </c>
      <c r="K35" s="19">
        <v>24.25</v>
      </c>
    </row>
    <row r="36" spans="1:11" x14ac:dyDescent="0.25">
      <c r="A36" s="13">
        <v>35</v>
      </c>
      <c r="B36" s="14">
        <v>45937</v>
      </c>
      <c r="C36" s="13" t="str">
        <f t="shared" si="0"/>
        <v>Terça-Feira</v>
      </c>
      <c r="D36" s="20">
        <v>0.51597222222222217</v>
      </c>
      <c r="E36" s="13">
        <f t="shared" si="1"/>
        <v>35</v>
      </c>
      <c r="F36" s="13">
        <f t="shared" si="2"/>
        <v>35</v>
      </c>
      <c r="G36" s="13">
        <v>1</v>
      </c>
      <c r="H36" s="13">
        <v>1</v>
      </c>
      <c r="I36" s="13">
        <v>1</v>
      </c>
      <c r="J36" s="13">
        <v>2</v>
      </c>
      <c r="K36" s="19">
        <v>24.9</v>
      </c>
    </row>
    <row r="37" spans="1:11" x14ac:dyDescent="0.25">
      <c r="A37" s="13">
        <v>36</v>
      </c>
      <c r="B37" s="14">
        <v>45944</v>
      </c>
      <c r="C37" s="13" t="str">
        <f t="shared" si="0"/>
        <v>Terça-Feira</v>
      </c>
      <c r="D37" s="20">
        <v>0.22013888888888888</v>
      </c>
      <c r="E37" s="13">
        <f t="shared" si="1"/>
        <v>36</v>
      </c>
      <c r="F37" s="13">
        <f t="shared" si="2"/>
        <v>36</v>
      </c>
      <c r="G37" s="13">
        <v>2</v>
      </c>
      <c r="H37" s="13">
        <v>1</v>
      </c>
      <c r="I37" s="13">
        <v>1</v>
      </c>
      <c r="J37" s="13">
        <v>2</v>
      </c>
      <c r="K37" s="19">
        <v>5.5</v>
      </c>
    </row>
    <row r="38" spans="1:11" x14ac:dyDescent="0.25">
      <c r="A38" s="13">
        <v>37</v>
      </c>
      <c r="B38" s="14">
        <v>45944</v>
      </c>
      <c r="C38" s="13" t="str">
        <f t="shared" si="0"/>
        <v>Terça-Feira</v>
      </c>
      <c r="D38" s="20">
        <v>0.2298611111111111</v>
      </c>
      <c r="E38" s="13">
        <f t="shared" si="1"/>
        <v>37</v>
      </c>
      <c r="F38" s="13">
        <f t="shared" si="2"/>
        <v>37</v>
      </c>
      <c r="G38" s="13">
        <v>1</v>
      </c>
      <c r="H38" s="13">
        <v>1</v>
      </c>
      <c r="I38" s="13">
        <v>1</v>
      </c>
      <c r="J38" s="13">
        <v>2</v>
      </c>
      <c r="K38" s="19">
        <v>17.100000000000001</v>
      </c>
    </row>
    <row r="39" spans="1:11" x14ac:dyDescent="0.25">
      <c r="A39" s="13">
        <v>38</v>
      </c>
      <c r="B39" s="14">
        <v>45944</v>
      </c>
      <c r="C39" s="13" t="str">
        <f t="shared" si="0"/>
        <v>Terça-Feira</v>
      </c>
      <c r="D39" s="20">
        <v>0.25763888888888892</v>
      </c>
      <c r="E39" s="13">
        <f t="shared" si="1"/>
        <v>38</v>
      </c>
      <c r="F39" s="13">
        <f t="shared" si="2"/>
        <v>38</v>
      </c>
      <c r="G39" s="13">
        <v>1</v>
      </c>
      <c r="H39" s="13">
        <v>1</v>
      </c>
      <c r="I39" s="13">
        <v>1</v>
      </c>
      <c r="J39" s="13">
        <v>2</v>
      </c>
      <c r="K39" s="19">
        <v>43.55</v>
      </c>
    </row>
    <row r="40" spans="1:11" x14ac:dyDescent="0.25">
      <c r="A40" s="13">
        <v>39</v>
      </c>
      <c r="B40" s="14">
        <v>45944</v>
      </c>
      <c r="C40" s="13" t="str">
        <f t="shared" si="0"/>
        <v>Terça-Feira</v>
      </c>
      <c r="D40" s="20">
        <v>0.2902777777777778</v>
      </c>
      <c r="E40" s="13">
        <f t="shared" si="1"/>
        <v>39</v>
      </c>
      <c r="F40" s="13">
        <f t="shared" si="2"/>
        <v>39</v>
      </c>
      <c r="G40" s="13">
        <v>1</v>
      </c>
      <c r="H40" s="13">
        <v>1</v>
      </c>
      <c r="I40" s="13">
        <v>1</v>
      </c>
      <c r="J40" s="13">
        <v>2</v>
      </c>
      <c r="K40" s="19">
        <v>7.3</v>
      </c>
    </row>
    <row r="41" spans="1:11" x14ac:dyDescent="0.25">
      <c r="A41" s="13">
        <v>40</v>
      </c>
      <c r="B41" s="14">
        <v>45944</v>
      </c>
      <c r="C41" s="13" t="str">
        <f t="shared" si="0"/>
        <v>Terça-Feira</v>
      </c>
      <c r="D41" s="20">
        <v>0.36041666666666666</v>
      </c>
      <c r="E41" s="13">
        <f t="shared" si="1"/>
        <v>40</v>
      </c>
      <c r="F41" s="13">
        <f t="shared" si="2"/>
        <v>40</v>
      </c>
      <c r="G41" s="13">
        <v>1</v>
      </c>
      <c r="H41" s="13">
        <v>1</v>
      </c>
      <c r="I41" s="13">
        <v>1</v>
      </c>
      <c r="J41" s="13">
        <v>2</v>
      </c>
      <c r="K41" s="19">
        <v>33.700000000000003</v>
      </c>
    </row>
    <row r="42" spans="1:11" x14ac:dyDescent="0.25">
      <c r="A42" s="13">
        <v>41</v>
      </c>
      <c r="B42" s="14">
        <v>45944</v>
      </c>
      <c r="C42" s="13" t="str">
        <f t="shared" si="0"/>
        <v>Terça-Feira</v>
      </c>
      <c r="D42" s="20">
        <v>0.39930555555555558</v>
      </c>
      <c r="E42" s="13">
        <f t="shared" si="1"/>
        <v>41</v>
      </c>
      <c r="F42" s="13">
        <f t="shared" si="2"/>
        <v>41</v>
      </c>
      <c r="G42" s="13">
        <v>2</v>
      </c>
      <c r="H42" s="13">
        <v>1</v>
      </c>
      <c r="I42" s="13">
        <v>1</v>
      </c>
      <c r="J42" s="13">
        <v>2</v>
      </c>
      <c r="K42" s="19">
        <v>12</v>
      </c>
    </row>
    <row r="43" spans="1:11" x14ac:dyDescent="0.25">
      <c r="A43" s="13">
        <v>42</v>
      </c>
      <c r="B43" s="14">
        <v>45944</v>
      </c>
      <c r="C43" s="13" t="str">
        <f t="shared" si="0"/>
        <v>Terça-Feira</v>
      </c>
      <c r="D43" s="20">
        <v>0.45624999999999999</v>
      </c>
      <c r="E43" s="13">
        <f t="shared" si="1"/>
        <v>42</v>
      </c>
      <c r="F43" s="13">
        <f t="shared" si="2"/>
        <v>42</v>
      </c>
      <c r="G43" s="13">
        <v>4</v>
      </c>
      <c r="H43" s="13">
        <v>1</v>
      </c>
      <c r="I43" s="13">
        <v>1</v>
      </c>
      <c r="J43" s="13">
        <v>2</v>
      </c>
      <c r="K43" s="19">
        <v>3.7</v>
      </c>
    </row>
    <row r="44" spans="1:11" x14ac:dyDescent="0.25">
      <c r="A44" s="13">
        <v>43</v>
      </c>
      <c r="B44" s="14">
        <v>45944</v>
      </c>
      <c r="C44" s="13" t="str">
        <f t="shared" si="0"/>
        <v>Terça-Feira</v>
      </c>
      <c r="D44" s="20">
        <v>0.46319444444444446</v>
      </c>
      <c r="E44" s="13">
        <f t="shared" si="1"/>
        <v>43</v>
      </c>
      <c r="F44" s="13">
        <f t="shared" si="2"/>
        <v>43</v>
      </c>
      <c r="G44" s="13">
        <v>1</v>
      </c>
      <c r="H44" s="13">
        <v>1</v>
      </c>
      <c r="I44" s="13">
        <v>1</v>
      </c>
      <c r="J44" s="13">
        <v>2</v>
      </c>
      <c r="K44" s="19">
        <v>24.1</v>
      </c>
    </row>
    <row r="45" spans="1:11" x14ac:dyDescent="0.25">
      <c r="A45" s="13">
        <v>44</v>
      </c>
      <c r="B45" s="14">
        <v>45944</v>
      </c>
      <c r="C45" s="13" t="str">
        <f t="shared" si="0"/>
        <v>Terça-Feira</v>
      </c>
      <c r="D45" s="20">
        <v>0.5083333333333333</v>
      </c>
      <c r="E45" s="13">
        <f t="shared" si="1"/>
        <v>44</v>
      </c>
      <c r="F45" s="13">
        <f t="shared" si="2"/>
        <v>44</v>
      </c>
      <c r="G45" s="13">
        <v>1</v>
      </c>
      <c r="H45" s="13">
        <v>1</v>
      </c>
      <c r="I45" s="13">
        <v>1</v>
      </c>
      <c r="J45" s="13">
        <v>2</v>
      </c>
      <c r="K45" s="19">
        <v>17</v>
      </c>
    </row>
    <row r="46" spans="1:11" x14ac:dyDescent="0.25">
      <c r="A46" s="13">
        <v>45</v>
      </c>
      <c r="B46" s="14">
        <v>45944</v>
      </c>
      <c r="C46" s="13" t="str">
        <f t="shared" si="0"/>
        <v>Terça-Feira</v>
      </c>
      <c r="D46" s="20">
        <v>0.54861111111111105</v>
      </c>
      <c r="E46" s="13">
        <f t="shared" si="1"/>
        <v>45</v>
      </c>
      <c r="F46" s="13">
        <f t="shared" si="2"/>
        <v>45</v>
      </c>
      <c r="G46" s="13">
        <v>2</v>
      </c>
      <c r="H46" s="13">
        <v>1</v>
      </c>
      <c r="I46" s="13">
        <v>1</v>
      </c>
      <c r="J46" s="13">
        <v>2</v>
      </c>
      <c r="K46" s="19">
        <v>10</v>
      </c>
    </row>
    <row r="47" spans="1:11" x14ac:dyDescent="0.25">
      <c r="A47" s="13">
        <v>46</v>
      </c>
      <c r="B47" s="14">
        <v>45944</v>
      </c>
      <c r="C47" s="13" t="str">
        <f t="shared" si="0"/>
        <v>Terça-Feira</v>
      </c>
      <c r="D47" s="20">
        <v>0.55763888888888891</v>
      </c>
      <c r="E47" s="13">
        <f t="shared" si="1"/>
        <v>46</v>
      </c>
      <c r="F47" s="13">
        <f t="shared" si="2"/>
        <v>46</v>
      </c>
      <c r="G47" s="13">
        <v>2</v>
      </c>
      <c r="H47" s="13">
        <v>1</v>
      </c>
      <c r="I47" s="13">
        <v>1</v>
      </c>
      <c r="J47" s="13">
        <v>2</v>
      </c>
      <c r="K47" s="19">
        <v>17.510000000000002</v>
      </c>
    </row>
    <row r="48" spans="1:11" x14ac:dyDescent="0.25">
      <c r="A48" s="13">
        <v>47</v>
      </c>
      <c r="B48" s="14">
        <v>45944</v>
      </c>
      <c r="C48" s="13" t="str">
        <f t="shared" si="0"/>
        <v>Terça-Feira</v>
      </c>
      <c r="D48" s="20">
        <v>0.63055555555555554</v>
      </c>
      <c r="E48" s="13">
        <f t="shared" si="1"/>
        <v>47</v>
      </c>
      <c r="F48" s="13">
        <f t="shared" si="2"/>
        <v>47</v>
      </c>
      <c r="G48" s="13">
        <v>2</v>
      </c>
      <c r="H48" s="13">
        <v>1</v>
      </c>
      <c r="I48" s="13">
        <v>1</v>
      </c>
      <c r="J48" s="13">
        <v>2</v>
      </c>
      <c r="K48" s="19">
        <v>10.7</v>
      </c>
    </row>
    <row r="49" spans="1:11" x14ac:dyDescent="0.25">
      <c r="A49" s="13">
        <v>48</v>
      </c>
      <c r="B49" s="14">
        <v>45945</v>
      </c>
      <c r="C49" s="13" t="str">
        <f t="shared" si="0"/>
        <v>Quarta-Feira</v>
      </c>
      <c r="D49" s="20">
        <v>0.29375000000000001</v>
      </c>
      <c r="E49" s="13">
        <f t="shared" si="1"/>
        <v>48</v>
      </c>
      <c r="F49" s="13">
        <f t="shared" si="2"/>
        <v>48</v>
      </c>
      <c r="G49" s="13">
        <v>2</v>
      </c>
      <c r="H49" s="13">
        <v>1</v>
      </c>
      <c r="I49" s="13">
        <v>1</v>
      </c>
      <c r="J49" s="13">
        <v>2</v>
      </c>
      <c r="K49" s="19">
        <v>36.1</v>
      </c>
    </row>
    <row r="50" spans="1:11" x14ac:dyDescent="0.25">
      <c r="A50" s="13">
        <v>49</v>
      </c>
      <c r="B50" s="14">
        <v>45946</v>
      </c>
      <c r="C50" s="13" t="str">
        <f t="shared" si="0"/>
        <v>Quinta-Feira</v>
      </c>
      <c r="D50" s="20">
        <v>0.65277777777777779</v>
      </c>
      <c r="E50" s="13">
        <f t="shared" si="1"/>
        <v>49</v>
      </c>
      <c r="F50" s="13">
        <f t="shared" si="2"/>
        <v>49</v>
      </c>
      <c r="G50" s="13">
        <v>1</v>
      </c>
      <c r="H50" s="13">
        <v>1</v>
      </c>
      <c r="I50" s="13">
        <v>1</v>
      </c>
      <c r="J50" s="13">
        <v>2</v>
      </c>
      <c r="K50" s="19">
        <v>13.4</v>
      </c>
    </row>
    <row r="51" spans="1:11" x14ac:dyDescent="0.25">
      <c r="A51" s="13">
        <v>50</v>
      </c>
      <c r="B51" s="14">
        <v>45946</v>
      </c>
      <c r="C51" s="13" t="str">
        <f t="shared" si="0"/>
        <v>Quinta-Feira</v>
      </c>
      <c r="D51" s="20">
        <v>0.65625</v>
      </c>
      <c r="E51" s="13">
        <f t="shared" si="1"/>
        <v>50</v>
      </c>
      <c r="F51" s="13">
        <f t="shared" si="2"/>
        <v>50</v>
      </c>
      <c r="G51" s="13">
        <v>2</v>
      </c>
      <c r="H51" s="13">
        <v>1</v>
      </c>
      <c r="I51" s="13">
        <v>1</v>
      </c>
      <c r="J51" s="13">
        <v>2</v>
      </c>
      <c r="K51" s="19">
        <v>10.199999999999999</v>
      </c>
    </row>
    <row r="52" spans="1:11" x14ac:dyDescent="0.25">
      <c r="A52" s="13">
        <v>51</v>
      </c>
      <c r="B52" s="14">
        <v>45946</v>
      </c>
      <c r="C52" s="13" t="str">
        <f t="shared" si="0"/>
        <v>Quinta-Feira</v>
      </c>
      <c r="D52" s="20">
        <v>0.67499999999999993</v>
      </c>
      <c r="E52" s="13">
        <f t="shared" si="1"/>
        <v>51</v>
      </c>
      <c r="F52" s="13">
        <f t="shared" si="2"/>
        <v>51</v>
      </c>
      <c r="G52" s="13">
        <v>2</v>
      </c>
      <c r="H52" s="13">
        <v>1</v>
      </c>
      <c r="I52" s="13">
        <v>1</v>
      </c>
      <c r="J52" s="13">
        <v>2</v>
      </c>
      <c r="K52" s="19">
        <v>13.75</v>
      </c>
    </row>
    <row r="53" spans="1:11" x14ac:dyDescent="0.25">
      <c r="A53" s="13">
        <v>52</v>
      </c>
      <c r="B53" s="14">
        <v>45946</v>
      </c>
      <c r="C53" s="13" t="str">
        <f t="shared" si="0"/>
        <v>Quinta-Feira</v>
      </c>
      <c r="D53" s="20">
        <v>0.69236111111111109</v>
      </c>
      <c r="E53" s="13">
        <f t="shared" si="1"/>
        <v>52</v>
      </c>
      <c r="F53" s="13">
        <f t="shared" si="2"/>
        <v>52</v>
      </c>
      <c r="G53" s="13">
        <v>2</v>
      </c>
      <c r="H53" s="13">
        <v>1</v>
      </c>
      <c r="I53" s="13">
        <v>1</v>
      </c>
      <c r="J53" s="13">
        <v>2</v>
      </c>
      <c r="K53" s="19">
        <v>27.2</v>
      </c>
    </row>
    <row r="54" spans="1:11" x14ac:dyDescent="0.25">
      <c r="A54" s="13">
        <v>53</v>
      </c>
      <c r="B54" s="14">
        <v>45946</v>
      </c>
      <c r="C54" s="13" t="str">
        <f t="shared" si="0"/>
        <v>Quinta-Feira</v>
      </c>
      <c r="D54" s="20">
        <v>0.74652777777777779</v>
      </c>
      <c r="E54" s="13">
        <f t="shared" si="1"/>
        <v>53</v>
      </c>
      <c r="F54" s="13">
        <f t="shared" si="2"/>
        <v>53</v>
      </c>
      <c r="G54" s="13">
        <v>1</v>
      </c>
      <c r="H54" s="13">
        <v>1</v>
      </c>
      <c r="I54" s="13">
        <v>1</v>
      </c>
      <c r="J54" s="13">
        <v>2</v>
      </c>
      <c r="K54" s="19">
        <v>55.4</v>
      </c>
    </row>
    <row r="55" spans="1:11" x14ac:dyDescent="0.25">
      <c r="A55" s="13">
        <v>54</v>
      </c>
      <c r="B55" s="14">
        <v>45947</v>
      </c>
      <c r="C55" s="13" t="str">
        <f t="shared" si="0"/>
        <v>Sexta-Feira</v>
      </c>
      <c r="D55" s="20">
        <v>0.22222222222222221</v>
      </c>
      <c r="E55" s="13">
        <f t="shared" si="1"/>
        <v>54</v>
      </c>
      <c r="F55" s="13">
        <f t="shared" si="2"/>
        <v>54</v>
      </c>
      <c r="G55" s="13">
        <v>2</v>
      </c>
      <c r="H55" s="13">
        <v>1</v>
      </c>
      <c r="I55" s="13">
        <v>1</v>
      </c>
      <c r="J55" s="13">
        <v>2</v>
      </c>
      <c r="K55" s="19">
        <v>7.85</v>
      </c>
    </row>
    <row r="56" spans="1:11" x14ac:dyDescent="0.25">
      <c r="A56" s="13">
        <v>55</v>
      </c>
      <c r="B56" s="14">
        <v>45947</v>
      </c>
      <c r="C56" s="13" t="str">
        <f t="shared" si="0"/>
        <v>Sexta-Feira</v>
      </c>
      <c r="D56" s="20">
        <v>0.2638888888888889</v>
      </c>
      <c r="E56" s="13">
        <f t="shared" si="1"/>
        <v>55</v>
      </c>
      <c r="F56" s="13">
        <f t="shared" si="2"/>
        <v>55</v>
      </c>
      <c r="G56" s="13">
        <v>1</v>
      </c>
      <c r="H56" s="13">
        <v>1</v>
      </c>
      <c r="I56" s="13">
        <v>1</v>
      </c>
      <c r="J56" s="13">
        <v>2</v>
      </c>
      <c r="K56" s="19">
        <v>26.9</v>
      </c>
    </row>
    <row r="57" spans="1:11" x14ac:dyDescent="0.25">
      <c r="A57" s="13">
        <v>56</v>
      </c>
      <c r="B57" s="14">
        <v>45947</v>
      </c>
      <c r="C57" s="13" t="str">
        <f t="shared" si="0"/>
        <v>Sexta-Feira</v>
      </c>
      <c r="D57" s="20">
        <v>0.28888888888888892</v>
      </c>
      <c r="E57" s="13">
        <f t="shared" si="1"/>
        <v>56</v>
      </c>
      <c r="F57" s="13">
        <f t="shared" si="2"/>
        <v>56</v>
      </c>
      <c r="G57" s="13">
        <v>2</v>
      </c>
      <c r="H57" s="13">
        <v>1</v>
      </c>
      <c r="I57" s="13">
        <v>1</v>
      </c>
      <c r="J57" s="13">
        <v>2</v>
      </c>
      <c r="K57" s="19">
        <v>9.35</v>
      </c>
    </row>
    <row r="58" spans="1:11" x14ac:dyDescent="0.25">
      <c r="A58" s="13">
        <v>57</v>
      </c>
      <c r="B58" s="14">
        <v>45947</v>
      </c>
      <c r="C58" s="13" t="str">
        <f t="shared" si="0"/>
        <v>Sexta-Feira</v>
      </c>
      <c r="D58" s="20">
        <v>0.29583333333333334</v>
      </c>
      <c r="E58" s="13">
        <f t="shared" si="1"/>
        <v>57</v>
      </c>
      <c r="F58" s="13">
        <f t="shared" si="2"/>
        <v>57</v>
      </c>
      <c r="G58" s="13">
        <v>2</v>
      </c>
      <c r="H58" s="13">
        <v>1</v>
      </c>
      <c r="I58" s="13">
        <v>1</v>
      </c>
      <c r="J58" s="13">
        <v>2</v>
      </c>
      <c r="K58" s="19">
        <v>6.2</v>
      </c>
    </row>
    <row r="59" spans="1:11" x14ac:dyDescent="0.25">
      <c r="A59" s="13">
        <v>58</v>
      </c>
      <c r="B59" s="14">
        <v>45947</v>
      </c>
      <c r="C59" s="13" t="str">
        <f t="shared" si="0"/>
        <v>Sexta-Feira</v>
      </c>
      <c r="D59" s="20">
        <v>0.35069444444444442</v>
      </c>
      <c r="E59" s="13">
        <f t="shared" si="1"/>
        <v>58</v>
      </c>
      <c r="F59" s="13">
        <f t="shared" si="2"/>
        <v>58</v>
      </c>
      <c r="G59" s="13">
        <v>2</v>
      </c>
      <c r="H59" s="13">
        <v>1</v>
      </c>
      <c r="I59" s="13">
        <v>1</v>
      </c>
      <c r="J59" s="13">
        <v>2</v>
      </c>
      <c r="K59" s="19">
        <v>13.85</v>
      </c>
    </row>
    <row r="60" spans="1:11" x14ac:dyDescent="0.25">
      <c r="A60" s="13">
        <v>59</v>
      </c>
      <c r="B60" s="14">
        <v>45947</v>
      </c>
      <c r="C60" s="13" t="str">
        <f t="shared" si="0"/>
        <v>Sexta-Feira</v>
      </c>
      <c r="D60" s="20">
        <v>0.36319444444444443</v>
      </c>
      <c r="E60" s="13">
        <f t="shared" si="1"/>
        <v>59</v>
      </c>
      <c r="F60" s="13">
        <f t="shared" si="2"/>
        <v>59</v>
      </c>
      <c r="G60" s="13">
        <v>1</v>
      </c>
      <c r="H60" s="13">
        <v>1</v>
      </c>
      <c r="I60" s="13">
        <v>1</v>
      </c>
      <c r="J60" s="13">
        <v>2</v>
      </c>
      <c r="K60" s="19">
        <v>30.7</v>
      </c>
    </row>
    <row r="61" spans="1:11" x14ac:dyDescent="0.25">
      <c r="A61" s="13">
        <v>60</v>
      </c>
      <c r="B61" s="14">
        <v>45947</v>
      </c>
      <c r="C61" s="13" t="str">
        <f t="shared" si="0"/>
        <v>Sexta-Feira</v>
      </c>
      <c r="D61" s="20">
        <v>0.47500000000000003</v>
      </c>
      <c r="E61" s="13">
        <f t="shared" si="1"/>
        <v>60</v>
      </c>
      <c r="F61" s="13">
        <f t="shared" si="2"/>
        <v>60</v>
      </c>
      <c r="G61" s="13">
        <v>2</v>
      </c>
      <c r="H61" s="13">
        <v>1</v>
      </c>
      <c r="I61" s="13">
        <v>1</v>
      </c>
      <c r="J61" s="13">
        <v>2</v>
      </c>
      <c r="K61" s="19">
        <v>5.3</v>
      </c>
    </row>
    <row r="62" spans="1:11" x14ac:dyDescent="0.25">
      <c r="A62" s="13">
        <v>61</v>
      </c>
      <c r="B62" s="14">
        <v>45947</v>
      </c>
      <c r="C62" s="13" t="str">
        <f t="shared" si="0"/>
        <v>Sexta-Feira</v>
      </c>
      <c r="D62" s="20">
        <v>0.4861111111111111</v>
      </c>
      <c r="E62" s="13">
        <f t="shared" si="1"/>
        <v>61</v>
      </c>
      <c r="F62" s="13">
        <f t="shared" si="2"/>
        <v>61</v>
      </c>
      <c r="G62" s="13">
        <v>1</v>
      </c>
      <c r="H62" s="13">
        <v>1</v>
      </c>
      <c r="I62" s="13">
        <v>1</v>
      </c>
      <c r="J62" s="13">
        <v>2</v>
      </c>
      <c r="K62" s="19">
        <v>10.35</v>
      </c>
    </row>
    <row r="63" spans="1:11" x14ac:dyDescent="0.25">
      <c r="A63" s="13">
        <v>62</v>
      </c>
      <c r="B63" s="14">
        <v>45947</v>
      </c>
      <c r="C63" s="13" t="str">
        <f t="shared" si="0"/>
        <v>Sexta-Feira</v>
      </c>
      <c r="D63" s="20">
        <v>0.54027777777777775</v>
      </c>
      <c r="E63" s="13">
        <f t="shared" si="1"/>
        <v>62</v>
      </c>
      <c r="F63" s="13">
        <f t="shared" si="2"/>
        <v>62</v>
      </c>
      <c r="G63" s="13">
        <v>2</v>
      </c>
      <c r="H63" s="13">
        <v>1</v>
      </c>
      <c r="I63" s="13">
        <v>1</v>
      </c>
      <c r="J63" s="13">
        <v>2</v>
      </c>
      <c r="K63" s="19">
        <v>5.7</v>
      </c>
    </row>
    <row r="64" spans="1:11" x14ac:dyDescent="0.25">
      <c r="A64" s="13">
        <v>63</v>
      </c>
      <c r="B64" s="14">
        <v>45948</v>
      </c>
      <c r="C64" s="13" t="str">
        <f t="shared" si="0"/>
        <v>Sábado</v>
      </c>
      <c r="D64" s="20">
        <v>0.38472222222222219</v>
      </c>
      <c r="E64" s="13">
        <f t="shared" si="1"/>
        <v>63</v>
      </c>
      <c r="F64" s="13">
        <f t="shared" si="2"/>
        <v>63</v>
      </c>
      <c r="G64" s="13">
        <v>2</v>
      </c>
      <c r="H64" s="13">
        <v>1</v>
      </c>
      <c r="I64" s="13">
        <v>1</v>
      </c>
      <c r="J64" s="13">
        <v>2</v>
      </c>
      <c r="K64" s="19">
        <v>5.35</v>
      </c>
    </row>
    <row r="65" spans="1:11" x14ac:dyDescent="0.25">
      <c r="A65" s="13">
        <v>64</v>
      </c>
      <c r="B65" s="14">
        <v>45948</v>
      </c>
      <c r="C65" s="13" t="str">
        <f t="shared" si="0"/>
        <v>Sábado</v>
      </c>
      <c r="D65" s="20">
        <v>0.75763888888888886</v>
      </c>
      <c r="E65" s="13">
        <f t="shared" si="1"/>
        <v>64</v>
      </c>
      <c r="F65" s="13">
        <f t="shared" si="2"/>
        <v>64</v>
      </c>
      <c r="G65" s="13">
        <v>2</v>
      </c>
      <c r="H65" s="13">
        <v>1</v>
      </c>
      <c r="I65" s="13">
        <v>1</v>
      </c>
      <c r="J65" s="13">
        <v>2</v>
      </c>
      <c r="K65" s="19">
        <v>19.899999999999999</v>
      </c>
    </row>
    <row r="66" spans="1:11" x14ac:dyDescent="0.25">
      <c r="A66" s="13">
        <v>65</v>
      </c>
      <c r="B66" s="14">
        <v>45948</v>
      </c>
      <c r="C66" s="13" t="str">
        <f t="shared" ref="C66:C129" si="3">PROPER(TEXT(WEEKDAY(B66),"dddd"))</f>
        <v>Sábado</v>
      </c>
      <c r="D66" s="20">
        <v>0.7715277777777777</v>
      </c>
      <c r="E66" s="13">
        <f t="shared" ref="E66:E129" si="4">A66</f>
        <v>65</v>
      </c>
      <c r="F66" s="13">
        <f t="shared" ref="F66:F129" si="5">A66</f>
        <v>65</v>
      </c>
      <c r="G66" s="13">
        <v>1</v>
      </c>
      <c r="H66" s="13">
        <v>1</v>
      </c>
      <c r="I66" s="13">
        <v>1</v>
      </c>
      <c r="J66" s="13">
        <v>2</v>
      </c>
      <c r="K66" s="19">
        <v>13.75</v>
      </c>
    </row>
    <row r="67" spans="1:11" x14ac:dyDescent="0.25">
      <c r="A67" s="13">
        <v>66</v>
      </c>
      <c r="B67" s="14">
        <v>45948</v>
      </c>
      <c r="C67" s="13" t="str">
        <f t="shared" si="3"/>
        <v>Sábado</v>
      </c>
      <c r="D67" s="20">
        <v>0.78402777777777777</v>
      </c>
      <c r="E67" s="13">
        <f t="shared" si="4"/>
        <v>66</v>
      </c>
      <c r="F67" s="13">
        <f t="shared" si="5"/>
        <v>66</v>
      </c>
      <c r="G67" s="13">
        <v>1</v>
      </c>
      <c r="H67" s="13">
        <v>1</v>
      </c>
      <c r="I67" s="13">
        <v>1</v>
      </c>
      <c r="J67" s="13">
        <v>2</v>
      </c>
      <c r="K67" s="19">
        <v>14.25</v>
      </c>
    </row>
    <row r="68" spans="1:11" x14ac:dyDescent="0.25">
      <c r="A68" s="13">
        <v>67</v>
      </c>
      <c r="B68" s="14">
        <v>45948</v>
      </c>
      <c r="C68" s="13" t="str">
        <f t="shared" si="3"/>
        <v>Sábado</v>
      </c>
      <c r="D68" s="20">
        <v>0.79999999999999993</v>
      </c>
      <c r="E68" s="13">
        <f t="shared" si="4"/>
        <v>67</v>
      </c>
      <c r="F68" s="13">
        <f t="shared" si="5"/>
        <v>67</v>
      </c>
      <c r="G68" s="13">
        <v>2</v>
      </c>
      <c r="H68" s="13">
        <v>1</v>
      </c>
      <c r="I68" s="13">
        <v>1</v>
      </c>
      <c r="J68" s="13">
        <v>2</v>
      </c>
      <c r="K68" s="19">
        <v>39.799999999999997</v>
      </c>
    </row>
    <row r="69" spans="1:11" x14ac:dyDescent="0.25">
      <c r="A69" s="13">
        <v>68</v>
      </c>
      <c r="B69" s="14">
        <v>45949</v>
      </c>
      <c r="C69" s="13" t="str">
        <f t="shared" si="3"/>
        <v>Domingo</v>
      </c>
      <c r="D69" s="20">
        <v>0.54999999999999993</v>
      </c>
      <c r="E69" s="13">
        <f t="shared" si="4"/>
        <v>68</v>
      </c>
      <c r="F69" s="13">
        <f t="shared" si="5"/>
        <v>68</v>
      </c>
      <c r="G69" s="13">
        <v>2</v>
      </c>
      <c r="H69" s="13">
        <v>1</v>
      </c>
      <c r="I69" s="13">
        <v>1</v>
      </c>
      <c r="J69" s="13">
        <v>2</v>
      </c>
      <c r="K69" s="19">
        <v>34.65</v>
      </c>
    </row>
    <row r="70" spans="1:11" x14ac:dyDescent="0.25">
      <c r="A70" s="13">
        <v>69</v>
      </c>
      <c r="B70" s="14">
        <v>45949</v>
      </c>
      <c r="C70" s="13" t="str">
        <f t="shared" si="3"/>
        <v>Domingo</v>
      </c>
      <c r="D70" s="20">
        <v>0.5854166666666667</v>
      </c>
      <c r="E70" s="13">
        <f t="shared" si="4"/>
        <v>69</v>
      </c>
      <c r="F70" s="13">
        <f t="shared" si="5"/>
        <v>69</v>
      </c>
      <c r="G70" s="13">
        <v>1</v>
      </c>
      <c r="H70" s="13">
        <v>1</v>
      </c>
      <c r="I70" s="13">
        <v>1</v>
      </c>
      <c r="J70" s="13">
        <v>2</v>
      </c>
      <c r="K70" s="19">
        <v>9.8000000000000007</v>
      </c>
    </row>
    <row r="71" spans="1:11" x14ac:dyDescent="0.25">
      <c r="A71" s="13">
        <v>70</v>
      </c>
      <c r="B71" s="14">
        <v>45949</v>
      </c>
      <c r="C71" s="13" t="str">
        <f t="shared" si="3"/>
        <v>Domingo</v>
      </c>
      <c r="D71" s="20">
        <v>0.62569444444444444</v>
      </c>
      <c r="E71" s="13">
        <f t="shared" si="4"/>
        <v>70</v>
      </c>
      <c r="F71" s="13">
        <f t="shared" si="5"/>
        <v>70</v>
      </c>
      <c r="G71" s="13">
        <v>3</v>
      </c>
      <c r="H71" s="13">
        <v>1</v>
      </c>
      <c r="I71" s="13">
        <v>1</v>
      </c>
      <c r="J71" s="13">
        <v>2</v>
      </c>
      <c r="K71" s="19">
        <v>0</v>
      </c>
    </row>
    <row r="72" spans="1:11" x14ac:dyDescent="0.25">
      <c r="A72" s="13">
        <v>71</v>
      </c>
      <c r="B72" s="14">
        <v>45949</v>
      </c>
      <c r="C72" s="13" t="str">
        <f t="shared" si="3"/>
        <v>Domingo</v>
      </c>
      <c r="D72" s="20">
        <v>0.62638888888888888</v>
      </c>
      <c r="E72" s="13">
        <f t="shared" si="4"/>
        <v>71</v>
      </c>
      <c r="F72" s="13">
        <f t="shared" si="5"/>
        <v>71</v>
      </c>
      <c r="G72" s="13">
        <v>1</v>
      </c>
      <c r="H72" s="13">
        <v>1</v>
      </c>
      <c r="I72" s="13">
        <v>1</v>
      </c>
      <c r="J72" s="13">
        <v>2</v>
      </c>
      <c r="K72" s="19">
        <v>16.149999999999999</v>
      </c>
    </row>
    <row r="73" spans="1:11" x14ac:dyDescent="0.25">
      <c r="A73" s="13">
        <v>72</v>
      </c>
      <c r="B73" s="14">
        <v>45949</v>
      </c>
      <c r="C73" s="13" t="str">
        <f t="shared" si="3"/>
        <v>Domingo</v>
      </c>
      <c r="D73" s="20">
        <v>0.63541666666666663</v>
      </c>
      <c r="E73" s="13">
        <f t="shared" si="4"/>
        <v>72</v>
      </c>
      <c r="F73" s="13">
        <f t="shared" si="5"/>
        <v>72</v>
      </c>
      <c r="G73" s="13">
        <v>2</v>
      </c>
      <c r="H73" s="13">
        <v>1</v>
      </c>
      <c r="I73" s="13">
        <v>1</v>
      </c>
      <c r="J73" s="13">
        <v>2</v>
      </c>
      <c r="K73" s="19">
        <v>3.3</v>
      </c>
    </row>
    <row r="74" spans="1:11" x14ac:dyDescent="0.25">
      <c r="A74" s="13">
        <v>73</v>
      </c>
      <c r="B74" s="14">
        <v>45949</v>
      </c>
      <c r="C74" s="13" t="str">
        <f t="shared" si="3"/>
        <v>Domingo</v>
      </c>
      <c r="D74" s="20">
        <v>0.64583333333333337</v>
      </c>
      <c r="E74" s="13">
        <f t="shared" si="4"/>
        <v>73</v>
      </c>
      <c r="F74" s="13">
        <f t="shared" si="5"/>
        <v>73</v>
      </c>
      <c r="G74" s="13">
        <v>4</v>
      </c>
      <c r="H74" s="13">
        <v>1</v>
      </c>
      <c r="I74" s="13">
        <v>1</v>
      </c>
      <c r="J74" s="13">
        <v>2</v>
      </c>
      <c r="K74" s="19">
        <v>0</v>
      </c>
    </row>
    <row r="75" spans="1:11" x14ac:dyDescent="0.25">
      <c r="A75" s="13">
        <v>74</v>
      </c>
      <c r="B75" s="14">
        <v>45951</v>
      </c>
      <c r="C75" s="13" t="str">
        <f t="shared" si="3"/>
        <v>Terça-Feira</v>
      </c>
      <c r="D75" s="20">
        <v>0.34097222222222223</v>
      </c>
      <c r="E75" s="13">
        <f t="shared" si="4"/>
        <v>74</v>
      </c>
      <c r="F75" s="13">
        <f t="shared" si="5"/>
        <v>74</v>
      </c>
      <c r="G75" s="13">
        <v>1</v>
      </c>
      <c r="H75" s="13">
        <v>1</v>
      </c>
      <c r="I75" s="13">
        <v>1</v>
      </c>
      <c r="J75" s="13">
        <v>2</v>
      </c>
      <c r="K75" s="19">
        <v>12.1</v>
      </c>
    </row>
    <row r="76" spans="1:11" x14ac:dyDescent="0.25">
      <c r="A76" s="13">
        <v>75</v>
      </c>
      <c r="B76" s="14">
        <v>45951</v>
      </c>
      <c r="C76" s="13" t="str">
        <f t="shared" si="3"/>
        <v>Terça-Feira</v>
      </c>
      <c r="D76" s="20">
        <v>0.38541666666666669</v>
      </c>
      <c r="E76" s="13">
        <f t="shared" si="4"/>
        <v>75</v>
      </c>
      <c r="F76" s="13">
        <f t="shared" si="5"/>
        <v>75</v>
      </c>
      <c r="G76" s="13">
        <v>1</v>
      </c>
      <c r="H76" s="13">
        <v>1</v>
      </c>
      <c r="I76" s="13">
        <v>1</v>
      </c>
      <c r="J76" s="13">
        <v>2</v>
      </c>
      <c r="K76" s="19">
        <v>22.55</v>
      </c>
    </row>
    <row r="77" spans="1:11" x14ac:dyDescent="0.25">
      <c r="A77" s="13">
        <v>76</v>
      </c>
      <c r="B77" s="14">
        <v>45951</v>
      </c>
      <c r="C77" s="13" t="str">
        <f t="shared" si="3"/>
        <v>Terça-Feira</v>
      </c>
      <c r="D77" s="20">
        <v>0.41319444444444442</v>
      </c>
      <c r="E77" s="13">
        <f t="shared" si="4"/>
        <v>76</v>
      </c>
      <c r="F77" s="13">
        <f t="shared" si="5"/>
        <v>76</v>
      </c>
      <c r="G77" s="13">
        <v>2</v>
      </c>
      <c r="H77" s="13">
        <v>1</v>
      </c>
      <c r="I77" s="13">
        <v>1</v>
      </c>
      <c r="J77" s="13">
        <v>2</v>
      </c>
      <c r="K77" s="19">
        <v>12.5</v>
      </c>
    </row>
    <row r="78" spans="1:11" x14ac:dyDescent="0.25">
      <c r="A78" s="13">
        <v>77</v>
      </c>
      <c r="B78" s="14">
        <v>45951</v>
      </c>
      <c r="C78" s="13" t="str">
        <f t="shared" si="3"/>
        <v>Terça-Feira</v>
      </c>
      <c r="D78" s="20">
        <v>0.41875000000000001</v>
      </c>
      <c r="E78" s="13">
        <f t="shared" si="4"/>
        <v>77</v>
      </c>
      <c r="F78" s="13">
        <f t="shared" si="5"/>
        <v>77</v>
      </c>
      <c r="G78" s="13">
        <v>1</v>
      </c>
      <c r="H78" s="13">
        <v>1</v>
      </c>
      <c r="I78" s="13">
        <v>1</v>
      </c>
      <c r="J78" s="13">
        <v>2</v>
      </c>
      <c r="K78" s="19">
        <v>34.1</v>
      </c>
    </row>
    <row r="79" spans="1:11" x14ac:dyDescent="0.25">
      <c r="A79" s="13">
        <v>78</v>
      </c>
      <c r="B79" s="14">
        <v>45951</v>
      </c>
      <c r="C79" s="13" t="str">
        <f t="shared" si="3"/>
        <v>Terça-Feira</v>
      </c>
      <c r="D79" s="20">
        <v>0.45</v>
      </c>
      <c r="E79" s="13">
        <f t="shared" si="4"/>
        <v>78</v>
      </c>
      <c r="F79" s="13">
        <f t="shared" si="5"/>
        <v>78</v>
      </c>
      <c r="G79" s="13">
        <v>3</v>
      </c>
      <c r="H79" s="13">
        <v>1</v>
      </c>
      <c r="I79" s="13">
        <v>1</v>
      </c>
      <c r="J79" s="13">
        <v>2</v>
      </c>
      <c r="K79" s="19">
        <v>0</v>
      </c>
    </row>
    <row r="80" spans="1:11" x14ac:dyDescent="0.25">
      <c r="A80" s="13">
        <v>79</v>
      </c>
      <c r="B80" s="14">
        <v>45952</v>
      </c>
      <c r="C80" s="13" t="str">
        <f t="shared" si="3"/>
        <v>Quarta-Feira</v>
      </c>
      <c r="D80" s="20">
        <v>0.40069444444444446</v>
      </c>
      <c r="E80" s="13">
        <f t="shared" si="4"/>
        <v>79</v>
      </c>
      <c r="F80" s="13">
        <f t="shared" si="5"/>
        <v>79</v>
      </c>
      <c r="G80" s="13">
        <v>2</v>
      </c>
      <c r="H80" s="13">
        <v>1</v>
      </c>
      <c r="I80" s="13">
        <v>1</v>
      </c>
      <c r="J80" s="13">
        <v>2</v>
      </c>
      <c r="K80" s="19">
        <v>11.7</v>
      </c>
    </row>
    <row r="81" spans="1:11" x14ac:dyDescent="0.25">
      <c r="A81" s="13">
        <v>80</v>
      </c>
      <c r="B81" s="14">
        <v>45952</v>
      </c>
      <c r="C81" s="13" t="str">
        <f t="shared" si="3"/>
        <v>Quarta-Feira</v>
      </c>
      <c r="D81" s="20">
        <v>0.40833333333333338</v>
      </c>
      <c r="E81" s="13">
        <f t="shared" si="4"/>
        <v>80</v>
      </c>
      <c r="F81" s="13">
        <f t="shared" si="5"/>
        <v>80</v>
      </c>
      <c r="G81" s="13">
        <v>1</v>
      </c>
      <c r="H81" s="13">
        <v>1</v>
      </c>
      <c r="I81" s="13">
        <v>1</v>
      </c>
      <c r="J81" s="13">
        <v>2</v>
      </c>
      <c r="K81" s="19">
        <v>6.25</v>
      </c>
    </row>
    <row r="82" spans="1:11" x14ac:dyDescent="0.25">
      <c r="A82" s="13">
        <v>81</v>
      </c>
      <c r="B82" s="14">
        <v>45871</v>
      </c>
      <c r="C82" s="13" t="str">
        <f t="shared" si="3"/>
        <v>Sábado</v>
      </c>
      <c r="D82" s="20">
        <v>0.36527777777777781</v>
      </c>
      <c r="E82" s="13">
        <f t="shared" si="4"/>
        <v>81</v>
      </c>
      <c r="F82" s="13">
        <f t="shared" si="5"/>
        <v>81</v>
      </c>
      <c r="G82" s="13">
        <v>2</v>
      </c>
      <c r="H82" s="13">
        <v>1</v>
      </c>
      <c r="I82" s="13">
        <v>1</v>
      </c>
      <c r="J82" s="13">
        <v>1</v>
      </c>
      <c r="K82" s="19">
        <v>32.950000000000003</v>
      </c>
    </row>
    <row r="83" spans="1:11" x14ac:dyDescent="0.25">
      <c r="A83" s="13">
        <v>82</v>
      </c>
      <c r="B83" s="14">
        <v>45871</v>
      </c>
      <c r="C83" s="13" t="str">
        <f t="shared" si="3"/>
        <v>Sábado</v>
      </c>
      <c r="D83" s="20">
        <v>0.39444444444444443</v>
      </c>
      <c r="E83" s="13">
        <f t="shared" si="4"/>
        <v>82</v>
      </c>
      <c r="F83" s="13">
        <f t="shared" si="5"/>
        <v>82</v>
      </c>
      <c r="G83" s="13">
        <v>2</v>
      </c>
      <c r="H83" s="13">
        <v>1</v>
      </c>
      <c r="I83" s="13">
        <v>1</v>
      </c>
      <c r="J83" s="13">
        <v>1</v>
      </c>
      <c r="K83" s="19">
        <v>10</v>
      </c>
    </row>
    <row r="84" spans="1:11" x14ac:dyDescent="0.25">
      <c r="A84" s="13">
        <v>83</v>
      </c>
      <c r="B84" s="14">
        <v>45871</v>
      </c>
      <c r="C84" s="13" t="str">
        <f t="shared" si="3"/>
        <v>Sábado</v>
      </c>
      <c r="D84" s="20">
        <v>0.4069444444444445</v>
      </c>
      <c r="E84" s="13">
        <f t="shared" si="4"/>
        <v>83</v>
      </c>
      <c r="F84" s="13">
        <f t="shared" si="5"/>
        <v>83</v>
      </c>
      <c r="G84" s="13">
        <v>2</v>
      </c>
      <c r="H84" s="13">
        <v>1</v>
      </c>
      <c r="I84" s="13">
        <v>1</v>
      </c>
      <c r="J84" s="13">
        <v>1</v>
      </c>
      <c r="K84" s="19">
        <v>3.2</v>
      </c>
    </row>
    <row r="85" spans="1:11" x14ac:dyDescent="0.25">
      <c r="A85" s="13">
        <v>84</v>
      </c>
      <c r="B85" s="14">
        <v>45871</v>
      </c>
      <c r="C85" s="13" t="str">
        <f t="shared" si="3"/>
        <v>Sábado</v>
      </c>
      <c r="D85" s="20">
        <v>0.4236111111111111</v>
      </c>
      <c r="E85" s="13">
        <f t="shared" si="4"/>
        <v>84</v>
      </c>
      <c r="F85" s="13">
        <f t="shared" si="5"/>
        <v>84</v>
      </c>
      <c r="G85" s="13">
        <v>1</v>
      </c>
      <c r="H85" s="13">
        <v>1</v>
      </c>
      <c r="I85" s="13">
        <v>1</v>
      </c>
      <c r="J85" s="13">
        <v>1</v>
      </c>
      <c r="K85" s="19">
        <v>9.35</v>
      </c>
    </row>
    <row r="86" spans="1:11" x14ac:dyDescent="0.25">
      <c r="A86" s="13">
        <v>85</v>
      </c>
      <c r="B86" s="14">
        <v>45871</v>
      </c>
      <c r="C86" s="13" t="str">
        <f t="shared" si="3"/>
        <v>Sábado</v>
      </c>
      <c r="D86" s="20">
        <v>0.4381944444444445</v>
      </c>
      <c r="E86" s="13">
        <f t="shared" si="4"/>
        <v>85</v>
      </c>
      <c r="F86" s="13">
        <f t="shared" si="5"/>
        <v>85</v>
      </c>
      <c r="G86" s="13">
        <v>2</v>
      </c>
      <c r="H86" s="13">
        <v>1</v>
      </c>
      <c r="I86" s="13">
        <v>1</v>
      </c>
      <c r="J86" s="13">
        <v>1</v>
      </c>
      <c r="K86" s="19">
        <v>16.149999999999999</v>
      </c>
    </row>
    <row r="87" spans="1:11" x14ac:dyDescent="0.25">
      <c r="A87" s="13">
        <v>86</v>
      </c>
      <c r="B87" s="14">
        <v>45871</v>
      </c>
      <c r="C87" s="13" t="str">
        <f t="shared" si="3"/>
        <v>Sábado</v>
      </c>
      <c r="D87" s="20">
        <v>0.45</v>
      </c>
      <c r="E87" s="13">
        <f t="shared" si="4"/>
        <v>86</v>
      </c>
      <c r="F87" s="13">
        <f t="shared" si="5"/>
        <v>86</v>
      </c>
      <c r="G87" s="13">
        <v>2</v>
      </c>
      <c r="H87" s="13">
        <v>1</v>
      </c>
      <c r="I87" s="13">
        <v>1</v>
      </c>
      <c r="J87" s="13">
        <v>1</v>
      </c>
      <c r="K87" s="19">
        <v>15</v>
      </c>
    </row>
    <row r="88" spans="1:11" x14ac:dyDescent="0.25">
      <c r="A88" s="13">
        <v>87</v>
      </c>
      <c r="B88" s="14">
        <v>45871</v>
      </c>
      <c r="C88" s="13" t="str">
        <f t="shared" si="3"/>
        <v>Sábado</v>
      </c>
      <c r="D88" s="20">
        <v>0.46249999999999997</v>
      </c>
      <c r="E88" s="13">
        <f t="shared" si="4"/>
        <v>87</v>
      </c>
      <c r="F88" s="13">
        <f t="shared" si="5"/>
        <v>87</v>
      </c>
      <c r="G88" s="13">
        <v>2</v>
      </c>
      <c r="H88" s="13">
        <v>1</v>
      </c>
      <c r="I88" s="13">
        <v>1</v>
      </c>
      <c r="J88" s="13">
        <v>1</v>
      </c>
      <c r="K88" s="19">
        <v>8.5</v>
      </c>
    </row>
    <row r="89" spans="1:11" x14ac:dyDescent="0.25">
      <c r="A89" s="13">
        <v>88</v>
      </c>
      <c r="B89" s="14">
        <v>45871</v>
      </c>
      <c r="C89" s="13" t="str">
        <f t="shared" si="3"/>
        <v>Sábado</v>
      </c>
      <c r="D89" s="20">
        <v>0.47222222222222227</v>
      </c>
      <c r="E89" s="13">
        <f t="shared" si="4"/>
        <v>88</v>
      </c>
      <c r="F89" s="13">
        <f t="shared" si="5"/>
        <v>88</v>
      </c>
      <c r="G89" s="13">
        <v>2</v>
      </c>
      <c r="H89" s="13">
        <v>1</v>
      </c>
      <c r="I89" s="13">
        <v>1</v>
      </c>
      <c r="J89" s="13">
        <v>1</v>
      </c>
      <c r="K89" s="19">
        <v>11</v>
      </c>
    </row>
    <row r="90" spans="1:11" x14ac:dyDescent="0.25">
      <c r="A90" s="13">
        <v>89</v>
      </c>
      <c r="B90" s="14">
        <v>45871</v>
      </c>
      <c r="C90" s="13" t="str">
        <f t="shared" si="3"/>
        <v>Sábado</v>
      </c>
      <c r="D90" s="20">
        <v>0.4826388888888889</v>
      </c>
      <c r="E90" s="13">
        <f t="shared" si="4"/>
        <v>89</v>
      </c>
      <c r="F90" s="13">
        <f t="shared" si="5"/>
        <v>89</v>
      </c>
      <c r="G90" s="13">
        <v>2</v>
      </c>
      <c r="H90" s="13">
        <v>1</v>
      </c>
      <c r="I90" s="13">
        <v>1</v>
      </c>
      <c r="J90" s="13">
        <v>1</v>
      </c>
      <c r="K90" s="19">
        <v>30.51</v>
      </c>
    </row>
    <row r="91" spans="1:11" x14ac:dyDescent="0.25">
      <c r="A91" s="13">
        <v>90</v>
      </c>
      <c r="B91" s="14">
        <v>45871</v>
      </c>
      <c r="C91" s="13" t="str">
        <f t="shared" si="3"/>
        <v>Sábado</v>
      </c>
      <c r="D91" s="20">
        <v>0.51180555555555551</v>
      </c>
      <c r="E91" s="13">
        <f t="shared" si="4"/>
        <v>90</v>
      </c>
      <c r="F91" s="13">
        <f t="shared" si="5"/>
        <v>90</v>
      </c>
      <c r="G91" s="13">
        <v>1</v>
      </c>
      <c r="H91" s="13">
        <v>1</v>
      </c>
      <c r="I91" s="13">
        <v>1</v>
      </c>
      <c r="J91" s="13">
        <v>1</v>
      </c>
      <c r="K91" s="19">
        <v>9.4</v>
      </c>
    </row>
    <row r="92" spans="1:11" x14ac:dyDescent="0.25">
      <c r="A92" s="13">
        <v>91</v>
      </c>
      <c r="B92" s="14">
        <v>45871</v>
      </c>
      <c r="C92" s="13" t="str">
        <f t="shared" si="3"/>
        <v>Sábado</v>
      </c>
      <c r="D92" s="20">
        <v>0.53819444444444442</v>
      </c>
      <c r="E92" s="13">
        <f t="shared" si="4"/>
        <v>91</v>
      </c>
      <c r="F92" s="13">
        <f t="shared" si="5"/>
        <v>91</v>
      </c>
      <c r="G92" s="13">
        <v>2</v>
      </c>
      <c r="H92" s="13">
        <v>1</v>
      </c>
      <c r="I92" s="13">
        <v>1</v>
      </c>
      <c r="J92" s="13">
        <v>1</v>
      </c>
      <c r="K92" s="19">
        <v>15.1</v>
      </c>
    </row>
    <row r="93" spans="1:11" x14ac:dyDescent="0.25">
      <c r="A93" s="13">
        <v>92</v>
      </c>
      <c r="B93" s="14">
        <v>45871</v>
      </c>
      <c r="C93" s="13" t="str">
        <f t="shared" si="3"/>
        <v>Sábado</v>
      </c>
      <c r="D93" s="20">
        <v>0.55972222222222223</v>
      </c>
      <c r="E93" s="13">
        <f t="shared" si="4"/>
        <v>92</v>
      </c>
      <c r="F93" s="13">
        <f t="shared" si="5"/>
        <v>92</v>
      </c>
      <c r="G93" s="13">
        <v>1</v>
      </c>
      <c r="H93" s="13">
        <v>1</v>
      </c>
      <c r="I93" s="13">
        <v>1</v>
      </c>
      <c r="J93" s="13">
        <v>1</v>
      </c>
      <c r="K93" s="19">
        <v>9</v>
      </c>
    </row>
    <row r="94" spans="1:11" x14ac:dyDescent="0.25">
      <c r="A94" s="13">
        <v>93</v>
      </c>
      <c r="B94" s="14">
        <v>45871</v>
      </c>
      <c r="C94" s="13" t="str">
        <f t="shared" si="3"/>
        <v>Sábado</v>
      </c>
      <c r="D94" s="20">
        <v>0.5708333333333333</v>
      </c>
      <c r="E94" s="13">
        <f t="shared" si="4"/>
        <v>93</v>
      </c>
      <c r="F94" s="13">
        <f t="shared" si="5"/>
        <v>93</v>
      </c>
      <c r="G94" s="13">
        <v>2</v>
      </c>
      <c r="H94" s="13">
        <v>1</v>
      </c>
      <c r="I94" s="13">
        <v>1</v>
      </c>
      <c r="J94" s="13">
        <v>1</v>
      </c>
      <c r="K94" s="19">
        <v>38</v>
      </c>
    </row>
    <row r="95" spans="1:11" x14ac:dyDescent="0.25">
      <c r="A95" s="13">
        <v>94</v>
      </c>
      <c r="B95" s="14">
        <v>45871</v>
      </c>
      <c r="C95" s="13" t="str">
        <f t="shared" si="3"/>
        <v>Sábado</v>
      </c>
      <c r="D95" s="20">
        <v>0.6069444444444444</v>
      </c>
      <c r="E95" s="13">
        <f t="shared" si="4"/>
        <v>94</v>
      </c>
      <c r="F95" s="13">
        <f t="shared" si="5"/>
        <v>94</v>
      </c>
      <c r="G95" s="13">
        <v>1</v>
      </c>
      <c r="H95" s="13">
        <v>1</v>
      </c>
      <c r="I95" s="13">
        <v>1</v>
      </c>
      <c r="J95" s="13">
        <v>1</v>
      </c>
      <c r="K95" s="19">
        <v>17.399999999999999</v>
      </c>
    </row>
    <row r="96" spans="1:11" x14ac:dyDescent="0.25">
      <c r="A96" s="13">
        <v>95</v>
      </c>
      <c r="B96" s="14">
        <v>45871</v>
      </c>
      <c r="C96" s="13" t="str">
        <f t="shared" si="3"/>
        <v>Sábado</v>
      </c>
      <c r="D96" s="20">
        <v>0.62916666666666665</v>
      </c>
      <c r="E96" s="13">
        <f t="shared" si="4"/>
        <v>95</v>
      </c>
      <c r="F96" s="13">
        <f t="shared" si="5"/>
        <v>95</v>
      </c>
      <c r="G96" s="13">
        <v>4</v>
      </c>
      <c r="H96" s="13">
        <v>1</v>
      </c>
      <c r="I96" s="13">
        <v>1</v>
      </c>
      <c r="J96" s="13">
        <v>1</v>
      </c>
      <c r="K96" s="19">
        <v>0</v>
      </c>
    </row>
    <row r="97" spans="1:11" x14ac:dyDescent="0.25">
      <c r="A97" s="13">
        <v>96</v>
      </c>
      <c r="B97" s="14">
        <v>45871</v>
      </c>
      <c r="C97" s="13" t="str">
        <f t="shared" si="3"/>
        <v>Sábado</v>
      </c>
      <c r="D97" s="20">
        <v>0.74791666666666667</v>
      </c>
      <c r="E97" s="13">
        <f t="shared" si="4"/>
        <v>96</v>
      </c>
      <c r="F97" s="13">
        <f t="shared" si="5"/>
        <v>96</v>
      </c>
      <c r="G97" s="13">
        <v>1</v>
      </c>
      <c r="H97" s="13">
        <v>1</v>
      </c>
      <c r="I97" s="13">
        <v>1</v>
      </c>
      <c r="J97" s="13">
        <v>1</v>
      </c>
      <c r="K97" s="19">
        <v>8.4</v>
      </c>
    </row>
    <row r="98" spans="1:11" x14ac:dyDescent="0.25">
      <c r="A98" s="13">
        <v>97</v>
      </c>
      <c r="B98" s="14">
        <v>45871</v>
      </c>
      <c r="C98" s="13" t="str">
        <f t="shared" si="3"/>
        <v>Sábado</v>
      </c>
      <c r="D98" s="20">
        <v>0.75763888888888886</v>
      </c>
      <c r="E98" s="13">
        <f t="shared" si="4"/>
        <v>97</v>
      </c>
      <c r="F98" s="13">
        <f t="shared" si="5"/>
        <v>97</v>
      </c>
      <c r="G98" s="13">
        <v>2</v>
      </c>
      <c r="H98" s="13">
        <v>1</v>
      </c>
      <c r="I98" s="13">
        <v>1</v>
      </c>
      <c r="J98" s="13">
        <v>1</v>
      </c>
      <c r="K98" s="19">
        <v>16.75</v>
      </c>
    </row>
    <row r="99" spans="1:11" x14ac:dyDescent="0.25">
      <c r="A99" s="13">
        <v>98</v>
      </c>
      <c r="B99" s="14">
        <v>45871</v>
      </c>
      <c r="C99" s="13" t="str">
        <f t="shared" si="3"/>
        <v>Sábado</v>
      </c>
      <c r="D99" s="20">
        <v>0.7729166666666667</v>
      </c>
      <c r="E99" s="13">
        <f t="shared" si="4"/>
        <v>98</v>
      </c>
      <c r="F99" s="13">
        <f t="shared" si="5"/>
        <v>98</v>
      </c>
      <c r="G99" s="13">
        <v>2</v>
      </c>
      <c r="H99" s="13">
        <v>1</v>
      </c>
      <c r="I99" s="13">
        <v>1</v>
      </c>
      <c r="J99" s="13">
        <v>1</v>
      </c>
      <c r="K99" s="19">
        <v>10</v>
      </c>
    </row>
    <row r="100" spans="1:11" x14ac:dyDescent="0.25">
      <c r="A100" s="13">
        <v>99</v>
      </c>
      <c r="B100" s="14">
        <v>45875</v>
      </c>
      <c r="C100" s="13" t="str">
        <f t="shared" si="3"/>
        <v>Quarta-Feira</v>
      </c>
      <c r="D100" s="20">
        <v>0.72013888888888899</v>
      </c>
      <c r="E100" s="13">
        <f t="shared" si="4"/>
        <v>99</v>
      </c>
      <c r="F100" s="13">
        <f t="shared" si="5"/>
        <v>99</v>
      </c>
      <c r="G100" s="13">
        <v>2</v>
      </c>
      <c r="H100" s="13">
        <v>1</v>
      </c>
      <c r="I100" s="13">
        <v>1</v>
      </c>
      <c r="J100" s="13">
        <v>1</v>
      </c>
      <c r="K100" s="19">
        <v>5.4</v>
      </c>
    </row>
    <row r="101" spans="1:11" x14ac:dyDescent="0.25">
      <c r="A101" s="13">
        <v>100</v>
      </c>
      <c r="B101" s="14">
        <v>45875</v>
      </c>
      <c r="C101" s="13" t="str">
        <f t="shared" si="3"/>
        <v>Quarta-Feira</v>
      </c>
      <c r="D101" s="20">
        <v>0.72638888888888886</v>
      </c>
      <c r="E101" s="13">
        <f t="shared" si="4"/>
        <v>100</v>
      </c>
      <c r="F101" s="13">
        <f t="shared" si="5"/>
        <v>100</v>
      </c>
      <c r="G101" s="13">
        <v>1</v>
      </c>
      <c r="H101" s="13">
        <v>1</v>
      </c>
      <c r="I101" s="13">
        <v>1</v>
      </c>
      <c r="J101" s="13">
        <v>1</v>
      </c>
      <c r="K101" s="19">
        <v>12.5</v>
      </c>
    </row>
    <row r="102" spans="1:11" x14ac:dyDescent="0.25">
      <c r="A102" s="13">
        <v>101</v>
      </c>
      <c r="B102" s="14">
        <v>45875</v>
      </c>
      <c r="C102" s="13" t="str">
        <f t="shared" si="3"/>
        <v>Quarta-Feira</v>
      </c>
      <c r="D102" s="20">
        <v>0.74097222222222225</v>
      </c>
      <c r="E102" s="13">
        <f t="shared" si="4"/>
        <v>101</v>
      </c>
      <c r="F102" s="13">
        <f t="shared" si="5"/>
        <v>101</v>
      </c>
      <c r="G102" s="13">
        <v>2</v>
      </c>
      <c r="H102" s="13">
        <v>1</v>
      </c>
      <c r="I102" s="13">
        <v>1</v>
      </c>
      <c r="J102" s="13">
        <v>1</v>
      </c>
      <c r="K102" s="19">
        <v>10.5</v>
      </c>
    </row>
    <row r="103" spans="1:11" x14ac:dyDescent="0.25">
      <c r="A103" s="13">
        <v>102</v>
      </c>
      <c r="B103" s="14">
        <v>45875</v>
      </c>
      <c r="C103" s="13" t="str">
        <f t="shared" si="3"/>
        <v>Quarta-Feira</v>
      </c>
      <c r="D103" s="20">
        <v>0.74513888888888891</v>
      </c>
      <c r="E103" s="13">
        <f t="shared" si="4"/>
        <v>102</v>
      </c>
      <c r="F103" s="13">
        <f t="shared" si="5"/>
        <v>102</v>
      </c>
      <c r="G103" s="13">
        <v>1</v>
      </c>
      <c r="H103" s="13">
        <v>1</v>
      </c>
      <c r="I103" s="13">
        <v>1</v>
      </c>
      <c r="J103" s="13">
        <v>1</v>
      </c>
      <c r="K103" s="19">
        <v>32.700000000000003</v>
      </c>
    </row>
    <row r="104" spans="1:11" x14ac:dyDescent="0.25">
      <c r="A104" s="13">
        <v>103</v>
      </c>
      <c r="B104" s="14">
        <v>45875</v>
      </c>
      <c r="C104" s="13" t="str">
        <f t="shared" si="3"/>
        <v>Quarta-Feira</v>
      </c>
      <c r="D104" s="20">
        <v>0.77083333333333337</v>
      </c>
      <c r="E104" s="13">
        <f t="shared" si="4"/>
        <v>103</v>
      </c>
      <c r="F104" s="13">
        <f t="shared" si="5"/>
        <v>103</v>
      </c>
      <c r="G104" s="13">
        <v>2</v>
      </c>
      <c r="H104" s="13">
        <v>1</v>
      </c>
      <c r="I104" s="13">
        <v>1</v>
      </c>
      <c r="J104" s="13">
        <v>1</v>
      </c>
      <c r="K104" s="19">
        <v>24.9</v>
      </c>
    </row>
    <row r="105" spans="1:11" x14ac:dyDescent="0.25">
      <c r="A105" s="13">
        <v>104</v>
      </c>
      <c r="B105" s="14">
        <v>45875</v>
      </c>
      <c r="C105" s="13" t="str">
        <f t="shared" si="3"/>
        <v>Quarta-Feira</v>
      </c>
      <c r="D105" s="20">
        <v>0.79861111111111116</v>
      </c>
      <c r="E105" s="13">
        <f t="shared" si="4"/>
        <v>104</v>
      </c>
      <c r="F105" s="13">
        <f t="shared" si="5"/>
        <v>104</v>
      </c>
      <c r="G105" s="13">
        <v>2</v>
      </c>
      <c r="H105" s="13">
        <v>1</v>
      </c>
      <c r="I105" s="13">
        <v>1</v>
      </c>
      <c r="J105" s="13">
        <v>1</v>
      </c>
      <c r="K105" s="19">
        <v>3.5</v>
      </c>
    </row>
    <row r="106" spans="1:11" x14ac:dyDescent="0.25">
      <c r="A106" s="13">
        <v>105</v>
      </c>
      <c r="B106" s="14">
        <v>45876</v>
      </c>
      <c r="C106" s="13" t="str">
        <f t="shared" si="3"/>
        <v>Quinta-Feira</v>
      </c>
      <c r="D106" s="20">
        <v>0.7284722222222223</v>
      </c>
      <c r="E106" s="13">
        <f t="shared" si="4"/>
        <v>105</v>
      </c>
      <c r="F106" s="13">
        <f t="shared" si="5"/>
        <v>105</v>
      </c>
      <c r="G106" s="13">
        <v>4</v>
      </c>
      <c r="H106" s="13">
        <v>1</v>
      </c>
      <c r="I106" s="13">
        <v>1</v>
      </c>
      <c r="J106" s="13">
        <v>1</v>
      </c>
      <c r="K106" s="19">
        <v>0</v>
      </c>
    </row>
    <row r="107" spans="1:11" x14ac:dyDescent="0.25">
      <c r="A107" s="13">
        <v>106</v>
      </c>
      <c r="B107" s="14">
        <v>45876</v>
      </c>
      <c r="C107" s="13" t="str">
        <f t="shared" si="3"/>
        <v>Quinta-Feira</v>
      </c>
      <c r="D107" s="20">
        <v>0.73125000000000007</v>
      </c>
      <c r="E107" s="13">
        <f t="shared" si="4"/>
        <v>106</v>
      </c>
      <c r="F107" s="13">
        <f t="shared" si="5"/>
        <v>106</v>
      </c>
      <c r="G107" s="13">
        <v>2</v>
      </c>
      <c r="H107" s="13">
        <v>1</v>
      </c>
      <c r="I107" s="13">
        <v>1</v>
      </c>
      <c r="J107" s="13">
        <v>1</v>
      </c>
      <c r="K107" s="19">
        <v>10.199999999999999</v>
      </c>
    </row>
    <row r="108" spans="1:11" x14ac:dyDescent="0.25">
      <c r="A108" s="13">
        <v>107</v>
      </c>
      <c r="B108" s="14">
        <v>45876</v>
      </c>
      <c r="C108" s="13" t="str">
        <f t="shared" si="3"/>
        <v>Quinta-Feira</v>
      </c>
      <c r="D108" s="20">
        <v>0.74583333333333324</v>
      </c>
      <c r="E108" s="13">
        <f t="shared" si="4"/>
        <v>107</v>
      </c>
      <c r="F108" s="13">
        <f t="shared" si="5"/>
        <v>107</v>
      </c>
      <c r="G108" s="13">
        <v>2</v>
      </c>
      <c r="H108" s="13">
        <v>1</v>
      </c>
      <c r="I108" s="13">
        <v>1</v>
      </c>
      <c r="J108" s="13">
        <v>1</v>
      </c>
      <c r="K108" s="19">
        <v>12</v>
      </c>
    </row>
    <row r="109" spans="1:11" x14ac:dyDescent="0.25">
      <c r="A109" s="13">
        <v>108</v>
      </c>
      <c r="B109" s="14">
        <v>45876</v>
      </c>
      <c r="C109" s="13" t="str">
        <f t="shared" si="3"/>
        <v>Quinta-Feira</v>
      </c>
      <c r="D109" s="20">
        <v>0.76041666666666663</v>
      </c>
      <c r="E109" s="13">
        <f t="shared" si="4"/>
        <v>108</v>
      </c>
      <c r="F109" s="13">
        <f t="shared" si="5"/>
        <v>108</v>
      </c>
      <c r="G109" s="13">
        <v>2</v>
      </c>
      <c r="H109" s="13">
        <v>1</v>
      </c>
      <c r="I109" s="13">
        <v>1</v>
      </c>
      <c r="J109" s="13">
        <v>1</v>
      </c>
      <c r="K109" s="19">
        <v>12.1</v>
      </c>
    </row>
    <row r="110" spans="1:11" x14ac:dyDescent="0.25">
      <c r="A110" s="13">
        <v>109</v>
      </c>
      <c r="B110" s="14">
        <v>45876</v>
      </c>
      <c r="C110" s="13" t="str">
        <f t="shared" si="3"/>
        <v>Quinta-Feira</v>
      </c>
      <c r="D110" s="20">
        <v>0.77222222222222225</v>
      </c>
      <c r="E110" s="13">
        <f t="shared" si="4"/>
        <v>109</v>
      </c>
      <c r="F110" s="13">
        <f t="shared" si="5"/>
        <v>109</v>
      </c>
      <c r="G110" s="13">
        <v>2</v>
      </c>
      <c r="H110" s="13">
        <v>1</v>
      </c>
      <c r="I110" s="13">
        <v>1</v>
      </c>
      <c r="J110" s="13">
        <v>1</v>
      </c>
      <c r="K110" s="19">
        <v>4.9000000000000004</v>
      </c>
    </row>
    <row r="111" spans="1:11" x14ac:dyDescent="0.25">
      <c r="A111" s="13">
        <v>110</v>
      </c>
      <c r="B111" s="14">
        <v>45876</v>
      </c>
      <c r="C111" s="13" t="str">
        <f t="shared" si="3"/>
        <v>Quinta-Feira</v>
      </c>
      <c r="D111" s="20">
        <v>0.77847222222222223</v>
      </c>
      <c r="E111" s="13">
        <f t="shared" si="4"/>
        <v>110</v>
      </c>
      <c r="F111" s="13">
        <f t="shared" si="5"/>
        <v>110</v>
      </c>
      <c r="G111" s="13">
        <v>4</v>
      </c>
      <c r="H111" s="13">
        <v>1</v>
      </c>
      <c r="I111" s="13">
        <v>1</v>
      </c>
      <c r="J111" s="13">
        <v>1</v>
      </c>
      <c r="K111" s="19">
        <v>0</v>
      </c>
    </row>
    <row r="112" spans="1:11" x14ac:dyDescent="0.25">
      <c r="A112" s="13">
        <v>111</v>
      </c>
      <c r="B112" s="14">
        <v>45876</v>
      </c>
      <c r="C112" s="13" t="str">
        <f t="shared" si="3"/>
        <v>Quinta-Feira</v>
      </c>
      <c r="D112" s="20">
        <v>0.77847222222222223</v>
      </c>
      <c r="E112" s="13">
        <f t="shared" si="4"/>
        <v>111</v>
      </c>
      <c r="F112" s="13">
        <f t="shared" si="5"/>
        <v>111</v>
      </c>
      <c r="G112" s="13">
        <v>2</v>
      </c>
      <c r="H112" s="13">
        <v>1</v>
      </c>
      <c r="I112" s="13">
        <v>1</v>
      </c>
      <c r="J112" s="13">
        <v>1</v>
      </c>
      <c r="K112" s="19">
        <v>31.7</v>
      </c>
    </row>
    <row r="113" spans="1:11" x14ac:dyDescent="0.25">
      <c r="A113" s="13">
        <v>112</v>
      </c>
      <c r="B113" s="14">
        <v>45876</v>
      </c>
      <c r="C113" s="13" t="str">
        <f t="shared" si="3"/>
        <v>Quinta-Feira</v>
      </c>
      <c r="D113" s="20">
        <v>0.80555555555555547</v>
      </c>
      <c r="E113" s="13">
        <f t="shared" si="4"/>
        <v>112</v>
      </c>
      <c r="F113" s="13">
        <f t="shared" si="5"/>
        <v>112</v>
      </c>
      <c r="G113" s="13">
        <v>2</v>
      </c>
      <c r="H113" s="13">
        <v>1</v>
      </c>
      <c r="I113" s="13">
        <v>1</v>
      </c>
      <c r="J113" s="13">
        <v>1</v>
      </c>
      <c r="K113" s="19">
        <v>18.350000000000001</v>
      </c>
    </row>
    <row r="114" spans="1:11" x14ac:dyDescent="0.25">
      <c r="A114" s="13">
        <v>113</v>
      </c>
      <c r="B114" s="14">
        <v>45878</v>
      </c>
      <c r="C114" s="13" t="str">
        <f t="shared" si="3"/>
        <v>Sábado</v>
      </c>
      <c r="D114" s="20">
        <v>0.49861111111111112</v>
      </c>
      <c r="E114" s="13">
        <f t="shared" si="4"/>
        <v>113</v>
      </c>
      <c r="F114" s="13">
        <f t="shared" si="5"/>
        <v>113</v>
      </c>
      <c r="G114" s="13">
        <v>2</v>
      </c>
      <c r="H114" s="13">
        <v>1</v>
      </c>
      <c r="I114" s="13">
        <v>1</v>
      </c>
      <c r="J114" s="13">
        <v>1</v>
      </c>
      <c r="K114" s="19">
        <v>46.6</v>
      </c>
    </row>
    <row r="115" spans="1:11" x14ac:dyDescent="0.25">
      <c r="A115" s="13">
        <v>114</v>
      </c>
      <c r="B115" s="14">
        <v>45878</v>
      </c>
      <c r="C115" s="13" t="str">
        <f t="shared" si="3"/>
        <v>Sábado</v>
      </c>
      <c r="D115" s="20">
        <v>0.53402777777777777</v>
      </c>
      <c r="E115" s="13">
        <f t="shared" si="4"/>
        <v>114</v>
      </c>
      <c r="F115" s="13">
        <f t="shared" si="5"/>
        <v>114</v>
      </c>
      <c r="G115" s="13">
        <v>2</v>
      </c>
      <c r="H115" s="13">
        <v>1</v>
      </c>
      <c r="I115" s="13">
        <v>1</v>
      </c>
      <c r="J115" s="13">
        <v>1</v>
      </c>
      <c r="K115" s="19">
        <v>39.799999999999997</v>
      </c>
    </row>
    <row r="116" spans="1:11" x14ac:dyDescent="0.25">
      <c r="A116" s="13">
        <v>115</v>
      </c>
      <c r="B116" s="14">
        <v>45878</v>
      </c>
      <c r="C116" s="13" t="str">
        <f t="shared" si="3"/>
        <v>Sábado</v>
      </c>
      <c r="D116" s="20">
        <v>0.69513888888888886</v>
      </c>
      <c r="E116" s="13">
        <f t="shared" si="4"/>
        <v>115</v>
      </c>
      <c r="F116" s="13">
        <f t="shared" si="5"/>
        <v>115</v>
      </c>
      <c r="G116" s="13">
        <v>2</v>
      </c>
      <c r="H116" s="13">
        <v>1</v>
      </c>
      <c r="I116" s="13">
        <v>1</v>
      </c>
      <c r="J116" s="13">
        <v>1</v>
      </c>
      <c r="K116" s="19">
        <v>7.4</v>
      </c>
    </row>
    <row r="117" spans="1:11" x14ac:dyDescent="0.25">
      <c r="A117" s="13">
        <v>116</v>
      </c>
      <c r="B117" s="14">
        <v>45878</v>
      </c>
      <c r="C117" s="13" t="str">
        <f t="shared" si="3"/>
        <v>Sábado</v>
      </c>
      <c r="D117" s="20">
        <v>0.70347222222222217</v>
      </c>
      <c r="E117" s="13">
        <f t="shared" si="4"/>
        <v>116</v>
      </c>
      <c r="F117" s="13">
        <f t="shared" si="5"/>
        <v>116</v>
      </c>
      <c r="G117" s="13">
        <v>2</v>
      </c>
      <c r="H117" s="13">
        <v>1</v>
      </c>
      <c r="I117" s="13">
        <v>1</v>
      </c>
      <c r="J117" s="13">
        <v>1</v>
      </c>
      <c r="K117" s="19">
        <v>8</v>
      </c>
    </row>
    <row r="118" spans="1:11" x14ac:dyDescent="0.25">
      <c r="A118" s="13">
        <v>117</v>
      </c>
      <c r="B118" s="14">
        <v>45878</v>
      </c>
      <c r="C118" s="13" t="str">
        <f t="shared" si="3"/>
        <v>Sábado</v>
      </c>
      <c r="D118" s="20">
        <v>0.72361111111111109</v>
      </c>
      <c r="E118" s="13">
        <f t="shared" si="4"/>
        <v>117</v>
      </c>
      <c r="F118" s="13">
        <f t="shared" si="5"/>
        <v>117</v>
      </c>
      <c r="G118" s="13">
        <v>2</v>
      </c>
      <c r="H118" s="13">
        <v>1</v>
      </c>
      <c r="I118" s="13">
        <v>1</v>
      </c>
      <c r="J118" s="13">
        <v>1</v>
      </c>
      <c r="K118" s="19">
        <v>4.0999999999999996</v>
      </c>
    </row>
    <row r="119" spans="1:11" x14ac:dyDescent="0.25">
      <c r="A119" s="13">
        <v>118</v>
      </c>
      <c r="B119" s="14">
        <v>45878</v>
      </c>
      <c r="C119" s="13" t="str">
        <f t="shared" si="3"/>
        <v>Sábado</v>
      </c>
      <c r="D119" s="20">
        <v>0.73055555555555562</v>
      </c>
      <c r="E119" s="13">
        <f t="shared" si="4"/>
        <v>118</v>
      </c>
      <c r="F119" s="13">
        <f t="shared" si="5"/>
        <v>118</v>
      </c>
      <c r="G119" s="13">
        <v>2</v>
      </c>
      <c r="H119" s="13">
        <v>1</v>
      </c>
      <c r="I119" s="13">
        <v>1</v>
      </c>
      <c r="J119" s="13">
        <v>1</v>
      </c>
      <c r="K119" s="19">
        <v>18.75</v>
      </c>
    </row>
    <row r="120" spans="1:11" x14ac:dyDescent="0.25">
      <c r="A120" s="13">
        <v>119</v>
      </c>
      <c r="B120" s="14">
        <v>45878</v>
      </c>
      <c r="C120" s="13" t="str">
        <f t="shared" si="3"/>
        <v>Sábado</v>
      </c>
      <c r="D120" s="20">
        <v>0.74861111111111101</v>
      </c>
      <c r="E120" s="13">
        <f t="shared" si="4"/>
        <v>119</v>
      </c>
      <c r="F120" s="13">
        <f t="shared" si="5"/>
        <v>119</v>
      </c>
      <c r="G120" s="13">
        <v>2</v>
      </c>
      <c r="H120" s="13">
        <v>1</v>
      </c>
      <c r="I120" s="13">
        <v>1</v>
      </c>
      <c r="J120" s="13">
        <v>1</v>
      </c>
      <c r="K120" s="19">
        <v>17.5</v>
      </c>
    </row>
    <row r="121" spans="1:11" x14ac:dyDescent="0.25">
      <c r="A121" s="13">
        <v>120</v>
      </c>
      <c r="B121" s="14">
        <v>45878</v>
      </c>
      <c r="C121" s="13" t="str">
        <f t="shared" si="3"/>
        <v>Sábado</v>
      </c>
      <c r="D121" s="20">
        <v>0.7631944444444444</v>
      </c>
      <c r="E121" s="13">
        <f t="shared" si="4"/>
        <v>120</v>
      </c>
      <c r="F121" s="13">
        <f t="shared" si="5"/>
        <v>120</v>
      </c>
      <c r="G121" s="13">
        <v>2</v>
      </c>
      <c r="H121" s="13">
        <v>1</v>
      </c>
      <c r="I121" s="13">
        <v>1</v>
      </c>
      <c r="J121" s="13">
        <v>1</v>
      </c>
      <c r="K121" s="19">
        <v>31.65</v>
      </c>
    </row>
    <row r="122" spans="1:11" x14ac:dyDescent="0.25">
      <c r="A122" s="13">
        <v>121</v>
      </c>
      <c r="B122" s="14">
        <v>45878</v>
      </c>
      <c r="C122" s="13" t="str">
        <f t="shared" si="3"/>
        <v>Sábado</v>
      </c>
      <c r="D122" s="20">
        <v>0.78541666666666676</v>
      </c>
      <c r="E122" s="13">
        <f t="shared" si="4"/>
        <v>121</v>
      </c>
      <c r="F122" s="13">
        <f t="shared" si="5"/>
        <v>121</v>
      </c>
      <c r="G122" s="13">
        <v>2</v>
      </c>
      <c r="H122" s="13">
        <v>1</v>
      </c>
      <c r="I122" s="13">
        <v>1</v>
      </c>
      <c r="J122" s="13">
        <v>1</v>
      </c>
      <c r="K122" s="19">
        <v>33</v>
      </c>
    </row>
    <row r="123" spans="1:11" x14ac:dyDescent="0.25">
      <c r="A123" s="13">
        <v>122</v>
      </c>
      <c r="B123" s="14">
        <v>45878</v>
      </c>
      <c r="C123" s="13" t="str">
        <f t="shared" si="3"/>
        <v>Sábado</v>
      </c>
      <c r="D123" s="20">
        <v>0.80694444444444446</v>
      </c>
      <c r="E123" s="13">
        <f t="shared" si="4"/>
        <v>122</v>
      </c>
      <c r="F123" s="13">
        <f t="shared" si="5"/>
        <v>122</v>
      </c>
      <c r="G123" s="13">
        <v>2</v>
      </c>
      <c r="H123" s="13">
        <v>1</v>
      </c>
      <c r="I123" s="13">
        <v>1</v>
      </c>
      <c r="J123" s="13">
        <v>1</v>
      </c>
      <c r="K123" s="19">
        <v>9.5</v>
      </c>
    </row>
    <row r="124" spans="1:11" x14ac:dyDescent="0.25">
      <c r="A124" s="13">
        <v>123</v>
      </c>
      <c r="B124" s="14">
        <v>45878</v>
      </c>
      <c r="C124" s="13" t="str">
        <f t="shared" si="3"/>
        <v>Sábado</v>
      </c>
      <c r="D124" s="20">
        <v>0.82916666666666661</v>
      </c>
      <c r="E124" s="13">
        <f t="shared" si="4"/>
        <v>123</v>
      </c>
      <c r="F124" s="13">
        <f t="shared" si="5"/>
        <v>123</v>
      </c>
      <c r="G124" s="13">
        <v>2</v>
      </c>
      <c r="H124" s="13">
        <v>1</v>
      </c>
      <c r="I124" s="13">
        <v>1</v>
      </c>
      <c r="J124" s="13">
        <v>1</v>
      </c>
      <c r="K124" s="19">
        <v>8.25</v>
      </c>
    </row>
    <row r="125" spans="1:11" x14ac:dyDescent="0.25">
      <c r="A125" s="13">
        <v>124</v>
      </c>
      <c r="B125" s="14">
        <v>45880</v>
      </c>
      <c r="C125" s="13" t="str">
        <f t="shared" si="3"/>
        <v>Segunda-Feira</v>
      </c>
      <c r="D125" s="20">
        <v>0.76874999999999993</v>
      </c>
      <c r="E125" s="13">
        <f t="shared" si="4"/>
        <v>124</v>
      </c>
      <c r="F125" s="13">
        <f t="shared" si="5"/>
        <v>124</v>
      </c>
      <c r="G125" s="13">
        <v>2</v>
      </c>
      <c r="H125" s="13">
        <v>1</v>
      </c>
      <c r="I125" s="13">
        <v>1</v>
      </c>
      <c r="J125" s="13">
        <v>1</v>
      </c>
      <c r="K125" s="19">
        <v>23.7</v>
      </c>
    </row>
    <row r="126" spans="1:11" x14ac:dyDescent="0.25">
      <c r="A126" s="13">
        <v>125</v>
      </c>
      <c r="B126" s="14">
        <v>45880</v>
      </c>
      <c r="C126" s="13" t="str">
        <f t="shared" si="3"/>
        <v>Segunda-Feira</v>
      </c>
      <c r="D126" s="20">
        <v>0.78888888888888886</v>
      </c>
      <c r="E126" s="13">
        <f t="shared" si="4"/>
        <v>125</v>
      </c>
      <c r="F126" s="13">
        <f t="shared" si="5"/>
        <v>125</v>
      </c>
      <c r="G126" s="13">
        <v>2</v>
      </c>
      <c r="H126" s="13">
        <v>1</v>
      </c>
      <c r="I126" s="13">
        <v>1</v>
      </c>
      <c r="J126" s="13">
        <v>1</v>
      </c>
      <c r="K126" s="19">
        <v>13.1</v>
      </c>
    </row>
    <row r="127" spans="1:11" x14ac:dyDescent="0.25">
      <c r="A127" s="13">
        <v>126</v>
      </c>
      <c r="B127" s="14">
        <v>45880</v>
      </c>
      <c r="C127" s="13" t="str">
        <f t="shared" si="3"/>
        <v>Segunda-Feira</v>
      </c>
      <c r="D127" s="20">
        <v>0.80555555555555547</v>
      </c>
      <c r="E127" s="13">
        <f t="shared" si="4"/>
        <v>126</v>
      </c>
      <c r="F127" s="13">
        <f t="shared" si="5"/>
        <v>126</v>
      </c>
      <c r="G127" s="13">
        <v>2</v>
      </c>
      <c r="H127" s="13">
        <v>1</v>
      </c>
      <c r="I127" s="13">
        <v>1</v>
      </c>
      <c r="J127" s="13">
        <v>1</v>
      </c>
      <c r="K127" s="19">
        <v>14.75</v>
      </c>
    </row>
    <row r="128" spans="1:11" x14ac:dyDescent="0.25">
      <c r="A128" s="13">
        <v>127</v>
      </c>
      <c r="B128" s="14">
        <v>45880</v>
      </c>
      <c r="C128" s="13" t="str">
        <f t="shared" si="3"/>
        <v>Segunda-Feira</v>
      </c>
      <c r="D128" s="20">
        <v>0.82708333333333339</v>
      </c>
      <c r="E128" s="13">
        <f t="shared" si="4"/>
        <v>127</v>
      </c>
      <c r="F128" s="13">
        <f t="shared" si="5"/>
        <v>127</v>
      </c>
      <c r="G128" s="13">
        <v>2</v>
      </c>
      <c r="H128" s="13">
        <v>1</v>
      </c>
      <c r="I128" s="13">
        <v>1</v>
      </c>
      <c r="J128" s="13">
        <v>1</v>
      </c>
      <c r="K128" s="19">
        <v>14.8</v>
      </c>
    </row>
    <row r="129" spans="1:11" x14ac:dyDescent="0.25">
      <c r="A129" s="13">
        <v>128</v>
      </c>
      <c r="B129" s="14">
        <v>45891</v>
      </c>
      <c r="C129" s="13" t="str">
        <f t="shared" si="3"/>
        <v>Sexta-Feira</v>
      </c>
      <c r="D129" s="20">
        <v>0.77708333333333324</v>
      </c>
      <c r="E129" s="13">
        <f t="shared" si="4"/>
        <v>128</v>
      </c>
      <c r="F129" s="13">
        <f t="shared" si="5"/>
        <v>128</v>
      </c>
      <c r="G129" s="13">
        <v>1</v>
      </c>
      <c r="H129" s="13">
        <v>1</v>
      </c>
      <c r="I129" s="13">
        <v>1</v>
      </c>
      <c r="J129" s="13">
        <v>1</v>
      </c>
      <c r="K129" s="19">
        <v>19.5</v>
      </c>
    </row>
    <row r="130" spans="1:11" x14ac:dyDescent="0.25">
      <c r="A130" s="13">
        <v>129</v>
      </c>
      <c r="B130" s="14">
        <v>45891</v>
      </c>
      <c r="C130" s="13" t="str">
        <f t="shared" ref="C130:C193" si="6">PROPER(TEXT(WEEKDAY(B130),"dddd"))</f>
        <v>Sexta-Feira</v>
      </c>
      <c r="D130" s="20">
        <v>0.79166666666666663</v>
      </c>
      <c r="E130" s="13">
        <f t="shared" ref="E130:E193" si="7">A130</f>
        <v>129</v>
      </c>
      <c r="F130" s="13">
        <f t="shared" ref="F130:F193" si="8">A130</f>
        <v>129</v>
      </c>
      <c r="G130" s="13">
        <v>1</v>
      </c>
      <c r="H130" s="13">
        <v>1</v>
      </c>
      <c r="I130" s="13">
        <v>1</v>
      </c>
      <c r="J130" s="13">
        <v>1</v>
      </c>
      <c r="K130" s="19">
        <v>17.399999999999999</v>
      </c>
    </row>
    <row r="131" spans="1:11" x14ac:dyDescent="0.25">
      <c r="A131" s="13">
        <v>130</v>
      </c>
      <c r="B131" s="14">
        <v>45891</v>
      </c>
      <c r="C131" s="13" t="str">
        <f t="shared" si="6"/>
        <v>Sexta-Feira</v>
      </c>
      <c r="D131" s="20">
        <v>0.81180555555555556</v>
      </c>
      <c r="E131" s="13">
        <f t="shared" si="7"/>
        <v>130</v>
      </c>
      <c r="F131" s="13">
        <f t="shared" si="8"/>
        <v>130</v>
      </c>
      <c r="G131" s="13">
        <v>1</v>
      </c>
      <c r="H131" s="13">
        <v>1</v>
      </c>
      <c r="I131" s="13">
        <v>1</v>
      </c>
      <c r="J131" s="13">
        <v>1</v>
      </c>
      <c r="K131" s="19">
        <v>11.6</v>
      </c>
    </row>
    <row r="132" spans="1:11" x14ac:dyDescent="0.25">
      <c r="A132" s="13">
        <v>131</v>
      </c>
      <c r="B132" s="14">
        <v>45892</v>
      </c>
      <c r="C132" s="13" t="str">
        <f t="shared" si="6"/>
        <v>Sábado</v>
      </c>
      <c r="D132" s="20">
        <v>0.55138888888888882</v>
      </c>
      <c r="E132" s="13">
        <f t="shared" si="7"/>
        <v>131</v>
      </c>
      <c r="F132" s="13">
        <f t="shared" si="8"/>
        <v>131</v>
      </c>
      <c r="G132" s="13">
        <v>1</v>
      </c>
      <c r="H132" s="13">
        <v>1</v>
      </c>
      <c r="I132" s="13">
        <v>1</v>
      </c>
      <c r="J132" s="13">
        <v>1</v>
      </c>
      <c r="K132" s="19">
        <v>12.55</v>
      </c>
    </row>
    <row r="133" spans="1:11" x14ac:dyDescent="0.25">
      <c r="A133" s="13">
        <v>132</v>
      </c>
      <c r="B133" s="14">
        <v>45892</v>
      </c>
      <c r="C133" s="13" t="str">
        <f t="shared" si="6"/>
        <v>Sábado</v>
      </c>
      <c r="D133" s="20">
        <v>0.5625</v>
      </c>
      <c r="E133" s="13">
        <f t="shared" si="7"/>
        <v>132</v>
      </c>
      <c r="F133" s="13">
        <f t="shared" si="8"/>
        <v>132</v>
      </c>
      <c r="G133" s="13">
        <v>4</v>
      </c>
      <c r="H133" s="13">
        <v>1</v>
      </c>
      <c r="I133" s="13">
        <v>1</v>
      </c>
      <c r="J133" s="13">
        <v>1</v>
      </c>
      <c r="K133" s="19">
        <v>0</v>
      </c>
    </row>
    <row r="134" spans="1:11" x14ac:dyDescent="0.25">
      <c r="A134" s="13">
        <v>133</v>
      </c>
      <c r="B134" s="14">
        <v>45892</v>
      </c>
      <c r="C134" s="13" t="str">
        <f t="shared" si="6"/>
        <v>Sábado</v>
      </c>
      <c r="D134" s="20">
        <v>0.57222222222222219</v>
      </c>
      <c r="E134" s="13">
        <f t="shared" si="7"/>
        <v>133</v>
      </c>
      <c r="F134" s="13">
        <f t="shared" si="8"/>
        <v>133</v>
      </c>
      <c r="G134" s="13">
        <v>2</v>
      </c>
      <c r="H134" s="13">
        <v>1</v>
      </c>
      <c r="I134" s="13">
        <v>1</v>
      </c>
      <c r="J134" s="13">
        <v>1</v>
      </c>
      <c r="K134" s="19">
        <v>6.2</v>
      </c>
    </row>
    <row r="135" spans="1:11" x14ac:dyDescent="0.25">
      <c r="A135" s="13">
        <v>134</v>
      </c>
      <c r="B135" s="14">
        <v>45892</v>
      </c>
      <c r="C135" s="13" t="str">
        <f t="shared" si="6"/>
        <v>Sábado</v>
      </c>
      <c r="D135" s="20">
        <v>0.57777777777777783</v>
      </c>
      <c r="E135" s="13">
        <f t="shared" si="7"/>
        <v>134</v>
      </c>
      <c r="F135" s="13">
        <f t="shared" si="8"/>
        <v>134</v>
      </c>
      <c r="G135" s="13">
        <v>2</v>
      </c>
      <c r="H135" s="13">
        <v>1</v>
      </c>
      <c r="I135" s="13">
        <v>1</v>
      </c>
      <c r="J135" s="13">
        <v>1</v>
      </c>
      <c r="K135" s="19">
        <v>7.5</v>
      </c>
    </row>
    <row r="136" spans="1:11" x14ac:dyDescent="0.25">
      <c r="A136" s="13">
        <v>135</v>
      </c>
      <c r="B136" s="14">
        <v>45892</v>
      </c>
      <c r="C136" s="13" t="str">
        <f t="shared" si="6"/>
        <v>Sábado</v>
      </c>
      <c r="D136" s="20">
        <v>0.58680555555555558</v>
      </c>
      <c r="E136" s="13">
        <f t="shared" si="7"/>
        <v>135</v>
      </c>
      <c r="F136" s="13">
        <f t="shared" si="8"/>
        <v>135</v>
      </c>
      <c r="G136" s="13">
        <v>2</v>
      </c>
      <c r="H136" s="13">
        <v>1</v>
      </c>
      <c r="I136" s="13">
        <v>1</v>
      </c>
      <c r="J136" s="13">
        <v>1</v>
      </c>
      <c r="K136" s="19">
        <v>24.35</v>
      </c>
    </row>
    <row r="137" spans="1:11" x14ac:dyDescent="0.25">
      <c r="A137" s="13">
        <v>136</v>
      </c>
      <c r="B137" s="14">
        <v>45892</v>
      </c>
      <c r="C137" s="13" t="str">
        <f t="shared" si="6"/>
        <v>Sábado</v>
      </c>
      <c r="D137" s="20">
        <v>0.60486111111111118</v>
      </c>
      <c r="E137" s="13">
        <f t="shared" si="7"/>
        <v>136</v>
      </c>
      <c r="F137" s="13">
        <f t="shared" si="8"/>
        <v>136</v>
      </c>
      <c r="G137" s="13">
        <v>2</v>
      </c>
      <c r="H137" s="13">
        <v>1</v>
      </c>
      <c r="I137" s="13">
        <v>1</v>
      </c>
      <c r="J137" s="13">
        <v>1</v>
      </c>
      <c r="K137" s="19">
        <v>29.6</v>
      </c>
    </row>
    <row r="138" spans="1:11" x14ac:dyDescent="0.25">
      <c r="A138" s="13">
        <v>137</v>
      </c>
      <c r="B138" s="14">
        <v>45892</v>
      </c>
      <c r="C138" s="13" t="str">
        <f t="shared" si="6"/>
        <v>Sábado</v>
      </c>
      <c r="D138" s="20">
        <v>0.64027777777777783</v>
      </c>
      <c r="E138" s="13">
        <f t="shared" si="7"/>
        <v>137</v>
      </c>
      <c r="F138" s="13">
        <f t="shared" si="8"/>
        <v>137</v>
      </c>
      <c r="G138" s="13">
        <v>2</v>
      </c>
      <c r="H138" s="13">
        <v>1</v>
      </c>
      <c r="I138" s="13">
        <v>1</v>
      </c>
      <c r="J138" s="13">
        <v>1</v>
      </c>
      <c r="K138" s="19">
        <v>7.2</v>
      </c>
    </row>
    <row r="139" spans="1:11" x14ac:dyDescent="0.25">
      <c r="A139" s="13">
        <v>138</v>
      </c>
      <c r="B139" s="14">
        <v>45892</v>
      </c>
      <c r="C139" s="13" t="str">
        <f t="shared" si="6"/>
        <v>Sábado</v>
      </c>
      <c r="D139" s="20">
        <v>0.6479166666666667</v>
      </c>
      <c r="E139" s="13">
        <f t="shared" si="7"/>
        <v>138</v>
      </c>
      <c r="F139" s="13">
        <f t="shared" si="8"/>
        <v>138</v>
      </c>
      <c r="G139" s="13">
        <v>1</v>
      </c>
      <c r="H139" s="13">
        <v>1</v>
      </c>
      <c r="I139" s="13">
        <v>1</v>
      </c>
      <c r="J139" s="13">
        <v>1</v>
      </c>
      <c r="K139" s="19">
        <v>13.3</v>
      </c>
    </row>
    <row r="140" spans="1:11" x14ac:dyDescent="0.25">
      <c r="A140" s="13">
        <v>139</v>
      </c>
      <c r="B140" s="14">
        <v>45892</v>
      </c>
      <c r="C140" s="13" t="str">
        <f t="shared" si="6"/>
        <v>Sábado</v>
      </c>
      <c r="D140" s="20">
        <v>0.66319444444444442</v>
      </c>
      <c r="E140" s="13">
        <f t="shared" si="7"/>
        <v>139</v>
      </c>
      <c r="F140" s="13">
        <f t="shared" si="8"/>
        <v>139</v>
      </c>
      <c r="G140" s="13">
        <v>2</v>
      </c>
      <c r="H140" s="13">
        <v>1</v>
      </c>
      <c r="I140" s="13">
        <v>1</v>
      </c>
      <c r="J140" s="13">
        <v>1</v>
      </c>
      <c r="K140" s="19">
        <v>8.4</v>
      </c>
    </row>
    <row r="141" spans="1:11" x14ac:dyDescent="0.25">
      <c r="A141" s="13">
        <v>140</v>
      </c>
      <c r="B141" s="14">
        <v>45892</v>
      </c>
      <c r="C141" s="13" t="str">
        <f t="shared" si="6"/>
        <v>Sábado</v>
      </c>
      <c r="D141" s="20">
        <v>0.67291666666666661</v>
      </c>
      <c r="E141" s="13">
        <f t="shared" si="7"/>
        <v>140</v>
      </c>
      <c r="F141" s="13">
        <f t="shared" si="8"/>
        <v>140</v>
      </c>
      <c r="G141" s="13">
        <v>2</v>
      </c>
      <c r="H141" s="13">
        <v>1</v>
      </c>
      <c r="I141" s="13">
        <v>1</v>
      </c>
      <c r="J141" s="13">
        <v>1</v>
      </c>
      <c r="K141" s="19">
        <v>25.9</v>
      </c>
    </row>
    <row r="142" spans="1:11" x14ac:dyDescent="0.25">
      <c r="A142" s="13">
        <v>141</v>
      </c>
      <c r="B142" s="14">
        <v>45900</v>
      </c>
      <c r="C142" s="13" t="str">
        <f t="shared" si="6"/>
        <v>Domingo</v>
      </c>
      <c r="D142" s="20">
        <v>0.63055555555555554</v>
      </c>
      <c r="E142" s="13">
        <f t="shared" si="7"/>
        <v>141</v>
      </c>
      <c r="F142" s="13">
        <f t="shared" si="8"/>
        <v>141</v>
      </c>
      <c r="G142" s="13">
        <v>1</v>
      </c>
      <c r="H142" s="13">
        <v>1</v>
      </c>
      <c r="I142" s="13">
        <v>1</v>
      </c>
      <c r="J142" s="13">
        <v>1</v>
      </c>
      <c r="K142" s="19">
        <v>8.8000000000000007</v>
      </c>
    </row>
    <row r="143" spans="1:11" x14ac:dyDescent="0.25">
      <c r="A143" s="13">
        <v>142</v>
      </c>
      <c r="B143" s="14">
        <v>45900</v>
      </c>
      <c r="C143" s="13" t="str">
        <f t="shared" si="6"/>
        <v>Domingo</v>
      </c>
      <c r="D143" s="20">
        <v>0.64027777777777783</v>
      </c>
      <c r="E143" s="13">
        <f t="shared" si="7"/>
        <v>142</v>
      </c>
      <c r="F143" s="13">
        <f t="shared" si="8"/>
        <v>142</v>
      </c>
      <c r="G143" s="13">
        <v>2</v>
      </c>
      <c r="H143" s="13">
        <v>1</v>
      </c>
      <c r="I143" s="13">
        <v>1</v>
      </c>
      <c r="J143" s="13">
        <v>1</v>
      </c>
      <c r="K143" s="19">
        <v>15.75</v>
      </c>
    </row>
    <row r="144" spans="1:11" x14ac:dyDescent="0.25">
      <c r="A144" s="13">
        <v>143</v>
      </c>
      <c r="B144" s="14">
        <v>45900</v>
      </c>
      <c r="C144" s="13" t="str">
        <f t="shared" si="6"/>
        <v>Domingo</v>
      </c>
      <c r="D144" s="20">
        <v>0.64097222222222217</v>
      </c>
      <c r="E144" s="13">
        <f t="shared" si="7"/>
        <v>143</v>
      </c>
      <c r="F144" s="13">
        <f t="shared" si="8"/>
        <v>143</v>
      </c>
      <c r="G144" s="13">
        <v>1</v>
      </c>
      <c r="H144" s="13">
        <v>1</v>
      </c>
      <c r="I144" s="13">
        <v>1</v>
      </c>
      <c r="J144" s="13">
        <v>1</v>
      </c>
      <c r="K144" s="19">
        <v>12.05</v>
      </c>
    </row>
    <row r="145" spans="1:11" x14ac:dyDescent="0.25">
      <c r="A145" s="13">
        <v>144</v>
      </c>
      <c r="B145" s="14">
        <v>45900</v>
      </c>
      <c r="C145" s="13" t="str">
        <f t="shared" si="6"/>
        <v>Domingo</v>
      </c>
      <c r="D145" s="20">
        <v>0.67013888888888884</v>
      </c>
      <c r="E145" s="13">
        <f t="shared" si="7"/>
        <v>144</v>
      </c>
      <c r="F145" s="13">
        <f t="shared" si="8"/>
        <v>144</v>
      </c>
      <c r="G145" s="13">
        <v>2</v>
      </c>
      <c r="H145" s="13">
        <v>1</v>
      </c>
      <c r="I145" s="13">
        <v>1</v>
      </c>
      <c r="J145" s="13">
        <v>1</v>
      </c>
      <c r="K145" s="19">
        <v>11.15</v>
      </c>
    </row>
    <row r="146" spans="1:11" x14ac:dyDescent="0.25">
      <c r="A146" s="13">
        <v>145</v>
      </c>
      <c r="B146" s="14">
        <v>45900</v>
      </c>
      <c r="C146" s="13" t="str">
        <f t="shared" si="6"/>
        <v>Domingo</v>
      </c>
      <c r="D146" s="20">
        <v>0.68472222222222223</v>
      </c>
      <c r="E146" s="13">
        <f t="shared" si="7"/>
        <v>145</v>
      </c>
      <c r="F146" s="13">
        <f t="shared" si="8"/>
        <v>145</v>
      </c>
      <c r="G146" s="13">
        <v>4</v>
      </c>
      <c r="H146" s="13">
        <v>1</v>
      </c>
      <c r="I146" s="13">
        <v>1</v>
      </c>
      <c r="J146" s="13">
        <v>1</v>
      </c>
      <c r="K146" s="19">
        <v>0</v>
      </c>
    </row>
    <row r="147" spans="1:11" x14ac:dyDescent="0.25">
      <c r="A147" s="13">
        <v>146</v>
      </c>
      <c r="B147" s="14">
        <v>45900</v>
      </c>
      <c r="C147" s="13" t="str">
        <f t="shared" si="6"/>
        <v>Domingo</v>
      </c>
      <c r="D147" s="20">
        <v>0.69305555555555554</v>
      </c>
      <c r="E147" s="13">
        <f t="shared" si="7"/>
        <v>146</v>
      </c>
      <c r="F147" s="13">
        <f t="shared" si="8"/>
        <v>146</v>
      </c>
      <c r="G147" s="13">
        <v>2</v>
      </c>
      <c r="H147" s="13">
        <v>1</v>
      </c>
      <c r="I147" s="13">
        <v>1</v>
      </c>
      <c r="J147" s="13">
        <v>1</v>
      </c>
      <c r="K147" s="19">
        <v>8.1999999999999993</v>
      </c>
    </row>
    <row r="148" spans="1:11" x14ac:dyDescent="0.25">
      <c r="A148" s="13">
        <v>147</v>
      </c>
      <c r="B148" s="14">
        <v>45900</v>
      </c>
      <c r="C148" s="13" t="str">
        <f t="shared" si="6"/>
        <v>Domingo</v>
      </c>
      <c r="D148" s="20">
        <v>0.69930555555555562</v>
      </c>
      <c r="E148" s="13">
        <f t="shared" si="7"/>
        <v>147</v>
      </c>
      <c r="F148" s="13">
        <f t="shared" si="8"/>
        <v>147</v>
      </c>
      <c r="G148" s="13">
        <v>2</v>
      </c>
      <c r="H148" s="13">
        <v>1</v>
      </c>
      <c r="I148" s="13">
        <v>1</v>
      </c>
      <c r="J148" s="13">
        <v>1</v>
      </c>
      <c r="K148" s="19">
        <v>22.75</v>
      </c>
    </row>
    <row r="149" spans="1:11" x14ac:dyDescent="0.25">
      <c r="A149" s="13">
        <v>148</v>
      </c>
      <c r="B149" s="14">
        <v>45900</v>
      </c>
      <c r="C149" s="13" t="str">
        <f t="shared" si="6"/>
        <v>Domingo</v>
      </c>
      <c r="D149" s="20">
        <v>0.70138888888888884</v>
      </c>
      <c r="E149" s="13">
        <f t="shared" si="7"/>
        <v>148</v>
      </c>
      <c r="F149" s="13">
        <f t="shared" si="8"/>
        <v>148</v>
      </c>
      <c r="G149" s="13">
        <v>2</v>
      </c>
      <c r="H149" s="13">
        <v>1</v>
      </c>
      <c r="I149" s="13">
        <v>1</v>
      </c>
      <c r="J149" s="13">
        <v>1</v>
      </c>
      <c r="K149" s="19">
        <v>19.55</v>
      </c>
    </row>
    <row r="150" spans="1:11" x14ac:dyDescent="0.25">
      <c r="A150" s="13">
        <v>149</v>
      </c>
      <c r="B150" s="14">
        <v>45900</v>
      </c>
      <c r="C150" s="13" t="str">
        <f t="shared" si="6"/>
        <v>Domingo</v>
      </c>
      <c r="D150" s="20">
        <v>0.73749999999999993</v>
      </c>
      <c r="E150" s="13">
        <f t="shared" si="7"/>
        <v>149</v>
      </c>
      <c r="F150" s="13">
        <f t="shared" si="8"/>
        <v>149</v>
      </c>
      <c r="G150" s="13">
        <v>2</v>
      </c>
      <c r="H150" s="13">
        <v>1</v>
      </c>
      <c r="I150" s="13">
        <v>1</v>
      </c>
      <c r="J150" s="13">
        <v>1</v>
      </c>
      <c r="K150" s="19">
        <v>16.149999999999999</v>
      </c>
    </row>
    <row r="151" spans="1:11" x14ac:dyDescent="0.25">
      <c r="A151" s="13">
        <v>150</v>
      </c>
      <c r="B151" s="14">
        <v>45901</v>
      </c>
      <c r="C151" s="13" t="str">
        <f t="shared" si="6"/>
        <v>Segunda-Feira</v>
      </c>
      <c r="D151" s="20">
        <v>0.72013888888888899</v>
      </c>
      <c r="E151" s="13">
        <f t="shared" si="7"/>
        <v>150</v>
      </c>
      <c r="F151" s="13">
        <f t="shared" si="8"/>
        <v>150</v>
      </c>
      <c r="G151" s="13">
        <v>2</v>
      </c>
      <c r="H151" s="13">
        <v>1</v>
      </c>
      <c r="I151" s="13">
        <v>1</v>
      </c>
      <c r="J151" s="13">
        <v>1</v>
      </c>
      <c r="K151" s="19">
        <v>14.4</v>
      </c>
    </row>
    <row r="152" spans="1:11" x14ac:dyDescent="0.25">
      <c r="A152" s="13">
        <v>151</v>
      </c>
      <c r="B152" s="14">
        <v>45901</v>
      </c>
      <c r="C152" s="13" t="str">
        <f t="shared" si="6"/>
        <v>Segunda-Feira</v>
      </c>
      <c r="D152" s="20">
        <v>0.72361111111111109</v>
      </c>
      <c r="E152" s="13">
        <f t="shared" si="7"/>
        <v>151</v>
      </c>
      <c r="F152" s="13">
        <f t="shared" si="8"/>
        <v>151</v>
      </c>
      <c r="G152" s="13">
        <v>2</v>
      </c>
      <c r="H152" s="13">
        <v>1</v>
      </c>
      <c r="I152" s="13">
        <v>1</v>
      </c>
      <c r="J152" s="13">
        <v>1</v>
      </c>
      <c r="K152" s="19">
        <v>9.6</v>
      </c>
    </row>
    <row r="153" spans="1:11" x14ac:dyDescent="0.25">
      <c r="A153" s="13">
        <v>152</v>
      </c>
      <c r="B153" s="14">
        <v>45901</v>
      </c>
      <c r="C153" s="13" t="str">
        <f t="shared" si="6"/>
        <v>Segunda-Feira</v>
      </c>
      <c r="D153" s="20">
        <v>0.73333333333333339</v>
      </c>
      <c r="E153" s="13">
        <f t="shared" si="7"/>
        <v>152</v>
      </c>
      <c r="F153" s="13">
        <f t="shared" si="8"/>
        <v>152</v>
      </c>
      <c r="G153" s="13">
        <v>3</v>
      </c>
      <c r="H153" s="13">
        <v>1</v>
      </c>
      <c r="I153" s="13">
        <v>1</v>
      </c>
      <c r="J153" s="13">
        <v>1</v>
      </c>
      <c r="K153" s="19">
        <v>0</v>
      </c>
    </row>
    <row r="154" spans="1:11" x14ac:dyDescent="0.25">
      <c r="A154" s="13">
        <v>153</v>
      </c>
      <c r="B154" s="14">
        <v>45901</v>
      </c>
      <c r="C154" s="13" t="str">
        <f t="shared" si="6"/>
        <v>Segunda-Feira</v>
      </c>
      <c r="D154" s="20">
        <v>0.7402777777777777</v>
      </c>
      <c r="E154" s="13">
        <f t="shared" si="7"/>
        <v>153</v>
      </c>
      <c r="F154" s="13">
        <f t="shared" si="8"/>
        <v>153</v>
      </c>
      <c r="G154" s="13">
        <v>2</v>
      </c>
      <c r="H154" s="13">
        <v>1</v>
      </c>
      <c r="I154" s="13">
        <v>1</v>
      </c>
      <c r="J154" s="13">
        <v>1</v>
      </c>
      <c r="K154" s="19">
        <v>20.2</v>
      </c>
    </row>
    <row r="155" spans="1:11" x14ac:dyDescent="0.25">
      <c r="A155" s="13">
        <v>154</v>
      </c>
      <c r="B155" s="14">
        <v>45901</v>
      </c>
      <c r="C155" s="13" t="str">
        <f t="shared" si="6"/>
        <v>Segunda-Feira</v>
      </c>
      <c r="D155" s="20">
        <v>0.75555555555555554</v>
      </c>
      <c r="E155" s="13">
        <f t="shared" si="7"/>
        <v>154</v>
      </c>
      <c r="F155" s="13">
        <f t="shared" si="8"/>
        <v>154</v>
      </c>
      <c r="G155" s="13">
        <v>2</v>
      </c>
      <c r="H155" s="13">
        <v>1</v>
      </c>
      <c r="I155" s="13">
        <v>1</v>
      </c>
      <c r="J155" s="13">
        <v>1</v>
      </c>
      <c r="K155" s="19">
        <v>23.85</v>
      </c>
    </row>
    <row r="156" spans="1:11" x14ac:dyDescent="0.25">
      <c r="A156" s="13">
        <v>155</v>
      </c>
      <c r="B156" s="14">
        <v>45901</v>
      </c>
      <c r="C156" s="13" t="str">
        <f t="shared" si="6"/>
        <v>Segunda-Feira</v>
      </c>
      <c r="D156" s="20">
        <v>0.77569444444444446</v>
      </c>
      <c r="E156" s="13">
        <f t="shared" si="7"/>
        <v>155</v>
      </c>
      <c r="F156" s="13">
        <f t="shared" si="8"/>
        <v>155</v>
      </c>
      <c r="G156" s="13">
        <v>4</v>
      </c>
      <c r="H156" s="13">
        <v>1</v>
      </c>
      <c r="I156" s="13">
        <v>1</v>
      </c>
      <c r="J156" s="13">
        <v>1</v>
      </c>
      <c r="K156" s="19">
        <v>0</v>
      </c>
    </row>
    <row r="157" spans="1:11" x14ac:dyDescent="0.25">
      <c r="A157" s="13">
        <v>156</v>
      </c>
      <c r="B157" s="14">
        <v>45904</v>
      </c>
      <c r="C157" s="13" t="str">
        <f t="shared" si="6"/>
        <v>Quinta-Feira</v>
      </c>
      <c r="D157" s="20">
        <v>0.71875</v>
      </c>
      <c r="E157" s="13">
        <f t="shared" si="7"/>
        <v>156</v>
      </c>
      <c r="F157" s="13">
        <f t="shared" si="8"/>
        <v>156</v>
      </c>
      <c r="G157" s="13">
        <v>1</v>
      </c>
      <c r="H157" s="13">
        <v>1</v>
      </c>
      <c r="I157" s="13">
        <v>1</v>
      </c>
      <c r="J157" s="13">
        <v>1</v>
      </c>
      <c r="K157" s="19">
        <v>8</v>
      </c>
    </row>
    <row r="158" spans="1:11" x14ac:dyDescent="0.25">
      <c r="A158" s="13">
        <v>157</v>
      </c>
      <c r="B158" s="14">
        <v>45904</v>
      </c>
      <c r="C158" s="13" t="str">
        <f t="shared" si="6"/>
        <v>Quinta-Feira</v>
      </c>
      <c r="D158" s="20">
        <v>0.72569444444444453</v>
      </c>
      <c r="E158" s="13">
        <f t="shared" si="7"/>
        <v>157</v>
      </c>
      <c r="F158" s="13">
        <f t="shared" si="8"/>
        <v>157</v>
      </c>
      <c r="G158" s="13">
        <v>1</v>
      </c>
      <c r="H158" s="13">
        <v>1</v>
      </c>
      <c r="I158" s="13">
        <v>1</v>
      </c>
      <c r="J158" s="13">
        <v>1</v>
      </c>
      <c r="K158" s="19">
        <v>28.15</v>
      </c>
    </row>
    <row r="159" spans="1:11" x14ac:dyDescent="0.25">
      <c r="A159" s="13">
        <v>158</v>
      </c>
      <c r="B159" s="14">
        <v>45904</v>
      </c>
      <c r="C159" s="13" t="str">
        <f t="shared" si="6"/>
        <v>Quinta-Feira</v>
      </c>
      <c r="D159" s="20">
        <v>0.74652777777777779</v>
      </c>
      <c r="E159" s="13">
        <f t="shared" si="7"/>
        <v>158</v>
      </c>
      <c r="F159" s="13">
        <f t="shared" si="8"/>
        <v>158</v>
      </c>
      <c r="G159" s="13">
        <v>2</v>
      </c>
      <c r="H159" s="13">
        <v>1</v>
      </c>
      <c r="I159" s="13">
        <v>1</v>
      </c>
      <c r="J159" s="13">
        <v>1</v>
      </c>
      <c r="K159" s="19">
        <v>17.149999999999999</v>
      </c>
    </row>
    <row r="160" spans="1:11" x14ac:dyDescent="0.25">
      <c r="A160" s="13">
        <v>159</v>
      </c>
      <c r="B160" s="14">
        <v>45904</v>
      </c>
      <c r="C160" s="13" t="str">
        <f t="shared" si="6"/>
        <v>Quinta-Feira</v>
      </c>
      <c r="D160" s="20">
        <v>0.76111111111111107</v>
      </c>
      <c r="E160" s="13">
        <f t="shared" si="7"/>
        <v>159</v>
      </c>
      <c r="F160" s="13">
        <f t="shared" si="8"/>
        <v>159</v>
      </c>
      <c r="G160" s="13">
        <v>2</v>
      </c>
      <c r="H160" s="13">
        <v>1</v>
      </c>
      <c r="I160" s="13">
        <v>1</v>
      </c>
      <c r="J160" s="13">
        <v>1</v>
      </c>
      <c r="K160" s="19">
        <v>14.15</v>
      </c>
    </row>
    <row r="161" spans="1:11" x14ac:dyDescent="0.25">
      <c r="A161" s="13">
        <v>160</v>
      </c>
      <c r="B161" s="14">
        <v>45904</v>
      </c>
      <c r="C161" s="13" t="str">
        <f t="shared" si="6"/>
        <v>Quinta-Feira</v>
      </c>
      <c r="D161" s="20">
        <v>0.77777777777777779</v>
      </c>
      <c r="E161" s="13">
        <f t="shared" si="7"/>
        <v>160</v>
      </c>
      <c r="F161" s="13">
        <f t="shared" si="8"/>
        <v>160</v>
      </c>
      <c r="G161" s="13">
        <v>2</v>
      </c>
      <c r="H161" s="13">
        <v>1</v>
      </c>
      <c r="I161" s="13">
        <v>1</v>
      </c>
      <c r="J161" s="13">
        <v>1</v>
      </c>
      <c r="K161" s="19">
        <v>5.5</v>
      </c>
    </row>
    <row r="162" spans="1:11" x14ac:dyDescent="0.25">
      <c r="A162" s="13">
        <v>161</v>
      </c>
      <c r="B162" s="14">
        <v>45904</v>
      </c>
      <c r="C162" s="13" t="str">
        <f t="shared" si="6"/>
        <v>Quinta-Feira</v>
      </c>
      <c r="D162" s="20">
        <v>0.78472222222222221</v>
      </c>
      <c r="E162" s="13">
        <f t="shared" si="7"/>
        <v>161</v>
      </c>
      <c r="F162" s="13">
        <f t="shared" si="8"/>
        <v>161</v>
      </c>
      <c r="G162" s="13">
        <v>1</v>
      </c>
      <c r="H162" s="13">
        <v>1</v>
      </c>
      <c r="I162" s="13">
        <v>1</v>
      </c>
      <c r="J162" s="13">
        <v>1</v>
      </c>
      <c r="K162" s="19">
        <v>16.100000000000001</v>
      </c>
    </row>
    <row r="163" spans="1:11" x14ac:dyDescent="0.25">
      <c r="A163" s="13">
        <v>162</v>
      </c>
      <c r="B163" s="14">
        <v>45906</v>
      </c>
      <c r="C163" s="13" t="str">
        <f t="shared" si="6"/>
        <v>Sábado</v>
      </c>
      <c r="D163" s="20">
        <v>0.4513888888888889</v>
      </c>
      <c r="E163" s="13">
        <f t="shared" si="7"/>
        <v>162</v>
      </c>
      <c r="F163" s="13">
        <f t="shared" si="8"/>
        <v>162</v>
      </c>
      <c r="G163" s="13">
        <v>2</v>
      </c>
      <c r="H163" s="13">
        <v>1</v>
      </c>
      <c r="I163" s="13">
        <v>1</v>
      </c>
      <c r="J163" s="13">
        <v>1</v>
      </c>
      <c r="K163" s="19">
        <v>24.9</v>
      </c>
    </row>
    <row r="164" spans="1:11" x14ac:dyDescent="0.25">
      <c r="A164" s="13">
        <v>163</v>
      </c>
      <c r="B164" s="14">
        <v>45906</v>
      </c>
      <c r="C164" s="13" t="str">
        <f t="shared" si="6"/>
        <v>Sábado</v>
      </c>
      <c r="D164" s="20">
        <v>0.47013888888888888</v>
      </c>
      <c r="E164" s="13">
        <f t="shared" si="7"/>
        <v>163</v>
      </c>
      <c r="F164" s="13">
        <f t="shared" si="8"/>
        <v>163</v>
      </c>
      <c r="G164" s="13">
        <v>1</v>
      </c>
      <c r="H164" s="13">
        <v>1</v>
      </c>
      <c r="I164" s="13">
        <v>1</v>
      </c>
      <c r="J164" s="13">
        <v>1</v>
      </c>
      <c r="K164" s="19">
        <v>6.6</v>
      </c>
    </row>
    <row r="165" spans="1:11" x14ac:dyDescent="0.25">
      <c r="A165" s="13">
        <v>164</v>
      </c>
      <c r="B165" s="14">
        <v>45906</v>
      </c>
      <c r="C165" s="13" t="str">
        <f t="shared" si="6"/>
        <v>Sábado</v>
      </c>
      <c r="D165" s="20">
        <v>0.47430555555555554</v>
      </c>
      <c r="E165" s="13">
        <f t="shared" si="7"/>
        <v>164</v>
      </c>
      <c r="F165" s="13">
        <f t="shared" si="8"/>
        <v>164</v>
      </c>
      <c r="G165" s="13">
        <v>2</v>
      </c>
      <c r="H165" s="13">
        <v>1</v>
      </c>
      <c r="I165" s="13">
        <v>1</v>
      </c>
      <c r="J165" s="13">
        <v>1</v>
      </c>
      <c r="K165" s="19">
        <v>20.45</v>
      </c>
    </row>
    <row r="166" spans="1:11" x14ac:dyDescent="0.25">
      <c r="A166" s="13">
        <v>165</v>
      </c>
      <c r="B166" s="14">
        <v>45906</v>
      </c>
      <c r="C166" s="13" t="str">
        <f t="shared" si="6"/>
        <v>Sábado</v>
      </c>
      <c r="D166" s="20">
        <v>0.48194444444444445</v>
      </c>
      <c r="E166" s="13">
        <f t="shared" si="7"/>
        <v>165</v>
      </c>
      <c r="F166" s="13">
        <f t="shared" si="8"/>
        <v>165</v>
      </c>
      <c r="G166" s="13">
        <v>3</v>
      </c>
      <c r="H166" s="13">
        <v>1</v>
      </c>
      <c r="I166" s="13">
        <v>1</v>
      </c>
      <c r="J166" s="13">
        <v>1</v>
      </c>
      <c r="K166" s="19">
        <v>0</v>
      </c>
    </row>
    <row r="167" spans="1:11" x14ac:dyDescent="0.25">
      <c r="A167" s="13">
        <v>166</v>
      </c>
      <c r="B167" s="14">
        <v>45906</v>
      </c>
      <c r="C167" s="13" t="str">
        <f t="shared" si="6"/>
        <v>Sábado</v>
      </c>
      <c r="D167" s="20">
        <v>0.49513888888888885</v>
      </c>
      <c r="E167" s="13">
        <f t="shared" si="7"/>
        <v>166</v>
      </c>
      <c r="F167" s="13">
        <f t="shared" si="8"/>
        <v>166</v>
      </c>
      <c r="G167" s="13">
        <v>2</v>
      </c>
      <c r="H167" s="13">
        <v>1</v>
      </c>
      <c r="I167" s="13">
        <v>1</v>
      </c>
      <c r="J167" s="13">
        <v>1</v>
      </c>
      <c r="K167" s="19">
        <v>12.65</v>
      </c>
    </row>
    <row r="168" spans="1:11" x14ac:dyDescent="0.25">
      <c r="A168" s="13">
        <v>167</v>
      </c>
      <c r="B168" s="14">
        <v>45906</v>
      </c>
      <c r="C168" s="13" t="str">
        <f t="shared" si="6"/>
        <v>Sábado</v>
      </c>
      <c r="D168" s="20">
        <v>0.50624999999999998</v>
      </c>
      <c r="E168" s="13">
        <f t="shared" si="7"/>
        <v>167</v>
      </c>
      <c r="F168" s="13">
        <f t="shared" si="8"/>
        <v>167</v>
      </c>
      <c r="G168" s="13">
        <v>2</v>
      </c>
      <c r="H168" s="13">
        <v>1</v>
      </c>
      <c r="I168" s="13">
        <v>1</v>
      </c>
      <c r="J168" s="13">
        <v>1</v>
      </c>
      <c r="K168" s="19">
        <v>45.1</v>
      </c>
    </row>
    <row r="169" spans="1:11" x14ac:dyDescent="0.25">
      <c r="A169" s="13">
        <v>168</v>
      </c>
      <c r="B169" s="14">
        <v>45906</v>
      </c>
      <c r="C169" s="13" t="str">
        <f t="shared" si="6"/>
        <v>Sábado</v>
      </c>
      <c r="D169" s="20">
        <v>0.54791666666666672</v>
      </c>
      <c r="E169" s="13">
        <f t="shared" si="7"/>
        <v>168</v>
      </c>
      <c r="F169" s="13">
        <f t="shared" si="8"/>
        <v>168</v>
      </c>
      <c r="G169" s="13">
        <v>2</v>
      </c>
      <c r="H169" s="13">
        <v>1</v>
      </c>
      <c r="I169" s="13">
        <v>1</v>
      </c>
      <c r="J169" s="13">
        <v>1</v>
      </c>
      <c r="K169" s="19">
        <v>2.15</v>
      </c>
    </row>
    <row r="170" spans="1:11" x14ac:dyDescent="0.25">
      <c r="A170" s="13">
        <v>169</v>
      </c>
      <c r="B170" s="14">
        <v>45906</v>
      </c>
      <c r="C170" s="13" t="str">
        <f t="shared" si="6"/>
        <v>Sábado</v>
      </c>
      <c r="D170" s="20">
        <v>0.55277777777777781</v>
      </c>
      <c r="E170" s="13">
        <f t="shared" si="7"/>
        <v>169</v>
      </c>
      <c r="F170" s="13">
        <f t="shared" si="8"/>
        <v>169</v>
      </c>
      <c r="G170" s="13">
        <v>2</v>
      </c>
      <c r="H170" s="13">
        <v>1</v>
      </c>
      <c r="I170" s="13">
        <v>1</v>
      </c>
      <c r="J170" s="13">
        <v>1</v>
      </c>
      <c r="K170" s="19">
        <v>26.25</v>
      </c>
    </row>
    <row r="171" spans="1:11" x14ac:dyDescent="0.25">
      <c r="A171" s="13">
        <v>170</v>
      </c>
      <c r="B171" s="14">
        <v>45906</v>
      </c>
      <c r="C171" s="13" t="str">
        <f t="shared" si="6"/>
        <v>Sábado</v>
      </c>
      <c r="D171" s="20">
        <v>0.58611111111111114</v>
      </c>
      <c r="E171" s="13">
        <f t="shared" si="7"/>
        <v>170</v>
      </c>
      <c r="F171" s="13">
        <f t="shared" si="8"/>
        <v>170</v>
      </c>
      <c r="G171" s="13">
        <v>2</v>
      </c>
      <c r="H171" s="13">
        <v>1</v>
      </c>
      <c r="I171" s="13">
        <v>1</v>
      </c>
      <c r="J171" s="13">
        <v>1</v>
      </c>
      <c r="K171" s="19">
        <v>14.15</v>
      </c>
    </row>
    <row r="172" spans="1:11" x14ac:dyDescent="0.25">
      <c r="A172" s="13">
        <v>171</v>
      </c>
      <c r="B172" s="14">
        <v>45906</v>
      </c>
      <c r="C172" s="13" t="str">
        <f t="shared" si="6"/>
        <v>Sábado</v>
      </c>
      <c r="D172" s="20">
        <v>0.59722222222222221</v>
      </c>
      <c r="E172" s="13">
        <f t="shared" si="7"/>
        <v>171</v>
      </c>
      <c r="F172" s="13">
        <f t="shared" si="8"/>
        <v>171</v>
      </c>
      <c r="G172" s="13">
        <v>2</v>
      </c>
      <c r="H172" s="13">
        <v>1</v>
      </c>
      <c r="I172" s="13">
        <v>1</v>
      </c>
      <c r="J172" s="13">
        <v>1</v>
      </c>
      <c r="K172" s="19">
        <v>5.5</v>
      </c>
    </row>
    <row r="173" spans="1:11" x14ac:dyDescent="0.25">
      <c r="A173" s="13">
        <v>172</v>
      </c>
      <c r="B173" s="14">
        <v>45906</v>
      </c>
      <c r="C173" s="13" t="str">
        <f t="shared" si="6"/>
        <v>Sábado</v>
      </c>
      <c r="D173" s="20">
        <v>0.60625000000000007</v>
      </c>
      <c r="E173" s="13">
        <f t="shared" si="7"/>
        <v>172</v>
      </c>
      <c r="F173" s="13">
        <f t="shared" si="8"/>
        <v>172</v>
      </c>
      <c r="G173" s="13">
        <v>2</v>
      </c>
      <c r="H173" s="13">
        <v>1</v>
      </c>
      <c r="I173" s="13">
        <v>1</v>
      </c>
      <c r="J173" s="13">
        <v>1</v>
      </c>
      <c r="K173" s="19">
        <v>6.9</v>
      </c>
    </row>
    <row r="174" spans="1:11" x14ac:dyDescent="0.25">
      <c r="A174" s="13">
        <v>173</v>
      </c>
      <c r="B174" s="14">
        <v>45906</v>
      </c>
      <c r="C174" s="13" t="str">
        <f t="shared" si="6"/>
        <v>Sábado</v>
      </c>
      <c r="D174" s="20">
        <v>0.61736111111111114</v>
      </c>
      <c r="E174" s="13">
        <f t="shared" si="7"/>
        <v>173</v>
      </c>
      <c r="F174" s="13">
        <f t="shared" si="8"/>
        <v>173</v>
      </c>
      <c r="G174" s="13">
        <v>2</v>
      </c>
      <c r="H174" s="13">
        <v>1</v>
      </c>
      <c r="I174" s="13">
        <v>1</v>
      </c>
      <c r="J174" s="13">
        <v>1</v>
      </c>
      <c r="K174" s="19">
        <v>16.649999999999999</v>
      </c>
    </row>
    <row r="175" spans="1:11" x14ac:dyDescent="0.25">
      <c r="A175" s="13">
        <v>174</v>
      </c>
      <c r="B175" s="14">
        <v>45908</v>
      </c>
      <c r="C175" s="13" t="str">
        <f t="shared" si="6"/>
        <v>Segunda-Feira</v>
      </c>
      <c r="D175" s="20">
        <v>0.72569444444444453</v>
      </c>
      <c r="E175" s="13">
        <f t="shared" si="7"/>
        <v>174</v>
      </c>
      <c r="F175" s="13">
        <f t="shared" si="8"/>
        <v>174</v>
      </c>
      <c r="G175" s="13">
        <v>2</v>
      </c>
      <c r="H175" s="13">
        <v>1</v>
      </c>
      <c r="I175" s="13">
        <v>1</v>
      </c>
      <c r="J175" s="13">
        <v>1</v>
      </c>
      <c r="K175" s="19">
        <v>7.25</v>
      </c>
    </row>
    <row r="176" spans="1:11" x14ac:dyDescent="0.25">
      <c r="A176" s="13">
        <v>175</v>
      </c>
      <c r="B176" s="14">
        <v>45908</v>
      </c>
      <c r="C176" s="13" t="str">
        <f t="shared" si="6"/>
        <v>Segunda-Feira</v>
      </c>
      <c r="D176" s="20">
        <v>0.73402777777777783</v>
      </c>
      <c r="E176" s="13">
        <f t="shared" si="7"/>
        <v>175</v>
      </c>
      <c r="F176" s="13">
        <f t="shared" si="8"/>
        <v>175</v>
      </c>
      <c r="G176" s="13">
        <v>1</v>
      </c>
      <c r="H176" s="13">
        <v>1</v>
      </c>
      <c r="I176" s="13">
        <v>1</v>
      </c>
      <c r="J176" s="13">
        <v>1</v>
      </c>
      <c r="K176" s="19">
        <v>6.45</v>
      </c>
    </row>
    <row r="177" spans="1:11" x14ac:dyDescent="0.25">
      <c r="A177" s="13">
        <v>176</v>
      </c>
      <c r="B177" s="14">
        <v>45908</v>
      </c>
      <c r="C177" s="13" t="str">
        <f t="shared" si="6"/>
        <v>Segunda-Feira</v>
      </c>
      <c r="D177" s="20">
        <v>0.7402777777777777</v>
      </c>
      <c r="E177" s="13">
        <f t="shared" si="7"/>
        <v>176</v>
      </c>
      <c r="F177" s="13">
        <f t="shared" si="8"/>
        <v>176</v>
      </c>
      <c r="G177" s="13">
        <v>2</v>
      </c>
      <c r="H177" s="13">
        <v>1</v>
      </c>
      <c r="I177" s="13">
        <v>1</v>
      </c>
      <c r="J177" s="13">
        <v>1</v>
      </c>
      <c r="K177" s="19">
        <v>13.65</v>
      </c>
    </row>
    <row r="178" spans="1:11" x14ac:dyDescent="0.25">
      <c r="A178" s="13">
        <v>177</v>
      </c>
      <c r="B178" s="14">
        <v>45908</v>
      </c>
      <c r="C178" s="13" t="str">
        <f t="shared" si="6"/>
        <v>Segunda-Feira</v>
      </c>
      <c r="D178" s="20">
        <v>0.75138888888888899</v>
      </c>
      <c r="E178" s="13">
        <f t="shared" si="7"/>
        <v>177</v>
      </c>
      <c r="F178" s="13">
        <f t="shared" si="8"/>
        <v>177</v>
      </c>
      <c r="G178" s="13">
        <v>2</v>
      </c>
      <c r="H178" s="13">
        <v>1</v>
      </c>
      <c r="I178" s="13">
        <v>1</v>
      </c>
      <c r="J178" s="13">
        <v>1</v>
      </c>
      <c r="K178" s="19">
        <v>10</v>
      </c>
    </row>
    <row r="179" spans="1:11" x14ac:dyDescent="0.25">
      <c r="A179" s="13">
        <v>178</v>
      </c>
      <c r="B179" s="14">
        <v>45908</v>
      </c>
      <c r="C179" s="13" t="str">
        <f t="shared" si="6"/>
        <v>Segunda-Feira</v>
      </c>
      <c r="D179" s="20">
        <v>0.76527777777777783</v>
      </c>
      <c r="E179" s="13">
        <f t="shared" si="7"/>
        <v>178</v>
      </c>
      <c r="F179" s="13">
        <f t="shared" si="8"/>
        <v>178</v>
      </c>
      <c r="G179" s="13">
        <v>1</v>
      </c>
      <c r="H179" s="13">
        <v>1</v>
      </c>
      <c r="I179" s="13">
        <v>1</v>
      </c>
      <c r="J179" s="13">
        <v>1</v>
      </c>
      <c r="K179" s="19">
        <v>10.3</v>
      </c>
    </row>
    <row r="180" spans="1:11" x14ac:dyDescent="0.25">
      <c r="A180" s="13">
        <v>179</v>
      </c>
      <c r="B180" s="14">
        <v>45908</v>
      </c>
      <c r="C180" s="13" t="str">
        <f t="shared" si="6"/>
        <v>Segunda-Feira</v>
      </c>
      <c r="D180" s="20">
        <v>0.77361111111111114</v>
      </c>
      <c r="E180" s="13">
        <f t="shared" si="7"/>
        <v>179</v>
      </c>
      <c r="F180" s="13">
        <f t="shared" si="8"/>
        <v>179</v>
      </c>
      <c r="G180" s="13">
        <v>2</v>
      </c>
      <c r="H180" s="13">
        <v>1</v>
      </c>
      <c r="I180" s="13">
        <v>1</v>
      </c>
      <c r="J180" s="13">
        <v>1</v>
      </c>
      <c r="K180" s="19">
        <v>9.6</v>
      </c>
    </row>
    <row r="181" spans="1:11" x14ac:dyDescent="0.25">
      <c r="A181" s="13">
        <v>180</v>
      </c>
      <c r="B181" s="14">
        <v>45908</v>
      </c>
      <c r="C181" s="13" t="str">
        <f t="shared" si="6"/>
        <v>Segunda-Feira</v>
      </c>
      <c r="D181" s="20">
        <v>0.78611111111111109</v>
      </c>
      <c r="E181" s="13">
        <f t="shared" si="7"/>
        <v>180</v>
      </c>
      <c r="F181" s="13">
        <f t="shared" si="8"/>
        <v>180</v>
      </c>
      <c r="G181" s="13">
        <v>2</v>
      </c>
      <c r="H181" s="13">
        <v>1</v>
      </c>
      <c r="I181" s="13">
        <v>1</v>
      </c>
      <c r="J181" s="13">
        <v>1</v>
      </c>
      <c r="K181" s="19">
        <v>7.5</v>
      </c>
    </row>
    <row r="182" spans="1:11" x14ac:dyDescent="0.25">
      <c r="A182" s="13">
        <v>181</v>
      </c>
      <c r="B182" s="14">
        <v>45909</v>
      </c>
      <c r="C182" s="13" t="str">
        <f t="shared" si="6"/>
        <v>Terça-Feira</v>
      </c>
      <c r="D182" s="20">
        <v>0.73402777777777783</v>
      </c>
      <c r="E182" s="13">
        <f t="shared" si="7"/>
        <v>181</v>
      </c>
      <c r="F182" s="13">
        <f t="shared" si="8"/>
        <v>181</v>
      </c>
      <c r="G182" s="13">
        <v>2</v>
      </c>
      <c r="H182" s="13">
        <v>1</v>
      </c>
      <c r="I182" s="13">
        <v>1</v>
      </c>
      <c r="J182" s="13">
        <v>1</v>
      </c>
      <c r="K182" s="19">
        <v>10.1</v>
      </c>
    </row>
    <row r="183" spans="1:11" x14ac:dyDescent="0.25">
      <c r="A183" s="13">
        <v>182</v>
      </c>
      <c r="B183" s="14">
        <v>45909</v>
      </c>
      <c r="C183" s="13" t="str">
        <f t="shared" si="6"/>
        <v>Terça-Feira</v>
      </c>
      <c r="D183" s="20">
        <v>0.7416666666666667</v>
      </c>
      <c r="E183" s="13">
        <f t="shared" si="7"/>
        <v>182</v>
      </c>
      <c r="F183" s="13">
        <f t="shared" si="8"/>
        <v>182</v>
      </c>
      <c r="G183" s="13">
        <v>2</v>
      </c>
      <c r="H183" s="13">
        <v>1</v>
      </c>
      <c r="I183" s="13">
        <v>1</v>
      </c>
      <c r="J183" s="13">
        <v>1</v>
      </c>
      <c r="K183" s="19">
        <v>20.100000000000001</v>
      </c>
    </row>
    <row r="184" spans="1:11" x14ac:dyDescent="0.25">
      <c r="A184" s="13">
        <v>183</v>
      </c>
      <c r="B184" s="14">
        <v>45909</v>
      </c>
      <c r="C184" s="13" t="str">
        <f t="shared" si="6"/>
        <v>Terça-Feira</v>
      </c>
      <c r="D184" s="20">
        <v>0.75694444444444453</v>
      </c>
      <c r="E184" s="13">
        <f t="shared" si="7"/>
        <v>183</v>
      </c>
      <c r="F184" s="13">
        <f t="shared" si="8"/>
        <v>183</v>
      </c>
      <c r="G184" s="13">
        <v>2</v>
      </c>
      <c r="H184" s="13">
        <v>1</v>
      </c>
      <c r="I184" s="13">
        <v>1</v>
      </c>
      <c r="J184" s="13">
        <v>1</v>
      </c>
      <c r="K184" s="19">
        <v>29.5</v>
      </c>
    </row>
    <row r="185" spans="1:11" x14ac:dyDescent="0.25">
      <c r="A185" s="13">
        <v>184</v>
      </c>
      <c r="B185" s="14">
        <v>45909</v>
      </c>
      <c r="C185" s="13" t="str">
        <f t="shared" si="6"/>
        <v>Terça-Feira</v>
      </c>
      <c r="D185" s="20">
        <v>0.78263888888888899</v>
      </c>
      <c r="E185" s="13">
        <f t="shared" si="7"/>
        <v>184</v>
      </c>
      <c r="F185" s="13">
        <f t="shared" si="8"/>
        <v>184</v>
      </c>
      <c r="G185" s="13">
        <v>2</v>
      </c>
      <c r="H185" s="13">
        <v>1</v>
      </c>
      <c r="I185" s="13">
        <v>1</v>
      </c>
      <c r="J185" s="13">
        <v>1</v>
      </c>
      <c r="K185" s="19">
        <v>5.35</v>
      </c>
    </row>
    <row r="186" spans="1:11" x14ac:dyDescent="0.25">
      <c r="A186" s="13">
        <v>185</v>
      </c>
      <c r="B186" s="14">
        <v>45911</v>
      </c>
      <c r="C186" s="13" t="str">
        <f t="shared" si="6"/>
        <v>Quinta-Feira</v>
      </c>
      <c r="D186" s="20">
        <v>0.63194444444444442</v>
      </c>
      <c r="E186" s="13">
        <f t="shared" si="7"/>
        <v>185</v>
      </c>
      <c r="F186" s="13">
        <f t="shared" si="8"/>
        <v>185</v>
      </c>
      <c r="G186" s="13">
        <v>2</v>
      </c>
      <c r="H186" s="13">
        <v>1</v>
      </c>
      <c r="I186" s="13">
        <v>1</v>
      </c>
      <c r="J186" s="13">
        <v>1</v>
      </c>
      <c r="K186" s="19">
        <v>3</v>
      </c>
    </row>
    <row r="187" spans="1:11" x14ac:dyDescent="0.25">
      <c r="A187" s="13">
        <v>186</v>
      </c>
      <c r="B187" s="14">
        <v>45911</v>
      </c>
      <c r="C187" s="13" t="str">
        <f t="shared" si="6"/>
        <v>Quinta-Feira</v>
      </c>
      <c r="D187" s="20">
        <v>0.64236111111111105</v>
      </c>
      <c r="E187" s="13">
        <f t="shared" si="7"/>
        <v>186</v>
      </c>
      <c r="F187" s="13">
        <f t="shared" si="8"/>
        <v>186</v>
      </c>
      <c r="G187" s="13">
        <v>1</v>
      </c>
      <c r="H187" s="13">
        <v>1</v>
      </c>
      <c r="I187" s="13">
        <v>1</v>
      </c>
      <c r="J187" s="13">
        <v>1</v>
      </c>
      <c r="K187" s="19">
        <v>4.3499999999999996</v>
      </c>
    </row>
    <row r="188" spans="1:11" x14ac:dyDescent="0.25">
      <c r="A188" s="13">
        <v>187</v>
      </c>
      <c r="B188" s="14">
        <v>45911</v>
      </c>
      <c r="C188" s="13" t="str">
        <f t="shared" si="6"/>
        <v>Quinta-Feira</v>
      </c>
      <c r="D188" s="20">
        <v>0.65694444444444444</v>
      </c>
      <c r="E188" s="13">
        <f t="shared" si="7"/>
        <v>187</v>
      </c>
      <c r="F188" s="13">
        <f t="shared" si="8"/>
        <v>187</v>
      </c>
      <c r="G188" s="13">
        <v>2</v>
      </c>
      <c r="H188" s="13">
        <v>1</v>
      </c>
      <c r="I188" s="13">
        <v>1</v>
      </c>
      <c r="J188" s="13">
        <v>1</v>
      </c>
      <c r="K188" s="19">
        <v>8.0500000000000007</v>
      </c>
    </row>
    <row r="189" spans="1:11" x14ac:dyDescent="0.25">
      <c r="A189" s="13">
        <v>188</v>
      </c>
      <c r="B189" s="14">
        <v>45911</v>
      </c>
      <c r="C189" s="13" t="str">
        <f t="shared" si="6"/>
        <v>Quinta-Feira</v>
      </c>
      <c r="D189" s="20">
        <v>0.67083333333333339</v>
      </c>
      <c r="E189" s="13">
        <f t="shared" si="7"/>
        <v>188</v>
      </c>
      <c r="F189" s="13">
        <f t="shared" si="8"/>
        <v>188</v>
      </c>
      <c r="G189" s="13">
        <v>2</v>
      </c>
      <c r="H189" s="13">
        <v>1</v>
      </c>
      <c r="I189" s="13">
        <v>1</v>
      </c>
      <c r="J189" s="13">
        <v>1</v>
      </c>
      <c r="K189" s="19">
        <v>13.15</v>
      </c>
    </row>
    <row r="190" spans="1:11" x14ac:dyDescent="0.25">
      <c r="A190" s="13">
        <v>189</v>
      </c>
      <c r="B190" s="14">
        <v>45911</v>
      </c>
      <c r="C190" s="13" t="str">
        <f t="shared" si="6"/>
        <v>Quinta-Feira</v>
      </c>
      <c r="D190" s="20">
        <v>0.68194444444444446</v>
      </c>
      <c r="E190" s="13">
        <f t="shared" si="7"/>
        <v>189</v>
      </c>
      <c r="F190" s="13">
        <f t="shared" si="8"/>
        <v>189</v>
      </c>
      <c r="G190" s="13">
        <v>2</v>
      </c>
      <c r="H190" s="13">
        <v>1</v>
      </c>
      <c r="I190" s="13">
        <v>1</v>
      </c>
      <c r="J190" s="13">
        <v>1</v>
      </c>
      <c r="K190" s="19">
        <v>10</v>
      </c>
    </row>
    <row r="191" spans="1:11" x14ac:dyDescent="0.25">
      <c r="A191" s="13">
        <v>190</v>
      </c>
      <c r="B191" s="14">
        <v>45911</v>
      </c>
      <c r="C191" s="13" t="str">
        <f t="shared" si="6"/>
        <v>Quinta-Feira</v>
      </c>
      <c r="D191" s="20">
        <v>0.69791666666666663</v>
      </c>
      <c r="E191" s="13">
        <f t="shared" si="7"/>
        <v>190</v>
      </c>
      <c r="F191" s="13">
        <f t="shared" si="8"/>
        <v>190</v>
      </c>
      <c r="G191" s="13">
        <v>2</v>
      </c>
      <c r="H191" s="13">
        <v>1</v>
      </c>
      <c r="I191" s="13">
        <v>1</v>
      </c>
      <c r="J191" s="13">
        <v>1</v>
      </c>
      <c r="K191" s="19">
        <v>7.25</v>
      </c>
    </row>
    <row r="192" spans="1:11" x14ac:dyDescent="0.25">
      <c r="A192" s="13">
        <v>191</v>
      </c>
      <c r="B192" s="14">
        <v>45911</v>
      </c>
      <c r="C192" s="13" t="str">
        <f t="shared" si="6"/>
        <v>Quinta-Feira</v>
      </c>
      <c r="D192" s="20">
        <v>0.70624999999999993</v>
      </c>
      <c r="E192" s="13">
        <f t="shared" si="7"/>
        <v>191</v>
      </c>
      <c r="F192" s="13">
        <f t="shared" si="8"/>
        <v>191</v>
      </c>
      <c r="G192" s="13">
        <v>2</v>
      </c>
      <c r="H192" s="13">
        <v>1</v>
      </c>
      <c r="I192" s="13">
        <v>1</v>
      </c>
      <c r="J192" s="13">
        <v>1</v>
      </c>
      <c r="K192" s="19">
        <v>10.75</v>
      </c>
    </row>
    <row r="193" spans="1:11" x14ac:dyDescent="0.25">
      <c r="A193" s="13">
        <v>192</v>
      </c>
      <c r="B193" s="14">
        <v>45911</v>
      </c>
      <c r="C193" s="13" t="str">
        <f t="shared" si="6"/>
        <v>Quinta-Feira</v>
      </c>
      <c r="D193" s="20">
        <v>0.71388888888888891</v>
      </c>
      <c r="E193" s="13">
        <f t="shared" si="7"/>
        <v>192</v>
      </c>
      <c r="F193" s="13">
        <f t="shared" si="8"/>
        <v>192</v>
      </c>
      <c r="G193" s="13">
        <v>1</v>
      </c>
      <c r="H193" s="13">
        <v>1</v>
      </c>
      <c r="I193" s="13">
        <v>1</v>
      </c>
      <c r="J193" s="13">
        <v>1</v>
      </c>
      <c r="K193" s="19">
        <v>12.6</v>
      </c>
    </row>
    <row r="194" spans="1:11" x14ac:dyDescent="0.25">
      <c r="A194" s="13">
        <v>193</v>
      </c>
      <c r="B194" s="14">
        <v>45911</v>
      </c>
      <c r="C194" s="13" t="str">
        <f t="shared" ref="C194:C259" si="9">PROPER(TEXT(WEEKDAY(B194),"dddd"))</f>
        <v>Quinta-Feira</v>
      </c>
      <c r="D194" s="20">
        <v>0.72916666666666663</v>
      </c>
      <c r="E194" s="13">
        <f t="shared" ref="E194:E211" si="10">A194</f>
        <v>193</v>
      </c>
      <c r="F194" s="13">
        <f t="shared" ref="F194:F211" si="11">A194</f>
        <v>193</v>
      </c>
      <c r="G194" s="13">
        <v>2</v>
      </c>
      <c r="H194" s="13">
        <v>1</v>
      </c>
      <c r="I194" s="13">
        <v>1</v>
      </c>
      <c r="J194" s="13">
        <v>1</v>
      </c>
      <c r="K194" s="19">
        <v>27.6</v>
      </c>
    </row>
    <row r="195" spans="1:11" x14ac:dyDescent="0.25">
      <c r="A195" s="13">
        <v>194</v>
      </c>
      <c r="B195" s="14">
        <v>45913</v>
      </c>
      <c r="C195" s="13" t="str">
        <f t="shared" si="9"/>
        <v>Sábado</v>
      </c>
      <c r="D195" s="20">
        <v>0.42152777777777778</v>
      </c>
      <c r="E195" s="13">
        <f t="shared" si="10"/>
        <v>194</v>
      </c>
      <c r="F195" s="13">
        <f t="shared" si="11"/>
        <v>194</v>
      </c>
      <c r="G195" s="13">
        <v>2</v>
      </c>
      <c r="H195" s="13">
        <v>1</v>
      </c>
      <c r="I195" s="13">
        <v>1</v>
      </c>
      <c r="J195" s="13">
        <v>1</v>
      </c>
      <c r="K195" s="19">
        <v>13</v>
      </c>
    </row>
    <row r="196" spans="1:11" x14ac:dyDescent="0.25">
      <c r="A196" s="13">
        <v>195</v>
      </c>
      <c r="B196" s="14">
        <v>45913</v>
      </c>
      <c r="C196" s="13" t="str">
        <f t="shared" si="9"/>
        <v>Sábado</v>
      </c>
      <c r="D196" s="20">
        <v>0.44444444444444442</v>
      </c>
      <c r="E196" s="13">
        <f t="shared" si="10"/>
        <v>195</v>
      </c>
      <c r="F196" s="13">
        <f t="shared" si="11"/>
        <v>195</v>
      </c>
      <c r="G196" s="13">
        <v>2</v>
      </c>
      <c r="H196" s="13">
        <v>1</v>
      </c>
      <c r="I196" s="13">
        <v>1</v>
      </c>
      <c r="J196" s="13">
        <v>1</v>
      </c>
      <c r="K196" s="19">
        <v>17.899999999999999</v>
      </c>
    </row>
    <row r="197" spans="1:11" x14ac:dyDescent="0.25">
      <c r="A197" s="13">
        <v>196</v>
      </c>
      <c r="B197" s="14">
        <v>45913</v>
      </c>
      <c r="C197" s="13" t="str">
        <f t="shared" si="9"/>
        <v>Sábado</v>
      </c>
      <c r="D197" s="20">
        <v>0.49305555555555558</v>
      </c>
      <c r="E197" s="13">
        <f t="shared" si="10"/>
        <v>196</v>
      </c>
      <c r="F197" s="13">
        <f t="shared" si="11"/>
        <v>196</v>
      </c>
      <c r="G197" s="13">
        <v>2</v>
      </c>
      <c r="H197" s="13">
        <v>1</v>
      </c>
      <c r="I197" s="13">
        <v>1</v>
      </c>
      <c r="J197" s="13">
        <v>1</v>
      </c>
      <c r="K197" s="19">
        <v>7</v>
      </c>
    </row>
    <row r="198" spans="1:11" x14ac:dyDescent="0.25">
      <c r="A198" s="13">
        <v>197</v>
      </c>
      <c r="B198" s="14">
        <v>45913</v>
      </c>
      <c r="C198" s="13" t="str">
        <f t="shared" si="9"/>
        <v>Sábado</v>
      </c>
      <c r="D198" s="20">
        <v>0.51666666666666672</v>
      </c>
      <c r="E198" s="13">
        <f t="shared" si="10"/>
        <v>197</v>
      </c>
      <c r="F198" s="13">
        <f t="shared" si="11"/>
        <v>197</v>
      </c>
      <c r="G198" s="13">
        <v>2</v>
      </c>
      <c r="H198" s="13">
        <v>1</v>
      </c>
      <c r="I198" s="13">
        <v>1</v>
      </c>
      <c r="J198" s="13">
        <v>1</v>
      </c>
      <c r="K198" s="19">
        <v>12.46</v>
      </c>
    </row>
    <row r="199" spans="1:11" x14ac:dyDescent="0.25">
      <c r="A199" s="13">
        <v>198</v>
      </c>
      <c r="B199" s="14">
        <v>45913</v>
      </c>
      <c r="C199" s="13" t="str">
        <f t="shared" si="9"/>
        <v>Sábado</v>
      </c>
      <c r="D199" s="20">
        <v>0.54236111111111118</v>
      </c>
      <c r="E199" s="13">
        <f t="shared" si="10"/>
        <v>198</v>
      </c>
      <c r="F199" s="13">
        <f t="shared" si="11"/>
        <v>198</v>
      </c>
      <c r="G199" s="13">
        <v>2</v>
      </c>
      <c r="H199" s="13">
        <v>1</v>
      </c>
      <c r="I199" s="13">
        <v>1</v>
      </c>
      <c r="J199" s="13">
        <v>1</v>
      </c>
      <c r="K199" s="19">
        <v>19.8</v>
      </c>
    </row>
    <row r="200" spans="1:11" x14ac:dyDescent="0.25">
      <c r="A200" s="13">
        <v>199</v>
      </c>
      <c r="B200" s="14">
        <v>45913</v>
      </c>
      <c r="C200" s="13" t="str">
        <f t="shared" si="9"/>
        <v>Sábado</v>
      </c>
      <c r="D200" s="20">
        <v>0.57222222222222219</v>
      </c>
      <c r="E200" s="13">
        <f t="shared" si="10"/>
        <v>199</v>
      </c>
      <c r="F200" s="13">
        <f t="shared" si="11"/>
        <v>199</v>
      </c>
      <c r="G200" s="13">
        <v>2</v>
      </c>
      <c r="H200" s="13">
        <v>1</v>
      </c>
      <c r="I200" s="13">
        <v>1</v>
      </c>
      <c r="J200" s="13">
        <v>1</v>
      </c>
      <c r="K200" s="19">
        <v>27.85</v>
      </c>
    </row>
    <row r="201" spans="1:11" x14ac:dyDescent="0.25">
      <c r="A201" s="13">
        <v>200</v>
      </c>
      <c r="B201" s="14">
        <v>45913</v>
      </c>
      <c r="C201" s="13" t="str">
        <f t="shared" si="9"/>
        <v>Sábado</v>
      </c>
      <c r="D201" s="20">
        <v>0.59097222222222223</v>
      </c>
      <c r="E201" s="13">
        <f t="shared" si="10"/>
        <v>200</v>
      </c>
      <c r="F201" s="13">
        <f t="shared" si="11"/>
        <v>200</v>
      </c>
      <c r="G201" s="13">
        <v>2</v>
      </c>
      <c r="H201" s="13">
        <v>1</v>
      </c>
      <c r="I201" s="13">
        <v>1</v>
      </c>
      <c r="J201" s="13">
        <v>1</v>
      </c>
      <c r="K201" s="19">
        <v>9.8000000000000007</v>
      </c>
    </row>
    <row r="202" spans="1:11" x14ac:dyDescent="0.25">
      <c r="A202" s="13">
        <v>201</v>
      </c>
      <c r="B202" s="14">
        <v>45913</v>
      </c>
      <c r="C202" s="13" t="str">
        <f t="shared" si="9"/>
        <v>Sábado</v>
      </c>
      <c r="D202" s="20">
        <v>0.60972222222222217</v>
      </c>
      <c r="E202" s="13">
        <f t="shared" si="10"/>
        <v>201</v>
      </c>
      <c r="F202" s="13">
        <f t="shared" si="11"/>
        <v>201</v>
      </c>
      <c r="G202" s="13">
        <v>3</v>
      </c>
      <c r="H202" s="13">
        <v>1</v>
      </c>
      <c r="I202" s="13">
        <v>1</v>
      </c>
      <c r="J202" s="13">
        <v>1</v>
      </c>
      <c r="K202" s="19">
        <v>0</v>
      </c>
    </row>
    <row r="203" spans="1:11" x14ac:dyDescent="0.25">
      <c r="A203" s="13">
        <v>202</v>
      </c>
      <c r="B203" s="14">
        <v>45913</v>
      </c>
      <c r="C203" s="13" t="str">
        <f t="shared" si="9"/>
        <v>Sábado</v>
      </c>
      <c r="D203" s="20">
        <v>0.62291666666666667</v>
      </c>
      <c r="E203" s="13">
        <f t="shared" si="10"/>
        <v>202</v>
      </c>
      <c r="F203" s="13">
        <f t="shared" si="11"/>
        <v>202</v>
      </c>
      <c r="G203" s="13">
        <v>2</v>
      </c>
      <c r="H203" s="13">
        <v>1</v>
      </c>
      <c r="I203" s="13">
        <v>1</v>
      </c>
      <c r="J203" s="13">
        <v>1</v>
      </c>
      <c r="K203" s="19">
        <v>11.2</v>
      </c>
    </row>
    <row r="204" spans="1:11" x14ac:dyDescent="0.25">
      <c r="A204" s="13">
        <v>203</v>
      </c>
      <c r="B204" s="14">
        <v>45913</v>
      </c>
      <c r="C204" s="13" t="str">
        <f t="shared" si="9"/>
        <v>Sábado</v>
      </c>
      <c r="D204" s="20">
        <v>0.65486111111111112</v>
      </c>
      <c r="E204" s="13">
        <f t="shared" si="10"/>
        <v>203</v>
      </c>
      <c r="F204" s="13">
        <f t="shared" si="11"/>
        <v>203</v>
      </c>
      <c r="G204" s="13">
        <v>2</v>
      </c>
      <c r="H204" s="13">
        <v>1</v>
      </c>
      <c r="I204" s="13">
        <v>1</v>
      </c>
      <c r="J204" s="13">
        <v>1</v>
      </c>
      <c r="K204" s="19">
        <v>6.1</v>
      </c>
    </row>
    <row r="205" spans="1:11" x14ac:dyDescent="0.25">
      <c r="A205" s="13">
        <v>204</v>
      </c>
      <c r="B205" s="14">
        <v>45913</v>
      </c>
      <c r="C205" s="13" t="str">
        <f t="shared" si="9"/>
        <v>Sábado</v>
      </c>
      <c r="D205" s="20">
        <v>0.6645833333333333</v>
      </c>
      <c r="E205" s="13">
        <f t="shared" si="10"/>
        <v>204</v>
      </c>
      <c r="F205" s="13">
        <f t="shared" si="11"/>
        <v>204</v>
      </c>
      <c r="G205" s="13">
        <v>1</v>
      </c>
      <c r="H205" s="13">
        <v>1</v>
      </c>
      <c r="I205" s="13">
        <v>1</v>
      </c>
      <c r="J205" s="13">
        <v>1</v>
      </c>
      <c r="K205" s="19">
        <v>10</v>
      </c>
    </row>
    <row r="206" spans="1:11" x14ac:dyDescent="0.25">
      <c r="A206" s="13">
        <v>205</v>
      </c>
      <c r="B206" s="14">
        <v>45913</v>
      </c>
      <c r="C206" s="13" t="str">
        <f t="shared" si="9"/>
        <v>Sábado</v>
      </c>
      <c r="D206" s="20">
        <v>0.6743055555555556</v>
      </c>
      <c r="E206" s="13">
        <f t="shared" si="10"/>
        <v>205</v>
      </c>
      <c r="F206" s="13">
        <f t="shared" si="11"/>
        <v>205</v>
      </c>
      <c r="G206" s="13">
        <v>2</v>
      </c>
      <c r="H206" s="13">
        <v>1</v>
      </c>
      <c r="I206" s="13">
        <v>1</v>
      </c>
      <c r="J206" s="13">
        <v>1</v>
      </c>
      <c r="K206" s="19">
        <v>10.55</v>
      </c>
    </row>
    <row r="207" spans="1:11" x14ac:dyDescent="0.25">
      <c r="A207" s="13">
        <v>206</v>
      </c>
      <c r="B207" s="14">
        <v>45913</v>
      </c>
      <c r="C207" s="13" t="str">
        <f t="shared" si="9"/>
        <v>Sábado</v>
      </c>
      <c r="D207" s="20">
        <v>0.68125000000000002</v>
      </c>
      <c r="E207" s="13">
        <f t="shared" si="10"/>
        <v>206</v>
      </c>
      <c r="F207" s="13">
        <f t="shared" si="11"/>
        <v>206</v>
      </c>
      <c r="G207" s="13">
        <v>1</v>
      </c>
      <c r="H207" s="13">
        <v>1</v>
      </c>
      <c r="I207" s="13">
        <v>1</v>
      </c>
      <c r="J207" s="13">
        <v>1</v>
      </c>
      <c r="K207" s="19">
        <v>6.85</v>
      </c>
    </row>
    <row r="208" spans="1:11" x14ac:dyDescent="0.25">
      <c r="A208" s="13">
        <v>207</v>
      </c>
      <c r="B208" s="14">
        <v>45914</v>
      </c>
      <c r="C208" s="13" t="str">
        <f t="shared" si="9"/>
        <v>Domingo</v>
      </c>
      <c r="D208" s="20">
        <v>0.65486111111111112</v>
      </c>
      <c r="E208" s="13">
        <f t="shared" si="10"/>
        <v>207</v>
      </c>
      <c r="F208" s="13">
        <f t="shared" si="11"/>
        <v>207</v>
      </c>
      <c r="G208" s="13">
        <v>2</v>
      </c>
      <c r="H208" s="13">
        <v>1</v>
      </c>
      <c r="I208" s="13">
        <v>1</v>
      </c>
      <c r="J208" s="13">
        <v>1</v>
      </c>
      <c r="K208" s="19">
        <v>5.2</v>
      </c>
    </row>
    <row r="209" spans="1:11" x14ac:dyDescent="0.25">
      <c r="A209" s="13">
        <v>208</v>
      </c>
      <c r="B209" s="14">
        <v>45914</v>
      </c>
      <c r="C209" s="13" t="str">
        <f t="shared" si="9"/>
        <v>Domingo</v>
      </c>
      <c r="D209" s="20">
        <v>0.68194444444444446</v>
      </c>
      <c r="E209" s="13">
        <f t="shared" si="10"/>
        <v>208</v>
      </c>
      <c r="F209" s="13">
        <f t="shared" si="11"/>
        <v>208</v>
      </c>
      <c r="G209" s="13">
        <v>1</v>
      </c>
      <c r="H209" s="13">
        <v>1</v>
      </c>
      <c r="I209" s="13">
        <v>1</v>
      </c>
      <c r="J209" s="13">
        <v>1</v>
      </c>
      <c r="K209" s="19">
        <v>22.2</v>
      </c>
    </row>
    <row r="210" spans="1:11" x14ac:dyDescent="0.25">
      <c r="A210" s="13">
        <v>209</v>
      </c>
      <c r="B210" s="14">
        <v>45914</v>
      </c>
      <c r="C210" s="13" t="str">
        <f t="shared" si="9"/>
        <v>Domingo</v>
      </c>
      <c r="D210" s="20">
        <v>0.70138888888888884</v>
      </c>
      <c r="E210" s="13">
        <f t="shared" si="10"/>
        <v>209</v>
      </c>
      <c r="F210" s="13">
        <f t="shared" si="11"/>
        <v>209</v>
      </c>
      <c r="G210" s="13">
        <v>1</v>
      </c>
      <c r="H210" s="13">
        <v>1</v>
      </c>
      <c r="I210" s="13">
        <v>1</v>
      </c>
      <c r="J210" s="13">
        <v>1</v>
      </c>
      <c r="K210" s="19">
        <v>29.4</v>
      </c>
    </row>
    <row r="211" spans="1:11" x14ac:dyDescent="0.25">
      <c r="A211" s="13">
        <v>210</v>
      </c>
      <c r="B211" s="14">
        <v>45914</v>
      </c>
      <c r="C211" s="13" t="str">
        <f t="shared" si="9"/>
        <v>Domingo</v>
      </c>
      <c r="D211" s="20">
        <v>0.72222222222222221</v>
      </c>
      <c r="E211" s="13">
        <f t="shared" si="10"/>
        <v>210</v>
      </c>
      <c r="F211" s="13">
        <f t="shared" si="11"/>
        <v>210</v>
      </c>
      <c r="G211" s="13">
        <v>1</v>
      </c>
      <c r="H211" s="13">
        <v>1</v>
      </c>
      <c r="I211" s="13">
        <v>1</v>
      </c>
      <c r="J211" s="13">
        <v>1</v>
      </c>
      <c r="K211" s="19">
        <v>19.2</v>
      </c>
    </row>
    <row r="212" spans="1:11" x14ac:dyDescent="0.25">
      <c r="A212" s="13">
        <v>211</v>
      </c>
      <c r="B212" s="14">
        <v>45916</v>
      </c>
      <c r="C212" s="13" t="str">
        <f t="shared" si="9"/>
        <v>Terça-Feira</v>
      </c>
      <c r="D212" s="20">
        <v>0.7368055555555556</v>
      </c>
      <c r="E212" s="13">
        <f t="shared" ref="E212:E276" si="12">A212</f>
        <v>211</v>
      </c>
      <c r="F212" s="13">
        <f t="shared" ref="F212:F276" si="13">A212</f>
        <v>211</v>
      </c>
      <c r="G212" s="13">
        <v>2</v>
      </c>
      <c r="H212" s="13">
        <v>1</v>
      </c>
      <c r="I212" s="13">
        <v>1</v>
      </c>
      <c r="J212" s="13">
        <v>1</v>
      </c>
      <c r="K212" s="19">
        <v>44.3</v>
      </c>
    </row>
    <row r="213" spans="1:11" x14ac:dyDescent="0.25">
      <c r="A213" s="13">
        <v>212</v>
      </c>
      <c r="B213" s="14">
        <v>45917</v>
      </c>
      <c r="C213" s="13" t="str">
        <f t="shared" si="9"/>
        <v>Quarta-Feira</v>
      </c>
      <c r="D213" s="20">
        <v>0.7416666666666667</v>
      </c>
      <c r="E213" s="13">
        <f t="shared" si="12"/>
        <v>212</v>
      </c>
      <c r="F213" s="13">
        <f t="shared" si="13"/>
        <v>212</v>
      </c>
      <c r="G213" s="13">
        <v>1</v>
      </c>
      <c r="H213" s="13">
        <v>1</v>
      </c>
      <c r="I213" s="13">
        <v>1</v>
      </c>
      <c r="J213" s="13">
        <v>1</v>
      </c>
      <c r="K213" s="19">
        <v>17.899999999999999</v>
      </c>
    </row>
    <row r="214" spans="1:11" x14ac:dyDescent="0.25">
      <c r="A214" s="13">
        <v>213</v>
      </c>
      <c r="B214" s="14">
        <v>45917</v>
      </c>
      <c r="C214" s="13" t="str">
        <f t="shared" si="9"/>
        <v>Quarta-Feira</v>
      </c>
      <c r="D214" s="20">
        <v>0.75486111111111109</v>
      </c>
      <c r="E214" s="13">
        <f t="shared" si="12"/>
        <v>213</v>
      </c>
      <c r="F214" s="13">
        <f t="shared" si="13"/>
        <v>213</v>
      </c>
      <c r="G214" s="13">
        <v>1</v>
      </c>
      <c r="H214" s="13">
        <v>1</v>
      </c>
      <c r="I214" s="13">
        <v>1</v>
      </c>
      <c r="J214" s="13">
        <v>1</v>
      </c>
      <c r="K214" s="19">
        <v>7.85</v>
      </c>
    </row>
    <row r="215" spans="1:11" x14ac:dyDescent="0.25">
      <c r="A215" s="13">
        <v>214</v>
      </c>
      <c r="B215" s="14">
        <v>45917</v>
      </c>
      <c r="C215" s="13" t="str">
        <f t="shared" si="9"/>
        <v>Quarta-Feira</v>
      </c>
      <c r="D215" s="20">
        <v>0.7583333333333333</v>
      </c>
      <c r="E215" s="13">
        <f t="shared" si="12"/>
        <v>214</v>
      </c>
      <c r="F215" s="13">
        <f t="shared" si="13"/>
        <v>214</v>
      </c>
      <c r="G215" s="13">
        <v>2</v>
      </c>
      <c r="H215" s="13">
        <v>1</v>
      </c>
      <c r="I215" s="13">
        <v>1</v>
      </c>
      <c r="J215" s="13">
        <v>1</v>
      </c>
      <c r="K215" s="19">
        <v>7.8</v>
      </c>
    </row>
    <row r="216" spans="1:11" x14ac:dyDescent="0.25">
      <c r="A216" s="13">
        <v>215</v>
      </c>
      <c r="B216" s="14">
        <v>45917</v>
      </c>
      <c r="C216" s="13" t="str">
        <f t="shared" si="9"/>
        <v>Quarta-Feira</v>
      </c>
      <c r="D216" s="20">
        <v>0.76944444444444438</v>
      </c>
      <c r="E216" s="13">
        <f t="shared" si="12"/>
        <v>215</v>
      </c>
      <c r="F216" s="13">
        <f t="shared" si="13"/>
        <v>215</v>
      </c>
      <c r="G216" s="13">
        <v>2</v>
      </c>
      <c r="H216" s="13">
        <v>1</v>
      </c>
      <c r="I216" s="13">
        <v>1</v>
      </c>
      <c r="J216" s="13">
        <v>1</v>
      </c>
      <c r="K216" s="19">
        <v>8.8000000000000007</v>
      </c>
    </row>
    <row r="217" spans="1:11" x14ac:dyDescent="0.25">
      <c r="A217" s="13">
        <v>216</v>
      </c>
      <c r="B217" s="14">
        <v>45917</v>
      </c>
      <c r="C217" s="13" t="str">
        <f t="shared" si="9"/>
        <v>Quarta-Feira</v>
      </c>
      <c r="D217" s="20">
        <v>0.78125</v>
      </c>
      <c r="E217" s="13">
        <f t="shared" si="12"/>
        <v>216</v>
      </c>
      <c r="F217" s="13">
        <f t="shared" si="13"/>
        <v>216</v>
      </c>
      <c r="G217" s="13">
        <v>2</v>
      </c>
      <c r="H217" s="13">
        <v>1</v>
      </c>
      <c r="I217" s="13">
        <v>1</v>
      </c>
      <c r="J217" s="13">
        <v>1</v>
      </c>
      <c r="K217" s="19">
        <v>6.3</v>
      </c>
    </row>
    <row r="218" spans="1:11" x14ac:dyDescent="0.25">
      <c r="A218" s="13">
        <v>217</v>
      </c>
      <c r="B218" s="14">
        <v>45919</v>
      </c>
      <c r="C218" s="13" t="str">
        <f t="shared" si="9"/>
        <v>Sexta-Feira</v>
      </c>
      <c r="D218" s="20">
        <v>0.64583333333333337</v>
      </c>
      <c r="E218" s="13">
        <f t="shared" si="12"/>
        <v>217</v>
      </c>
      <c r="F218" s="13">
        <f t="shared" si="13"/>
        <v>217</v>
      </c>
      <c r="G218" s="13">
        <v>2</v>
      </c>
      <c r="H218" s="13">
        <v>1</v>
      </c>
      <c r="I218" s="13">
        <v>1</v>
      </c>
      <c r="J218" s="13">
        <v>1</v>
      </c>
      <c r="K218" s="19">
        <v>5.5</v>
      </c>
    </row>
    <row r="219" spans="1:11" x14ac:dyDescent="0.25">
      <c r="A219" s="13">
        <v>218</v>
      </c>
      <c r="B219" s="14">
        <v>45919</v>
      </c>
      <c r="C219" s="13" t="str">
        <f t="shared" si="9"/>
        <v>Sexta-Feira</v>
      </c>
      <c r="D219" s="20">
        <v>0.65486111111111112</v>
      </c>
      <c r="E219" s="13">
        <f t="shared" si="12"/>
        <v>218</v>
      </c>
      <c r="F219" s="13">
        <f t="shared" si="13"/>
        <v>218</v>
      </c>
      <c r="G219" s="13">
        <v>2</v>
      </c>
      <c r="H219" s="13">
        <v>1</v>
      </c>
      <c r="I219" s="13">
        <v>1</v>
      </c>
      <c r="J219" s="13">
        <v>1</v>
      </c>
      <c r="K219" s="19">
        <v>10.25</v>
      </c>
    </row>
    <row r="220" spans="1:11" x14ac:dyDescent="0.25">
      <c r="A220" s="13">
        <v>219</v>
      </c>
      <c r="B220" s="14">
        <v>45919</v>
      </c>
      <c r="C220" s="13" t="str">
        <f t="shared" si="9"/>
        <v>Sexta-Feira</v>
      </c>
      <c r="D220" s="20">
        <v>0.6791666666666667</v>
      </c>
      <c r="E220" s="13">
        <f t="shared" si="12"/>
        <v>219</v>
      </c>
      <c r="F220" s="13">
        <f t="shared" si="13"/>
        <v>219</v>
      </c>
      <c r="G220" s="13">
        <v>2</v>
      </c>
      <c r="H220" s="13">
        <v>1</v>
      </c>
      <c r="I220" s="13">
        <v>1</v>
      </c>
      <c r="J220" s="13">
        <v>1</v>
      </c>
      <c r="K220" s="19">
        <v>17.45</v>
      </c>
    </row>
    <row r="221" spans="1:11" x14ac:dyDescent="0.25">
      <c r="A221" s="13">
        <v>220</v>
      </c>
      <c r="B221" s="14">
        <v>45919</v>
      </c>
      <c r="C221" s="13" t="str">
        <f t="shared" si="9"/>
        <v>Sexta-Feira</v>
      </c>
      <c r="D221" s="20">
        <v>0.68541666666666667</v>
      </c>
      <c r="E221" s="13">
        <f t="shared" si="12"/>
        <v>220</v>
      </c>
      <c r="F221" s="13">
        <f t="shared" si="13"/>
        <v>220</v>
      </c>
      <c r="G221" s="13">
        <v>2</v>
      </c>
      <c r="H221" s="13">
        <v>1</v>
      </c>
      <c r="I221" s="13">
        <v>1</v>
      </c>
      <c r="J221" s="13">
        <v>1</v>
      </c>
      <c r="K221" s="19">
        <v>36</v>
      </c>
    </row>
    <row r="222" spans="1:11" x14ac:dyDescent="0.25">
      <c r="A222" s="13">
        <v>221</v>
      </c>
      <c r="B222" s="14">
        <v>45919</v>
      </c>
      <c r="C222" s="13" t="str">
        <f t="shared" si="9"/>
        <v>Sexta-Feira</v>
      </c>
      <c r="D222" s="20">
        <v>0.72291666666666676</v>
      </c>
      <c r="E222" s="13">
        <f t="shared" si="12"/>
        <v>221</v>
      </c>
      <c r="F222" s="13">
        <f t="shared" si="13"/>
        <v>221</v>
      </c>
      <c r="G222" s="13">
        <v>2</v>
      </c>
      <c r="H222" s="13">
        <v>1</v>
      </c>
      <c r="I222" s="13">
        <v>1</v>
      </c>
      <c r="J222" s="13">
        <v>1</v>
      </c>
      <c r="K222" s="19">
        <v>6</v>
      </c>
    </row>
    <row r="223" spans="1:11" x14ac:dyDescent="0.25">
      <c r="A223" s="13">
        <v>222</v>
      </c>
      <c r="B223" s="14">
        <v>45919</v>
      </c>
      <c r="C223" s="13" t="str">
        <f t="shared" si="9"/>
        <v>Sexta-Feira</v>
      </c>
      <c r="D223" s="20">
        <v>0.72361111111111109</v>
      </c>
      <c r="E223" s="13">
        <f t="shared" si="12"/>
        <v>222</v>
      </c>
      <c r="F223" s="13">
        <f t="shared" si="13"/>
        <v>222</v>
      </c>
      <c r="G223" s="13">
        <v>2</v>
      </c>
      <c r="H223" s="13">
        <v>1</v>
      </c>
      <c r="I223" s="13">
        <v>1</v>
      </c>
      <c r="J223" s="13">
        <v>1</v>
      </c>
      <c r="K223" s="19">
        <v>10.25</v>
      </c>
    </row>
    <row r="224" spans="1:11" x14ac:dyDescent="0.25">
      <c r="A224" s="13">
        <v>223</v>
      </c>
      <c r="B224" s="14">
        <v>45919</v>
      </c>
      <c r="C224" s="13" t="str">
        <f t="shared" si="9"/>
        <v>Sexta-Feira</v>
      </c>
      <c r="D224" s="20">
        <v>0.76458333333333339</v>
      </c>
      <c r="E224" s="13">
        <f t="shared" si="12"/>
        <v>223</v>
      </c>
      <c r="F224" s="13">
        <f t="shared" si="13"/>
        <v>223</v>
      </c>
      <c r="G224" s="13">
        <v>1</v>
      </c>
      <c r="H224" s="13">
        <v>1</v>
      </c>
      <c r="I224" s="13">
        <v>1</v>
      </c>
      <c r="J224" s="13">
        <v>1</v>
      </c>
      <c r="K224" s="19">
        <v>30.65</v>
      </c>
    </row>
    <row r="225" spans="1:11" x14ac:dyDescent="0.25">
      <c r="A225" s="13">
        <v>224</v>
      </c>
      <c r="B225" s="14">
        <v>45919</v>
      </c>
      <c r="C225" s="13" t="str">
        <f t="shared" si="9"/>
        <v>Sexta-Feira</v>
      </c>
      <c r="D225" s="20">
        <v>0.78611111111111109</v>
      </c>
      <c r="E225" s="13">
        <f t="shared" si="12"/>
        <v>224</v>
      </c>
      <c r="F225" s="13">
        <f t="shared" si="13"/>
        <v>224</v>
      </c>
      <c r="G225" s="13">
        <v>2</v>
      </c>
      <c r="H225" s="13">
        <v>1</v>
      </c>
      <c r="I225" s="13">
        <v>1</v>
      </c>
      <c r="J225" s="13">
        <v>1</v>
      </c>
      <c r="K225" s="19">
        <v>30.5</v>
      </c>
    </row>
    <row r="226" spans="1:11" x14ac:dyDescent="0.25">
      <c r="A226" s="13">
        <v>225</v>
      </c>
      <c r="B226" s="14">
        <v>45921</v>
      </c>
      <c r="C226" s="13" t="str">
        <f t="shared" si="9"/>
        <v>Domingo</v>
      </c>
      <c r="D226" s="20">
        <v>0.41250000000000003</v>
      </c>
      <c r="E226" s="13">
        <f t="shared" si="12"/>
        <v>225</v>
      </c>
      <c r="F226" s="13">
        <f t="shared" si="13"/>
        <v>225</v>
      </c>
      <c r="G226" s="13">
        <v>2</v>
      </c>
      <c r="H226" s="13">
        <v>1</v>
      </c>
      <c r="I226" s="13">
        <v>1</v>
      </c>
      <c r="J226" s="13">
        <v>1</v>
      </c>
      <c r="K226" s="19">
        <v>4.8</v>
      </c>
    </row>
    <row r="227" spans="1:11" x14ac:dyDescent="0.25">
      <c r="A227" s="13">
        <v>226</v>
      </c>
      <c r="B227" s="14">
        <v>45921</v>
      </c>
      <c r="C227" s="13" t="str">
        <f t="shared" si="9"/>
        <v>Domingo</v>
      </c>
      <c r="D227" s="20">
        <v>0.41805555555555557</v>
      </c>
      <c r="E227" s="13">
        <f t="shared" si="12"/>
        <v>226</v>
      </c>
      <c r="F227" s="13">
        <f t="shared" si="13"/>
        <v>226</v>
      </c>
      <c r="G227" s="13">
        <v>1</v>
      </c>
      <c r="H227" s="13">
        <v>1</v>
      </c>
      <c r="I227" s="13">
        <v>1</v>
      </c>
      <c r="J227" s="13">
        <v>1</v>
      </c>
      <c r="K227" s="19">
        <v>8.1999999999999993</v>
      </c>
    </row>
    <row r="228" spans="1:11" x14ac:dyDescent="0.25">
      <c r="A228" s="13">
        <v>227</v>
      </c>
      <c r="B228" s="14">
        <v>45921</v>
      </c>
      <c r="C228" s="13" t="str">
        <f t="shared" si="9"/>
        <v>Domingo</v>
      </c>
      <c r="D228" s="20">
        <v>0.49444444444444446</v>
      </c>
      <c r="E228" s="13">
        <f t="shared" si="12"/>
        <v>227</v>
      </c>
      <c r="F228" s="13">
        <f t="shared" si="13"/>
        <v>227</v>
      </c>
      <c r="G228" s="13">
        <v>2</v>
      </c>
      <c r="H228" s="13">
        <v>1</v>
      </c>
      <c r="I228" s="13">
        <v>1</v>
      </c>
      <c r="J228" s="13">
        <v>1</v>
      </c>
      <c r="K228" s="19">
        <v>8.85</v>
      </c>
    </row>
    <row r="229" spans="1:11" x14ac:dyDescent="0.25">
      <c r="A229" s="13">
        <v>228</v>
      </c>
      <c r="B229" s="14">
        <v>45921</v>
      </c>
      <c r="C229" s="13" t="str">
        <f t="shared" si="9"/>
        <v>Domingo</v>
      </c>
      <c r="D229" s="20">
        <v>0.50555555555555554</v>
      </c>
      <c r="E229" s="13">
        <f t="shared" si="12"/>
        <v>228</v>
      </c>
      <c r="F229" s="13">
        <f t="shared" si="13"/>
        <v>228</v>
      </c>
      <c r="G229" s="13">
        <v>1</v>
      </c>
      <c r="H229" s="13">
        <v>1</v>
      </c>
      <c r="I229" s="13">
        <v>1</v>
      </c>
      <c r="J229" s="13">
        <v>1</v>
      </c>
      <c r="K229" s="19">
        <v>16.55</v>
      </c>
    </row>
    <row r="230" spans="1:11" x14ac:dyDescent="0.25">
      <c r="A230" s="13">
        <v>229</v>
      </c>
      <c r="B230" s="14">
        <v>45921</v>
      </c>
      <c r="C230" s="13" t="str">
        <f t="shared" si="9"/>
        <v>Domingo</v>
      </c>
      <c r="D230" s="20">
        <v>0.51874999999999993</v>
      </c>
      <c r="E230" s="13">
        <f t="shared" si="12"/>
        <v>229</v>
      </c>
      <c r="F230" s="13">
        <f t="shared" si="13"/>
        <v>229</v>
      </c>
      <c r="G230" s="13">
        <v>2</v>
      </c>
      <c r="H230" s="13">
        <v>1</v>
      </c>
      <c r="I230" s="13">
        <v>1</v>
      </c>
      <c r="J230" s="13">
        <v>1</v>
      </c>
      <c r="K230" s="19">
        <v>5.8</v>
      </c>
    </row>
    <row r="231" spans="1:11" x14ac:dyDescent="0.25">
      <c r="A231" s="13">
        <v>230</v>
      </c>
      <c r="B231" s="14">
        <v>45921</v>
      </c>
      <c r="C231" s="13" t="str">
        <f t="shared" si="9"/>
        <v>Domingo</v>
      </c>
      <c r="D231" s="20">
        <v>0.53263888888888888</v>
      </c>
      <c r="E231" s="13">
        <f t="shared" si="12"/>
        <v>230</v>
      </c>
      <c r="F231" s="13">
        <f t="shared" si="13"/>
        <v>230</v>
      </c>
      <c r="G231" s="13">
        <v>2</v>
      </c>
      <c r="H231" s="13">
        <v>1</v>
      </c>
      <c r="I231" s="13">
        <v>1</v>
      </c>
      <c r="J231" s="13">
        <v>1</v>
      </c>
      <c r="K231" s="19">
        <v>29.1</v>
      </c>
    </row>
    <row r="232" spans="1:11" x14ac:dyDescent="0.25">
      <c r="A232" s="13">
        <v>231</v>
      </c>
      <c r="B232" s="14">
        <v>45921</v>
      </c>
      <c r="C232" s="13" t="str">
        <f t="shared" si="9"/>
        <v>Domingo</v>
      </c>
      <c r="D232" s="20">
        <v>0.56388888888888888</v>
      </c>
      <c r="E232" s="13">
        <f t="shared" si="12"/>
        <v>231</v>
      </c>
      <c r="F232" s="13">
        <f t="shared" si="13"/>
        <v>231</v>
      </c>
      <c r="G232" s="13">
        <v>2</v>
      </c>
      <c r="H232" s="13">
        <v>1</v>
      </c>
      <c r="I232" s="13">
        <v>1</v>
      </c>
      <c r="J232" s="13">
        <v>1</v>
      </c>
      <c r="K232" s="19">
        <v>26.6</v>
      </c>
    </row>
    <row r="233" spans="1:11" x14ac:dyDescent="0.25">
      <c r="A233" s="13">
        <v>232</v>
      </c>
      <c r="B233" s="14">
        <v>45921</v>
      </c>
      <c r="C233" s="13" t="str">
        <f t="shared" si="9"/>
        <v>Domingo</v>
      </c>
      <c r="D233" s="20">
        <v>0.59027777777777779</v>
      </c>
      <c r="E233" s="13">
        <f t="shared" si="12"/>
        <v>232</v>
      </c>
      <c r="F233" s="13">
        <f t="shared" si="13"/>
        <v>232</v>
      </c>
      <c r="G233" s="13">
        <v>2</v>
      </c>
      <c r="H233" s="13">
        <v>1</v>
      </c>
      <c r="I233" s="13">
        <v>1</v>
      </c>
      <c r="J233" s="13">
        <v>1</v>
      </c>
      <c r="K233" s="19">
        <v>9.9</v>
      </c>
    </row>
    <row r="234" spans="1:11" x14ac:dyDescent="0.25">
      <c r="A234" s="13">
        <v>233</v>
      </c>
      <c r="B234" s="14">
        <v>45921</v>
      </c>
      <c r="C234" s="13" t="str">
        <f t="shared" si="9"/>
        <v>Domingo</v>
      </c>
      <c r="D234" s="20">
        <v>0.59236111111111112</v>
      </c>
      <c r="E234" s="13">
        <f t="shared" si="12"/>
        <v>233</v>
      </c>
      <c r="F234" s="13">
        <f t="shared" si="13"/>
        <v>233</v>
      </c>
      <c r="G234" s="13">
        <v>2</v>
      </c>
      <c r="H234" s="13">
        <v>1</v>
      </c>
      <c r="I234" s="13">
        <v>1</v>
      </c>
      <c r="J234" s="13">
        <v>1</v>
      </c>
      <c r="K234" s="19">
        <v>19.5</v>
      </c>
    </row>
    <row r="235" spans="1:11" x14ac:dyDescent="0.25">
      <c r="A235" s="13">
        <v>234</v>
      </c>
      <c r="B235" s="14">
        <v>45921</v>
      </c>
      <c r="C235" s="13" t="str">
        <f t="shared" si="9"/>
        <v>Domingo</v>
      </c>
      <c r="D235" s="20">
        <v>0.61805555555555558</v>
      </c>
      <c r="E235" s="13">
        <f t="shared" si="12"/>
        <v>234</v>
      </c>
      <c r="F235" s="13">
        <f t="shared" si="13"/>
        <v>234</v>
      </c>
      <c r="G235" s="13">
        <v>2</v>
      </c>
      <c r="H235" s="13">
        <v>1</v>
      </c>
      <c r="I235" s="13">
        <v>1</v>
      </c>
      <c r="J235" s="13">
        <v>1</v>
      </c>
      <c r="K235" s="19">
        <v>19.899999999999999</v>
      </c>
    </row>
    <row r="236" spans="1:11" x14ac:dyDescent="0.25">
      <c r="A236" s="13">
        <v>235</v>
      </c>
      <c r="B236" s="14">
        <v>45921</v>
      </c>
      <c r="C236" s="13" t="str">
        <f t="shared" si="9"/>
        <v>Domingo</v>
      </c>
      <c r="D236" s="20">
        <v>0.64236111111111105</v>
      </c>
      <c r="E236" s="13">
        <f t="shared" si="12"/>
        <v>235</v>
      </c>
      <c r="F236" s="13">
        <f t="shared" si="13"/>
        <v>235</v>
      </c>
      <c r="G236" s="13">
        <v>2</v>
      </c>
      <c r="H236" s="13">
        <v>1</v>
      </c>
      <c r="I236" s="13">
        <v>1</v>
      </c>
      <c r="J236" s="13">
        <v>1</v>
      </c>
      <c r="K236" s="19">
        <v>18.5</v>
      </c>
    </row>
    <row r="237" spans="1:11" x14ac:dyDescent="0.25">
      <c r="A237" s="13">
        <v>236</v>
      </c>
      <c r="B237" s="14">
        <v>45921</v>
      </c>
      <c r="C237" s="13" t="str">
        <f t="shared" si="9"/>
        <v>Domingo</v>
      </c>
      <c r="D237" s="20">
        <v>0.6645833333333333</v>
      </c>
      <c r="E237" s="13">
        <f t="shared" si="12"/>
        <v>236</v>
      </c>
      <c r="F237" s="13">
        <f t="shared" si="13"/>
        <v>236</v>
      </c>
      <c r="G237" s="13">
        <v>2</v>
      </c>
      <c r="H237" s="13">
        <v>1</v>
      </c>
      <c r="I237" s="13">
        <v>1</v>
      </c>
      <c r="J237" s="13">
        <v>1</v>
      </c>
      <c r="K237" s="19">
        <v>4.2</v>
      </c>
    </row>
    <row r="238" spans="1:11" x14ac:dyDescent="0.25">
      <c r="A238" s="13">
        <v>237</v>
      </c>
      <c r="B238" s="14">
        <v>45921</v>
      </c>
      <c r="C238" s="13" t="str">
        <f t="shared" si="9"/>
        <v>Domingo</v>
      </c>
      <c r="D238" s="20">
        <v>0.67291666666666661</v>
      </c>
      <c r="E238" s="13">
        <f t="shared" si="12"/>
        <v>237</v>
      </c>
      <c r="F238" s="13">
        <f t="shared" si="13"/>
        <v>237</v>
      </c>
      <c r="G238" s="13">
        <v>2</v>
      </c>
      <c r="H238" s="13">
        <v>1</v>
      </c>
      <c r="I238" s="13">
        <v>1</v>
      </c>
      <c r="J238" s="13">
        <v>1</v>
      </c>
      <c r="K238" s="19">
        <v>6.9</v>
      </c>
    </row>
    <row r="239" spans="1:11" x14ac:dyDescent="0.25">
      <c r="A239" s="13">
        <v>238</v>
      </c>
      <c r="B239" s="14">
        <v>45921</v>
      </c>
      <c r="C239" s="13" t="str">
        <f t="shared" si="9"/>
        <v>Domingo</v>
      </c>
      <c r="D239" s="20">
        <v>0.68055555555555547</v>
      </c>
      <c r="E239" s="13">
        <f t="shared" si="12"/>
        <v>238</v>
      </c>
      <c r="F239" s="13">
        <f t="shared" si="13"/>
        <v>238</v>
      </c>
      <c r="G239" s="13">
        <v>2</v>
      </c>
      <c r="H239" s="13">
        <v>1</v>
      </c>
      <c r="I239" s="13">
        <v>1</v>
      </c>
      <c r="J239" s="13">
        <v>1</v>
      </c>
      <c r="K239" s="19">
        <v>15.3</v>
      </c>
    </row>
    <row r="240" spans="1:11" x14ac:dyDescent="0.25">
      <c r="A240" s="13">
        <v>239</v>
      </c>
      <c r="B240" s="14">
        <v>45921</v>
      </c>
      <c r="C240" s="13" t="str">
        <f t="shared" si="9"/>
        <v>Domingo</v>
      </c>
      <c r="D240" s="20">
        <v>0.70347222222222217</v>
      </c>
      <c r="E240" s="13">
        <f t="shared" si="12"/>
        <v>239</v>
      </c>
      <c r="F240" s="13">
        <f t="shared" si="13"/>
        <v>239</v>
      </c>
      <c r="G240" s="13">
        <v>2</v>
      </c>
      <c r="H240" s="13">
        <v>1</v>
      </c>
      <c r="I240" s="13">
        <v>1</v>
      </c>
      <c r="J240" s="13">
        <v>1</v>
      </c>
      <c r="K240" s="19">
        <v>7.8</v>
      </c>
    </row>
    <row r="241" spans="1:11" x14ac:dyDescent="0.25">
      <c r="A241" s="13">
        <v>240</v>
      </c>
      <c r="B241" s="14">
        <v>45927</v>
      </c>
      <c r="C241" s="13" t="str">
        <f t="shared" si="9"/>
        <v>Sábado</v>
      </c>
      <c r="D241" s="20">
        <v>0.47847222222222219</v>
      </c>
      <c r="E241" s="13">
        <f t="shared" si="12"/>
        <v>240</v>
      </c>
      <c r="F241" s="13">
        <f t="shared" si="13"/>
        <v>240</v>
      </c>
      <c r="G241" s="13">
        <v>2</v>
      </c>
      <c r="H241" s="13">
        <v>1</v>
      </c>
      <c r="I241" s="13">
        <v>1</v>
      </c>
      <c r="J241" s="13">
        <v>1</v>
      </c>
      <c r="K241" s="19">
        <v>12.2</v>
      </c>
    </row>
    <row r="242" spans="1:11" x14ac:dyDescent="0.25">
      <c r="A242" s="13">
        <v>241</v>
      </c>
      <c r="B242" s="14">
        <v>45927</v>
      </c>
      <c r="C242" s="13" t="str">
        <f t="shared" si="9"/>
        <v>Sábado</v>
      </c>
      <c r="D242" s="20">
        <v>0.48888888888888887</v>
      </c>
      <c r="E242" s="13">
        <f t="shared" si="12"/>
        <v>241</v>
      </c>
      <c r="F242" s="13">
        <f t="shared" si="13"/>
        <v>241</v>
      </c>
      <c r="G242" s="13">
        <v>2</v>
      </c>
      <c r="H242" s="13">
        <v>1</v>
      </c>
      <c r="I242" s="13">
        <v>1</v>
      </c>
      <c r="J242" s="13">
        <v>1</v>
      </c>
      <c r="K242" s="19">
        <v>19.5</v>
      </c>
    </row>
    <row r="243" spans="1:11" x14ac:dyDescent="0.25">
      <c r="A243" s="13">
        <v>242</v>
      </c>
      <c r="B243" s="14">
        <v>45927</v>
      </c>
      <c r="C243" s="13" t="str">
        <f t="shared" si="9"/>
        <v>Sábado</v>
      </c>
      <c r="D243" s="20">
        <v>0.50763888888888886</v>
      </c>
      <c r="E243" s="13">
        <f t="shared" si="12"/>
        <v>242</v>
      </c>
      <c r="F243" s="13">
        <f t="shared" si="13"/>
        <v>242</v>
      </c>
      <c r="G243" s="13">
        <v>2</v>
      </c>
      <c r="H243" s="13">
        <v>1</v>
      </c>
      <c r="I243" s="13">
        <v>1</v>
      </c>
      <c r="J243" s="13">
        <v>1</v>
      </c>
      <c r="K243" s="19">
        <v>10.199999999999999</v>
      </c>
    </row>
    <row r="244" spans="1:11" x14ac:dyDescent="0.25">
      <c r="A244" s="13">
        <v>243</v>
      </c>
      <c r="B244" s="14">
        <v>45927</v>
      </c>
      <c r="C244" s="13" t="str">
        <f t="shared" si="9"/>
        <v>Sábado</v>
      </c>
      <c r="D244" s="20">
        <v>0.52013888888888882</v>
      </c>
      <c r="E244" s="13">
        <f t="shared" si="12"/>
        <v>243</v>
      </c>
      <c r="F244" s="13">
        <f t="shared" si="13"/>
        <v>243</v>
      </c>
      <c r="G244" s="13">
        <v>1</v>
      </c>
      <c r="H244" s="13">
        <v>1</v>
      </c>
      <c r="I244" s="13">
        <v>1</v>
      </c>
      <c r="J244" s="13">
        <v>1</v>
      </c>
      <c r="K244" s="19">
        <v>6.8</v>
      </c>
    </row>
    <row r="245" spans="1:11" x14ac:dyDescent="0.25">
      <c r="A245" s="13">
        <v>244</v>
      </c>
      <c r="B245" s="14">
        <v>45927</v>
      </c>
      <c r="C245" s="13" t="str">
        <f t="shared" si="9"/>
        <v>Sábado</v>
      </c>
      <c r="D245" s="20">
        <v>0.53263888888888888</v>
      </c>
      <c r="E245" s="13">
        <f t="shared" si="12"/>
        <v>244</v>
      </c>
      <c r="F245" s="13">
        <f t="shared" si="13"/>
        <v>244</v>
      </c>
      <c r="G245" s="13">
        <v>1</v>
      </c>
      <c r="H245" s="13">
        <v>1</v>
      </c>
      <c r="I245" s="13">
        <v>1</v>
      </c>
      <c r="J245" s="13">
        <v>1</v>
      </c>
      <c r="K245" s="19">
        <v>5.2</v>
      </c>
    </row>
    <row r="246" spans="1:11" x14ac:dyDescent="0.25">
      <c r="A246" s="13">
        <v>245</v>
      </c>
      <c r="B246" s="14">
        <v>45927</v>
      </c>
      <c r="C246" s="13" t="str">
        <f t="shared" si="9"/>
        <v>Sábado</v>
      </c>
      <c r="D246" s="20">
        <v>0.53819444444444442</v>
      </c>
      <c r="E246" s="13">
        <f t="shared" si="12"/>
        <v>245</v>
      </c>
      <c r="F246" s="13">
        <f t="shared" si="13"/>
        <v>245</v>
      </c>
      <c r="G246" s="13">
        <v>1</v>
      </c>
      <c r="H246" s="13">
        <v>1</v>
      </c>
      <c r="I246" s="13">
        <v>1</v>
      </c>
      <c r="J246" s="13">
        <v>1</v>
      </c>
      <c r="K246" s="19">
        <v>3.05</v>
      </c>
    </row>
    <row r="247" spans="1:11" x14ac:dyDescent="0.25">
      <c r="A247" s="13">
        <v>246</v>
      </c>
      <c r="B247" s="14">
        <v>45927</v>
      </c>
      <c r="C247" s="13" t="str">
        <f t="shared" si="9"/>
        <v>Sábado</v>
      </c>
      <c r="D247" s="20">
        <v>0.55138888888888882</v>
      </c>
      <c r="E247" s="13">
        <f t="shared" si="12"/>
        <v>246</v>
      </c>
      <c r="F247" s="13">
        <f t="shared" si="13"/>
        <v>246</v>
      </c>
      <c r="G247" s="13">
        <v>2</v>
      </c>
      <c r="H247" s="13">
        <v>1</v>
      </c>
      <c r="I247" s="13">
        <v>1</v>
      </c>
      <c r="J247" s="13">
        <v>1</v>
      </c>
      <c r="K247" s="19">
        <v>17.100000000000001</v>
      </c>
    </row>
    <row r="248" spans="1:11" x14ac:dyDescent="0.25">
      <c r="A248" s="13">
        <v>247</v>
      </c>
      <c r="B248" s="14">
        <v>45927</v>
      </c>
      <c r="C248" s="13" t="str">
        <f t="shared" si="9"/>
        <v>Sábado</v>
      </c>
      <c r="D248" s="20">
        <v>0.56874999999999998</v>
      </c>
      <c r="E248" s="13">
        <f t="shared" si="12"/>
        <v>247</v>
      </c>
      <c r="F248" s="13">
        <f t="shared" si="13"/>
        <v>247</v>
      </c>
      <c r="G248" s="13">
        <v>2</v>
      </c>
      <c r="H248" s="13">
        <v>1</v>
      </c>
      <c r="I248" s="13">
        <v>1</v>
      </c>
      <c r="J248" s="13">
        <v>1</v>
      </c>
      <c r="K248" s="19">
        <v>10.6</v>
      </c>
    </row>
    <row r="249" spans="1:11" x14ac:dyDescent="0.25">
      <c r="A249" s="13">
        <v>248</v>
      </c>
      <c r="B249" s="14">
        <v>45927</v>
      </c>
      <c r="C249" s="13" t="str">
        <f t="shared" si="9"/>
        <v>Sábado</v>
      </c>
      <c r="D249" s="20">
        <v>0.59444444444444444</v>
      </c>
      <c r="E249" s="13">
        <f t="shared" si="12"/>
        <v>248</v>
      </c>
      <c r="F249" s="13">
        <f t="shared" si="13"/>
        <v>248</v>
      </c>
      <c r="G249" s="13">
        <v>2</v>
      </c>
      <c r="H249" s="13">
        <v>1</v>
      </c>
      <c r="I249" s="13">
        <v>1</v>
      </c>
      <c r="J249" s="13">
        <v>1</v>
      </c>
      <c r="K249" s="19">
        <v>12.85</v>
      </c>
    </row>
    <row r="250" spans="1:11" x14ac:dyDescent="0.25">
      <c r="A250" s="13">
        <v>249</v>
      </c>
      <c r="B250" s="14">
        <v>45927</v>
      </c>
      <c r="C250" s="13" t="str">
        <f t="shared" si="9"/>
        <v>Sábado</v>
      </c>
      <c r="D250" s="20">
        <v>0.74097222222222225</v>
      </c>
      <c r="E250" s="13">
        <f t="shared" si="12"/>
        <v>249</v>
      </c>
      <c r="F250" s="13">
        <f t="shared" si="13"/>
        <v>249</v>
      </c>
      <c r="G250" s="13">
        <v>1</v>
      </c>
      <c r="H250" s="13">
        <v>1</v>
      </c>
      <c r="I250" s="13">
        <v>1</v>
      </c>
      <c r="J250" s="13">
        <v>1</v>
      </c>
      <c r="K250" s="19">
        <v>11.6</v>
      </c>
    </row>
    <row r="251" spans="1:11" x14ac:dyDescent="0.25">
      <c r="A251" s="13">
        <v>250</v>
      </c>
      <c r="B251" s="14">
        <v>45927</v>
      </c>
      <c r="C251" s="13" t="str">
        <f t="shared" si="9"/>
        <v>Sábado</v>
      </c>
      <c r="D251" s="20">
        <v>0.74722222222222223</v>
      </c>
      <c r="E251" s="13">
        <f t="shared" si="12"/>
        <v>250</v>
      </c>
      <c r="F251" s="13">
        <f t="shared" si="13"/>
        <v>250</v>
      </c>
      <c r="G251" s="13">
        <v>1</v>
      </c>
      <c r="H251" s="13">
        <v>1</v>
      </c>
      <c r="I251" s="13">
        <v>1</v>
      </c>
      <c r="J251" s="13">
        <v>1</v>
      </c>
      <c r="K251" s="19">
        <v>9.5</v>
      </c>
    </row>
    <row r="252" spans="1:11" x14ac:dyDescent="0.25">
      <c r="A252" s="13">
        <v>251</v>
      </c>
      <c r="B252" s="14">
        <v>45927</v>
      </c>
      <c r="C252" s="13" t="str">
        <f t="shared" si="9"/>
        <v>Sábado</v>
      </c>
      <c r="D252" s="20">
        <v>0.75416666666666676</v>
      </c>
      <c r="E252" s="13">
        <f t="shared" si="12"/>
        <v>251</v>
      </c>
      <c r="F252" s="13">
        <f t="shared" si="13"/>
        <v>251</v>
      </c>
      <c r="G252" s="13">
        <v>1</v>
      </c>
      <c r="H252" s="13">
        <v>1</v>
      </c>
      <c r="I252" s="13">
        <v>1</v>
      </c>
      <c r="J252" s="13">
        <v>1</v>
      </c>
      <c r="K252" s="19">
        <v>14.4</v>
      </c>
    </row>
    <row r="253" spans="1:11" x14ac:dyDescent="0.25">
      <c r="A253" s="13">
        <v>252</v>
      </c>
      <c r="B253" s="14">
        <v>45927</v>
      </c>
      <c r="C253" s="13" t="str">
        <f t="shared" si="9"/>
        <v>Sábado</v>
      </c>
      <c r="D253" s="20">
        <v>0.77083333333333337</v>
      </c>
      <c r="E253" s="13">
        <f t="shared" si="12"/>
        <v>252</v>
      </c>
      <c r="F253" s="13">
        <f t="shared" si="13"/>
        <v>252</v>
      </c>
      <c r="G253" s="13">
        <v>2</v>
      </c>
      <c r="H253" s="13">
        <v>1</v>
      </c>
      <c r="I253" s="13">
        <v>1</v>
      </c>
      <c r="J253" s="13">
        <v>1</v>
      </c>
      <c r="K253" s="19">
        <v>18.5</v>
      </c>
    </row>
    <row r="254" spans="1:11" x14ac:dyDescent="0.25">
      <c r="A254" s="13">
        <v>253</v>
      </c>
      <c r="B254" s="14">
        <v>45927</v>
      </c>
      <c r="C254" s="13" t="str">
        <f t="shared" si="9"/>
        <v>Sábado</v>
      </c>
      <c r="D254" s="20">
        <v>0.7895833333333333</v>
      </c>
      <c r="E254" s="13">
        <f t="shared" si="12"/>
        <v>253</v>
      </c>
      <c r="F254" s="13">
        <f t="shared" si="13"/>
        <v>253</v>
      </c>
      <c r="G254" s="13">
        <v>2</v>
      </c>
      <c r="H254" s="13">
        <v>1</v>
      </c>
      <c r="I254" s="13">
        <v>1</v>
      </c>
      <c r="J254" s="13">
        <v>1</v>
      </c>
      <c r="K254" s="19">
        <v>15</v>
      </c>
    </row>
    <row r="255" spans="1:11" x14ac:dyDescent="0.25">
      <c r="A255" s="13">
        <v>254</v>
      </c>
      <c r="B255" s="14">
        <v>45927</v>
      </c>
      <c r="C255" s="13" t="str">
        <f t="shared" si="9"/>
        <v>Sábado</v>
      </c>
      <c r="D255" s="20">
        <v>0.80555555555555547</v>
      </c>
      <c r="E255" s="13">
        <f t="shared" si="12"/>
        <v>254</v>
      </c>
      <c r="F255" s="13">
        <f t="shared" si="13"/>
        <v>254</v>
      </c>
      <c r="G255" s="13">
        <v>2</v>
      </c>
      <c r="H255" s="13">
        <v>1</v>
      </c>
      <c r="I255" s="13">
        <v>1</v>
      </c>
      <c r="J255" s="13">
        <v>1</v>
      </c>
      <c r="K255" s="19">
        <v>12</v>
      </c>
    </row>
    <row r="256" spans="1:11" x14ac:dyDescent="0.25">
      <c r="A256" s="13">
        <v>255</v>
      </c>
      <c r="B256" s="14">
        <v>45927</v>
      </c>
      <c r="C256" s="13" t="str">
        <f t="shared" si="9"/>
        <v>Sábado</v>
      </c>
      <c r="D256" s="20">
        <v>0.83263888888888893</v>
      </c>
      <c r="E256" s="13">
        <f t="shared" si="12"/>
        <v>255</v>
      </c>
      <c r="F256" s="13">
        <f t="shared" si="13"/>
        <v>255</v>
      </c>
      <c r="G256" s="13">
        <v>2</v>
      </c>
      <c r="H256" s="13">
        <v>1</v>
      </c>
      <c r="I256" s="13">
        <v>1</v>
      </c>
      <c r="J256" s="13">
        <v>1</v>
      </c>
      <c r="K256" s="19">
        <v>16.899999999999999</v>
      </c>
    </row>
    <row r="257" spans="1:11" x14ac:dyDescent="0.25">
      <c r="A257" s="13">
        <v>256</v>
      </c>
      <c r="B257" s="14">
        <v>45927</v>
      </c>
      <c r="C257" s="13" t="str">
        <f t="shared" si="9"/>
        <v>Sábado</v>
      </c>
      <c r="D257" s="20">
        <v>0.84513888888888899</v>
      </c>
      <c r="E257" s="13">
        <f t="shared" si="12"/>
        <v>256</v>
      </c>
      <c r="F257" s="13">
        <f t="shared" si="13"/>
        <v>256</v>
      </c>
      <c r="G257" s="13">
        <v>2</v>
      </c>
      <c r="H257" s="13">
        <v>1</v>
      </c>
      <c r="I257" s="13">
        <v>1</v>
      </c>
      <c r="J257" s="13">
        <v>1</v>
      </c>
      <c r="K257" s="19">
        <v>4.05</v>
      </c>
    </row>
    <row r="258" spans="1:11" x14ac:dyDescent="0.25">
      <c r="A258" s="13">
        <v>257</v>
      </c>
      <c r="B258" s="14">
        <v>45928</v>
      </c>
      <c r="C258" s="13" t="str">
        <f t="shared" si="9"/>
        <v>Domingo</v>
      </c>
      <c r="D258" s="20">
        <v>0.51180555555555551</v>
      </c>
      <c r="E258" s="13">
        <f t="shared" si="12"/>
        <v>257</v>
      </c>
      <c r="F258" s="13">
        <f t="shared" si="13"/>
        <v>257</v>
      </c>
      <c r="G258" s="13">
        <v>2</v>
      </c>
      <c r="H258" s="13">
        <v>1</v>
      </c>
      <c r="I258" s="13">
        <v>1</v>
      </c>
      <c r="J258" s="13">
        <v>1</v>
      </c>
      <c r="K258" s="19">
        <v>42.2</v>
      </c>
    </row>
    <row r="259" spans="1:11" x14ac:dyDescent="0.25">
      <c r="A259" s="13">
        <v>258</v>
      </c>
      <c r="B259" s="14">
        <v>45928</v>
      </c>
      <c r="C259" s="13" t="str">
        <f t="shared" si="9"/>
        <v>Domingo</v>
      </c>
      <c r="D259" s="20">
        <v>0.73541666666666661</v>
      </c>
      <c r="E259" s="13">
        <f t="shared" si="12"/>
        <v>258</v>
      </c>
      <c r="F259" s="13">
        <f t="shared" si="13"/>
        <v>258</v>
      </c>
      <c r="G259" s="13">
        <v>2</v>
      </c>
      <c r="H259" s="13">
        <v>1</v>
      </c>
      <c r="I259" s="13">
        <v>1</v>
      </c>
      <c r="J259" s="13">
        <v>1</v>
      </c>
      <c r="K259" s="19">
        <v>49.4</v>
      </c>
    </row>
    <row r="260" spans="1:11" x14ac:dyDescent="0.25">
      <c r="A260" s="13">
        <v>259</v>
      </c>
      <c r="B260" s="14">
        <v>45929</v>
      </c>
      <c r="C260" s="13" t="str">
        <f t="shared" ref="C260:C321" si="14">PROPER(TEXT(WEEKDAY(B260),"dddd"))</f>
        <v>Segunda-Feira</v>
      </c>
      <c r="D260" s="20">
        <v>0.21527777777777779</v>
      </c>
      <c r="E260" s="13">
        <f t="shared" si="12"/>
        <v>259</v>
      </c>
      <c r="F260" s="13">
        <f t="shared" si="13"/>
        <v>259</v>
      </c>
      <c r="G260" s="13">
        <v>2</v>
      </c>
      <c r="H260" s="13">
        <v>1</v>
      </c>
      <c r="I260" s="13">
        <v>1</v>
      </c>
      <c r="J260" s="13">
        <v>1</v>
      </c>
      <c r="K260" s="19">
        <v>6.5</v>
      </c>
    </row>
    <row r="261" spans="1:11" x14ac:dyDescent="0.25">
      <c r="A261" s="13">
        <v>260</v>
      </c>
      <c r="B261" s="14">
        <v>45929</v>
      </c>
      <c r="C261" s="13" t="str">
        <f t="shared" si="14"/>
        <v>Segunda-Feira</v>
      </c>
      <c r="D261" s="20">
        <v>0.23472222222222219</v>
      </c>
      <c r="E261" s="13">
        <f t="shared" si="12"/>
        <v>260</v>
      </c>
      <c r="F261" s="13">
        <f t="shared" si="13"/>
        <v>260</v>
      </c>
      <c r="G261" s="13">
        <v>2</v>
      </c>
      <c r="H261" s="13">
        <v>1</v>
      </c>
      <c r="I261" s="13">
        <v>1</v>
      </c>
      <c r="J261" s="13">
        <v>1</v>
      </c>
      <c r="K261" s="19">
        <v>35.5</v>
      </c>
    </row>
    <row r="262" spans="1:11" x14ac:dyDescent="0.25">
      <c r="A262" s="13">
        <v>261</v>
      </c>
      <c r="B262" s="14">
        <v>45929</v>
      </c>
      <c r="C262" s="13" t="str">
        <f t="shared" si="14"/>
        <v>Segunda-Feira</v>
      </c>
      <c r="D262" s="20">
        <v>0.26250000000000001</v>
      </c>
      <c r="E262" s="13">
        <f t="shared" si="12"/>
        <v>261</v>
      </c>
      <c r="F262" s="13">
        <f t="shared" si="13"/>
        <v>261</v>
      </c>
      <c r="G262" s="13">
        <v>2</v>
      </c>
      <c r="H262" s="13">
        <v>1</v>
      </c>
      <c r="I262" s="13">
        <v>1</v>
      </c>
      <c r="J262" s="13">
        <v>1</v>
      </c>
      <c r="K262" s="19">
        <v>27</v>
      </c>
    </row>
    <row r="263" spans="1:11" x14ac:dyDescent="0.25">
      <c r="A263" s="13">
        <v>262</v>
      </c>
      <c r="B263" s="14">
        <v>45929</v>
      </c>
      <c r="C263" s="13" t="str">
        <f t="shared" si="14"/>
        <v>Segunda-Feira</v>
      </c>
      <c r="D263" s="20">
        <v>0.28611111111111115</v>
      </c>
      <c r="E263" s="13">
        <f t="shared" si="12"/>
        <v>262</v>
      </c>
      <c r="F263" s="13">
        <f t="shared" si="13"/>
        <v>262</v>
      </c>
      <c r="G263" s="13">
        <v>1</v>
      </c>
      <c r="H263" s="13">
        <v>1</v>
      </c>
      <c r="I263" s="13">
        <v>1</v>
      </c>
      <c r="J263" s="13">
        <v>1</v>
      </c>
      <c r="K263" s="19">
        <v>14</v>
      </c>
    </row>
    <row r="264" spans="1:11" x14ac:dyDescent="0.25">
      <c r="A264" s="13">
        <v>263</v>
      </c>
      <c r="B264" s="14">
        <v>45929</v>
      </c>
      <c r="C264" s="13" t="str">
        <f t="shared" si="14"/>
        <v>Segunda-Feira</v>
      </c>
      <c r="D264" s="20">
        <v>0.29791666666666666</v>
      </c>
      <c r="E264" s="13">
        <f t="shared" si="12"/>
        <v>263</v>
      </c>
      <c r="F264" s="13">
        <f t="shared" si="13"/>
        <v>263</v>
      </c>
      <c r="G264" s="13">
        <v>2</v>
      </c>
      <c r="H264" s="13">
        <v>1</v>
      </c>
      <c r="I264" s="13">
        <v>1</v>
      </c>
      <c r="J264" s="13">
        <v>1</v>
      </c>
      <c r="K264" s="19">
        <v>4.25</v>
      </c>
    </row>
    <row r="265" spans="1:11" x14ac:dyDescent="0.25">
      <c r="A265" s="13">
        <v>264</v>
      </c>
      <c r="B265" s="14">
        <v>45929</v>
      </c>
      <c r="C265" s="13" t="str">
        <f t="shared" si="14"/>
        <v>Segunda-Feira</v>
      </c>
      <c r="D265" s="20">
        <v>0.30833333333333335</v>
      </c>
      <c r="E265" s="13">
        <f t="shared" si="12"/>
        <v>264</v>
      </c>
      <c r="F265" s="13">
        <f t="shared" si="13"/>
        <v>264</v>
      </c>
      <c r="G265" s="13">
        <v>2</v>
      </c>
      <c r="H265" s="13">
        <v>1</v>
      </c>
      <c r="I265" s="13">
        <v>1</v>
      </c>
      <c r="J265" s="13">
        <v>1</v>
      </c>
      <c r="K265" s="19">
        <v>6.5</v>
      </c>
    </row>
    <row r="266" spans="1:11" x14ac:dyDescent="0.25">
      <c r="A266" s="13">
        <v>265</v>
      </c>
      <c r="B266" s="14">
        <v>45929</v>
      </c>
      <c r="C266" s="13" t="str">
        <f t="shared" si="14"/>
        <v>Segunda-Feira</v>
      </c>
      <c r="D266" s="20">
        <v>0.31527777777777777</v>
      </c>
      <c r="E266" s="13">
        <f t="shared" si="12"/>
        <v>265</v>
      </c>
      <c r="F266" s="13">
        <f t="shared" si="13"/>
        <v>265</v>
      </c>
      <c r="G266" s="13">
        <v>2</v>
      </c>
      <c r="H266" s="13">
        <v>1</v>
      </c>
      <c r="I266" s="13">
        <v>1</v>
      </c>
      <c r="J266" s="13">
        <v>1</v>
      </c>
      <c r="K266" s="19">
        <v>18.600000000000001</v>
      </c>
    </row>
    <row r="267" spans="1:11" x14ac:dyDescent="0.25">
      <c r="A267" s="13">
        <v>266</v>
      </c>
      <c r="B267" s="14">
        <v>45929</v>
      </c>
      <c r="C267" s="13" t="str">
        <f t="shared" si="14"/>
        <v>Segunda-Feira</v>
      </c>
      <c r="D267" s="20">
        <v>0.33263888888888887</v>
      </c>
      <c r="E267" s="13">
        <f t="shared" si="12"/>
        <v>266</v>
      </c>
      <c r="F267" s="13">
        <f t="shared" si="13"/>
        <v>266</v>
      </c>
      <c r="G267" s="13">
        <v>2</v>
      </c>
      <c r="H267" s="13">
        <v>1</v>
      </c>
      <c r="I267" s="13">
        <v>1</v>
      </c>
      <c r="J267" s="13">
        <v>1</v>
      </c>
      <c r="K267" s="19">
        <v>7.75</v>
      </c>
    </row>
    <row r="268" spans="1:11" x14ac:dyDescent="0.25">
      <c r="A268" s="13">
        <v>267</v>
      </c>
      <c r="B268" s="14">
        <v>45929</v>
      </c>
      <c r="C268" s="13" t="str">
        <f t="shared" si="14"/>
        <v>Segunda-Feira</v>
      </c>
      <c r="D268" s="20">
        <v>0.34027777777777773</v>
      </c>
      <c r="E268" s="13">
        <f t="shared" si="12"/>
        <v>267</v>
      </c>
      <c r="F268" s="13">
        <f t="shared" si="13"/>
        <v>267</v>
      </c>
      <c r="G268" s="13">
        <v>1</v>
      </c>
      <c r="H268" s="13">
        <v>1</v>
      </c>
      <c r="I268" s="13">
        <v>1</v>
      </c>
      <c r="J268" s="13">
        <v>1</v>
      </c>
      <c r="K268" s="19">
        <v>13.9</v>
      </c>
    </row>
    <row r="269" spans="1:11" x14ac:dyDescent="0.25">
      <c r="A269" s="13">
        <v>268</v>
      </c>
      <c r="B269" s="14">
        <v>45929</v>
      </c>
      <c r="C269" s="13" t="str">
        <f t="shared" si="14"/>
        <v>Segunda-Feira</v>
      </c>
      <c r="D269" s="20">
        <v>0.36388888888888887</v>
      </c>
      <c r="E269" s="13">
        <f t="shared" si="12"/>
        <v>268</v>
      </c>
      <c r="F269" s="13">
        <f t="shared" si="13"/>
        <v>268</v>
      </c>
      <c r="G269" s="13">
        <v>2</v>
      </c>
      <c r="H269" s="13">
        <v>1</v>
      </c>
      <c r="I269" s="13">
        <v>1</v>
      </c>
      <c r="J269" s="13">
        <v>1</v>
      </c>
      <c r="K269" s="19">
        <v>24.1</v>
      </c>
    </row>
    <row r="270" spans="1:11" x14ac:dyDescent="0.25">
      <c r="A270" s="13">
        <v>269</v>
      </c>
      <c r="B270" s="14">
        <v>45929</v>
      </c>
      <c r="C270" s="13" t="str">
        <f t="shared" si="14"/>
        <v>Segunda-Feira</v>
      </c>
      <c r="D270" s="20">
        <v>0.38680555555555557</v>
      </c>
      <c r="E270" s="13">
        <f t="shared" si="12"/>
        <v>269</v>
      </c>
      <c r="F270" s="13">
        <f t="shared" si="13"/>
        <v>269</v>
      </c>
      <c r="G270" s="13">
        <v>2</v>
      </c>
      <c r="H270" s="13">
        <v>1</v>
      </c>
      <c r="I270" s="13">
        <v>1</v>
      </c>
      <c r="J270" s="13">
        <v>1</v>
      </c>
      <c r="K270" s="19">
        <v>51.45</v>
      </c>
    </row>
    <row r="271" spans="1:11" x14ac:dyDescent="0.25">
      <c r="A271" s="13">
        <v>270</v>
      </c>
      <c r="B271" s="14">
        <v>45929</v>
      </c>
      <c r="C271" s="13" t="str">
        <f t="shared" si="14"/>
        <v>Segunda-Feira</v>
      </c>
      <c r="D271" s="20">
        <v>0.44513888888888892</v>
      </c>
      <c r="E271" s="13">
        <f t="shared" si="12"/>
        <v>270</v>
      </c>
      <c r="F271" s="13">
        <f t="shared" si="13"/>
        <v>270</v>
      </c>
      <c r="G271" s="13">
        <v>2</v>
      </c>
      <c r="H271" s="13">
        <v>1</v>
      </c>
      <c r="I271" s="13">
        <v>1</v>
      </c>
      <c r="J271" s="13">
        <v>1</v>
      </c>
      <c r="K271" s="19">
        <v>16.399999999999999</v>
      </c>
    </row>
    <row r="272" spans="1:11" x14ac:dyDescent="0.25">
      <c r="A272" s="13">
        <v>271</v>
      </c>
      <c r="B272" s="14">
        <v>45929</v>
      </c>
      <c r="C272" s="13" t="str">
        <f t="shared" si="14"/>
        <v>Segunda-Feira</v>
      </c>
      <c r="D272" s="20">
        <v>0.47152777777777777</v>
      </c>
      <c r="E272" s="13">
        <f t="shared" si="12"/>
        <v>271</v>
      </c>
      <c r="F272" s="13">
        <f t="shared" si="13"/>
        <v>271</v>
      </c>
      <c r="G272" s="13">
        <v>2</v>
      </c>
      <c r="H272" s="13">
        <v>1</v>
      </c>
      <c r="I272" s="13">
        <v>1</v>
      </c>
      <c r="J272" s="13">
        <v>1</v>
      </c>
      <c r="K272" s="19">
        <v>4.2</v>
      </c>
    </row>
    <row r="273" spans="1:11" x14ac:dyDescent="0.25">
      <c r="A273" s="13">
        <v>272</v>
      </c>
      <c r="B273" s="14">
        <v>45929</v>
      </c>
      <c r="C273" s="13" t="str">
        <f t="shared" si="14"/>
        <v>Segunda-Feira</v>
      </c>
      <c r="D273" s="20">
        <v>0.49513888888888885</v>
      </c>
      <c r="E273" s="13">
        <f t="shared" si="12"/>
        <v>272</v>
      </c>
      <c r="F273" s="13">
        <f t="shared" si="13"/>
        <v>272</v>
      </c>
      <c r="G273" s="13">
        <v>2</v>
      </c>
      <c r="H273" s="13">
        <v>1</v>
      </c>
      <c r="I273" s="13">
        <v>1</v>
      </c>
      <c r="J273" s="13">
        <v>1</v>
      </c>
      <c r="K273" s="19">
        <v>35.25</v>
      </c>
    </row>
    <row r="274" spans="1:11" x14ac:dyDescent="0.25">
      <c r="A274" s="13">
        <v>273</v>
      </c>
      <c r="B274" s="14">
        <v>45929</v>
      </c>
      <c r="C274" s="13" t="str">
        <f t="shared" si="14"/>
        <v>Segunda-Feira</v>
      </c>
      <c r="D274" s="20">
        <v>0.53125</v>
      </c>
      <c r="E274" s="13">
        <f t="shared" si="12"/>
        <v>273</v>
      </c>
      <c r="F274" s="13">
        <f t="shared" si="13"/>
        <v>273</v>
      </c>
      <c r="G274" s="13">
        <v>2</v>
      </c>
      <c r="H274" s="13">
        <v>1</v>
      </c>
      <c r="I274" s="13">
        <v>1</v>
      </c>
      <c r="J274" s="13">
        <v>1</v>
      </c>
      <c r="K274" s="19">
        <v>31</v>
      </c>
    </row>
    <row r="275" spans="1:11" x14ac:dyDescent="0.25">
      <c r="A275" s="13">
        <v>274</v>
      </c>
      <c r="B275" s="14">
        <v>45929</v>
      </c>
      <c r="C275" s="13" t="str">
        <f t="shared" si="14"/>
        <v>Segunda-Feira</v>
      </c>
      <c r="D275" s="20">
        <v>0.55555555555555558</v>
      </c>
      <c r="E275" s="13">
        <f t="shared" si="12"/>
        <v>274</v>
      </c>
      <c r="F275" s="13">
        <f t="shared" si="13"/>
        <v>274</v>
      </c>
      <c r="G275" s="13">
        <v>2</v>
      </c>
      <c r="H275" s="13">
        <v>1</v>
      </c>
      <c r="I275" s="13">
        <v>1</v>
      </c>
      <c r="J275" s="13">
        <v>1</v>
      </c>
      <c r="K275" s="19">
        <v>10</v>
      </c>
    </row>
    <row r="276" spans="1:11" x14ac:dyDescent="0.25">
      <c r="A276" s="13">
        <v>275</v>
      </c>
      <c r="B276" s="14">
        <v>45932</v>
      </c>
      <c r="C276" s="13" t="str">
        <f t="shared" si="14"/>
        <v>Quinta-Feira</v>
      </c>
      <c r="D276" s="20">
        <v>0.60555555555555551</v>
      </c>
      <c r="E276" s="13">
        <f t="shared" si="12"/>
        <v>275</v>
      </c>
      <c r="F276" s="13">
        <f t="shared" si="13"/>
        <v>275</v>
      </c>
      <c r="G276" s="13">
        <v>2</v>
      </c>
      <c r="H276" s="13">
        <v>1</v>
      </c>
      <c r="I276" s="13">
        <v>1</v>
      </c>
      <c r="J276" s="13">
        <v>1</v>
      </c>
      <c r="K276" s="19">
        <v>4</v>
      </c>
    </row>
    <row r="277" spans="1:11" x14ac:dyDescent="0.25">
      <c r="A277" s="13">
        <v>276</v>
      </c>
      <c r="B277" s="14">
        <v>45932</v>
      </c>
      <c r="C277" s="13" t="str">
        <f t="shared" si="14"/>
        <v>Quinta-Feira</v>
      </c>
      <c r="D277" s="20">
        <v>0.60902777777777783</v>
      </c>
      <c r="E277" s="13">
        <f t="shared" ref="E277:E321" si="15">A277</f>
        <v>276</v>
      </c>
      <c r="F277" s="13">
        <f t="shared" ref="F277:F321" si="16">A277</f>
        <v>276</v>
      </c>
      <c r="G277" s="13">
        <v>2</v>
      </c>
      <c r="H277" s="13">
        <v>1</v>
      </c>
      <c r="I277" s="13">
        <v>1</v>
      </c>
      <c r="J277" s="13">
        <v>1</v>
      </c>
      <c r="K277" s="19">
        <v>6</v>
      </c>
    </row>
    <row r="278" spans="1:11" x14ac:dyDescent="0.25">
      <c r="A278" s="13">
        <v>277</v>
      </c>
      <c r="B278" s="14">
        <v>45932</v>
      </c>
      <c r="C278" s="13" t="str">
        <f t="shared" si="14"/>
        <v>Quinta-Feira</v>
      </c>
      <c r="D278" s="20">
        <v>0.62361111111111112</v>
      </c>
      <c r="E278" s="13">
        <f t="shared" si="15"/>
        <v>277</v>
      </c>
      <c r="F278" s="13">
        <f t="shared" si="16"/>
        <v>277</v>
      </c>
      <c r="G278" s="13">
        <v>2</v>
      </c>
      <c r="H278" s="13">
        <v>1</v>
      </c>
      <c r="I278" s="13">
        <v>1</v>
      </c>
      <c r="J278" s="13">
        <v>1</v>
      </c>
      <c r="K278" s="19">
        <v>3.8</v>
      </c>
    </row>
    <row r="279" spans="1:11" x14ac:dyDescent="0.25">
      <c r="A279" s="13">
        <v>278</v>
      </c>
      <c r="B279" s="14">
        <v>45932</v>
      </c>
      <c r="C279" s="13" t="str">
        <f t="shared" si="14"/>
        <v>Quinta-Feira</v>
      </c>
      <c r="D279" s="20">
        <v>0.63194444444444442</v>
      </c>
      <c r="E279" s="13">
        <f t="shared" si="15"/>
        <v>278</v>
      </c>
      <c r="F279" s="13">
        <f t="shared" si="16"/>
        <v>278</v>
      </c>
      <c r="G279" s="13">
        <v>2</v>
      </c>
      <c r="H279" s="13">
        <v>1</v>
      </c>
      <c r="I279" s="13">
        <v>1</v>
      </c>
      <c r="J279" s="13">
        <v>1</v>
      </c>
      <c r="K279" s="19">
        <v>3.2</v>
      </c>
    </row>
    <row r="280" spans="1:11" x14ac:dyDescent="0.25">
      <c r="A280" s="13">
        <v>279</v>
      </c>
      <c r="B280" s="14">
        <v>45932</v>
      </c>
      <c r="C280" s="13" t="str">
        <f t="shared" si="14"/>
        <v>Quinta-Feira</v>
      </c>
      <c r="D280" s="20">
        <v>0.77638888888888891</v>
      </c>
      <c r="E280" s="13">
        <f t="shared" si="15"/>
        <v>279</v>
      </c>
      <c r="F280" s="13">
        <f t="shared" si="16"/>
        <v>279</v>
      </c>
      <c r="G280" s="13">
        <v>2</v>
      </c>
      <c r="H280" s="13">
        <v>1</v>
      </c>
      <c r="I280" s="13">
        <v>1</v>
      </c>
      <c r="J280" s="13">
        <v>1</v>
      </c>
      <c r="K280" s="19">
        <v>36.75</v>
      </c>
    </row>
    <row r="281" spans="1:11" x14ac:dyDescent="0.25">
      <c r="A281" s="13">
        <v>280</v>
      </c>
      <c r="B281" s="14">
        <v>45933</v>
      </c>
      <c r="C281" s="13" t="str">
        <f t="shared" si="14"/>
        <v>Sexta-Feira</v>
      </c>
      <c r="D281" s="20">
        <v>0.66249999999999998</v>
      </c>
      <c r="E281" s="13">
        <f t="shared" si="15"/>
        <v>280</v>
      </c>
      <c r="F281" s="13">
        <f t="shared" si="16"/>
        <v>280</v>
      </c>
      <c r="G281" s="13">
        <v>2</v>
      </c>
      <c r="H281" s="13">
        <v>1</v>
      </c>
      <c r="I281" s="13">
        <v>1</v>
      </c>
      <c r="J281" s="13">
        <v>1</v>
      </c>
      <c r="K281" s="19">
        <v>3.1</v>
      </c>
    </row>
    <row r="282" spans="1:11" x14ac:dyDescent="0.25">
      <c r="A282" s="13">
        <v>281</v>
      </c>
      <c r="B282" s="14">
        <v>45933</v>
      </c>
      <c r="C282" s="13" t="str">
        <f t="shared" si="14"/>
        <v>Sexta-Feira</v>
      </c>
      <c r="D282" s="20">
        <v>0.75416666666666676</v>
      </c>
      <c r="E282" s="13">
        <f t="shared" si="15"/>
        <v>281</v>
      </c>
      <c r="F282" s="13">
        <f t="shared" si="16"/>
        <v>281</v>
      </c>
      <c r="G282" s="13">
        <v>2</v>
      </c>
      <c r="H282" s="13">
        <v>1</v>
      </c>
      <c r="I282" s="13">
        <v>1</v>
      </c>
      <c r="J282" s="13">
        <v>1</v>
      </c>
      <c r="K282" s="19">
        <v>37.6</v>
      </c>
    </row>
    <row r="283" spans="1:11" x14ac:dyDescent="0.25">
      <c r="A283" s="13">
        <v>282</v>
      </c>
      <c r="B283" s="14">
        <v>45933</v>
      </c>
      <c r="C283" s="13" t="str">
        <f t="shared" si="14"/>
        <v>Sexta-Feira</v>
      </c>
      <c r="D283" s="20">
        <v>0.78472222222222221</v>
      </c>
      <c r="E283" s="13">
        <f t="shared" si="15"/>
        <v>282</v>
      </c>
      <c r="F283" s="13">
        <f t="shared" si="16"/>
        <v>282</v>
      </c>
      <c r="G283" s="13">
        <v>2</v>
      </c>
      <c r="H283" s="13">
        <v>1</v>
      </c>
      <c r="I283" s="13">
        <v>1</v>
      </c>
      <c r="J283" s="13">
        <v>1</v>
      </c>
      <c r="K283" s="19">
        <v>21.4</v>
      </c>
    </row>
    <row r="284" spans="1:11" x14ac:dyDescent="0.25">
      <c r="A284" s="13">
        <v>283</v>
      </c>
      <c r="B284" s="14">
        <v>45933</v>
      </c>
      <c r="C284" s="13" t="str">
        <f t="shared" si="14"/>
        <v>Sexta-Feira</v>
      </c>
      <c r="D284" s="20">
        <v>0.79999999999999993</v>
      </c>
      <c r="E284" s="13">
        <f t="shared" si="15"/>
        <v>283</v>
      </c>
      <c r="F284" s="13">
        <f t="shared" si="16"/>
        <v>283</v>
      </c>
      <c r="G284" s="13">
        <v>1</v>
      </c>
      <c r="H284" s="13">
        <v>1</v>
      </c>
      <c r="I284" s="13">
        <v>1</v>
      </c>
      <c r="J284" s="13">
        <v>1</v>
      </c>
      <c r="K284" s="19">
        <v>13.8</v>
      </c>
    </row>
    <row r="285" spans="1:11" x14ac:dyDescent="0.25">
      <c r="A285" s="13">
        <v>284</v>
      </c>
      <c r="B285" s="14">
        <v>45933</v>
      </c>
      <c r="C285" s="13" t="str">
        <f t="shared" si="14"/>
        <v>Sexta-Feira</v>
      </c>
      <c r="D285" s="20">
        <v>0.81874999999999998</v>
      </c>
      <c r="E285" s="13">
        <f t="shared" si="15"/>
        <v>284</v>
      </c>
      <c r="F285" s="13">
        <f t="shared" si="16"/>
        <v>284</v>
      </c>
      <c r="G285" s="13">
        <v>2</v>
      </c>
      <c r="H285" s="13">
        <v>1</v>
      </c>
      <c r="I285" s="13">
        <v>1</v>
      </c>
      <c r="J285" s="13">
        <v>1</v>
      </c>
      <c r="K285" s="19">
        <v>18.649999999999999</v>
      </c>
    </row>
    <row r="286" spans="1:11" x14ac:dyDescent="0.25">
      <c r="A286" s="13">
        <v>285</v>
      </c>
      <c r="B286" s="14">
        <v>45933</v>
      </c>
      <c r="C286" s="13" t="str">
        <f t="shared" si="14"/>
        <v>Sexta-Feira</v>
      </c>
      <c r="D286" s="20">
        <v>0.83263888888888893</v>
      </c>
      <c r="E286" s="13">
        <f t="shared" si="15"/>
        <v>285</v>
      </c>
      <c r="F286" s="13">
        <f t="shared" si="16"/>
        <v>285</v>
      </c>
      <c r="G286" s="13">
        <v>2</v>
      </c>
      <c r="H286" s="13">
        <v>1</v>
      </c>
      <c r="I286" s="13">
        <v>1</v>
      </c>
      <c r="J286" s="13">
        <v>1</v>
      </c>
      <c r="K286" s="19">
        <v>15</v>
      </c>
    </row>
    <row r="287" spans="1:11" x14ac:dyDescent="0.25">
      <c r="A287" s="13">
        <v>286</v>
      </c>
      <c r="B287" s="14">
        <v>45933</v>
      </c>
      <c r="C287" s="13" t="str">
        <f t="shared" si="14"/>
        <v>Sexta-Feira</v>
      </c>
      <c r="D287" s="20">
        <v>0.84652777777777777</v>
      </c>
      <c r="E287" s="13">
        <f t="shared" si="15"/>
        <v>286</v>
      </c>
      <c r="F287" s="13">
        <f t="shared" si="16"/>
        <v>286</v>
      </c>
      <c r="G287" s="13">
        <v>2</v>
      </c>
      <c r="H287" s="13">
        <v>1</v>
      </c>
      <c r="I287" s="13">
        <v>1</v>
      </c>
      <c r="J287" s="13">
        <v>1</v>
      </c>
      <c r="K287" s="19">
        <v>12.4</v>
      </c>
    </row>
    <row r="288" spans="1:11" x14ac:dyDescent="0.25">
      <c r="A288" s="13">
        <v>287</v>
      </c>
      <c r="B288" s="14">
        <v>45936</v>
      </c>
      <c r="C288" s="13" t="str">
        <f t="shared" si="14"/>
        <v>Segunda-Feira</v>
      </c>
      <c r="D288" s="20">
        <v>0.23194444444444443</v>
      </c>
      <c r="E288" s="13">
        <f t="shared" si="15"/>
        <v>287</v>
      </c>
      <c r="F288" s="13">
        <f t="shared" si="16"/>
        <v>287</v>
      </c>
      <c r="G288" s="13">
        <v>1</v>
      </c>
      <c r="H288" s="13">
        <v>1</v>
      </c>
      <c r="I288" s="13">
        <v>1</v>
      </c>
      <c r="J288" s="13">
        <v>1</v>
      </c>
      <c r="K288" s="19">
        <v>4.05</v>
      </c>
    </row>
    <row r="289" spans="1:11" x14ac:dyDescent="0.25">
      <c r="A289" s="13">
        <v>288</v>
      </c>
      <c r="B289" s="14">
        <v>45936</v>
      </c>
      <c r="C289" s="13" t="str">
        <f t="shared" si="14"/>
        <v>Segunda-Feira</v>
      </c>
      <c r="D289" s="20">
        <v>0.24097222222222223</v>
      </c>
      <c r="E289" s="13">
        <f t="shared" si="15"/>
        <v>288</v>
      </c>
      <c r="F289" s="13">
        <f t="shared" si="16"/>
        <v>288</v>
      </c>
      <c r="G289" s="13">
        <v>1</v>
      </c>
      <c r="H289" s="13">
        <v>1</v>
      </c>
      <c r="I289" s="13">
        <v>1</v>
      </c>
      <c r="J289" s="13">
        <v>1</v>
      </c>
      <c r="K289" s="19">
        <v>17.899999999999999</v>
      </c>
    </row>
    <row r="290" spans="1:11" x14ac:dyDescent="0.25">
      <c r="A290" s="13">
        <v>289</v>
      </c>
      <c r="B290" s="14">
        <v>45936</v>
      </c>
      <c r="C290" s="13" t="str">
        <f t="shared" si="14"/>
        <v>Segunda-Feira</v>
      </c>
      <c r="D290" s="20">
        <v>0.25625000000000003</v>
      </c>
      <c r="E290" s="13">
        <f t="shared" si="15"/>
        <v>289</v>
      </c>
      <c r="F290" s="13">
        <f t="shared" si="16"/>
        <v>289</v>
      </c>
      <c r="G290" s="13">
        <v>2</v>
      </c>
      <c r="H290" s="13">
        <v>1</v>
      </c>
      <c r="I290" s="13">
        <v>1</v>
      </c>
      <c r="J290" s="13">
        <v>1</v>
      </c>
      <c r="K290" s="19">
        <v>26.8</v>
      </c>
    </row>
    <row r="291" spans="1:11" x14ac:dyDescent="0.25">
      <c r="A291" s="13">
        <v>290</v>
      </c>
      <c r="B291" s="14">
        <v>45936</v>
      </c>
      <c r="C291" s="13" t="str">
        <f t="shared" si="14"/>
        <v>Segunda-Feira</v>
      </c>
      <c r="D291" s="20">
        <v>0.27361111111111108</v>
      </c>
      <c r="E291" s="13">
        <f t="shared" si="15"/>
        <v>290</v>
      </c>
      <c r="F291" s="13">
        <f t="shared" si="16"/>
        <v>290</v>
      </c>
      <c r="G291" s="13">
        <v>2</v>
      </c>
      <c r="H291" s="13">
        <v>1</v>
      </c>
      <c r="I291" s="13">
        <v>1</v>
      </c>
      <c r="J291" s="13">
        <v>1</v>
      </c>
      <c r="K291" s="19">
        <v>19.3</v>
      </c>
    </row>
    <row r="292" spans="1:11" x14ac:dyDescent="0.25">
      <c r="A292" s="13">
        <v>291</v>
      </c>
      <c r="B292" s="14">
        <v>45936</v>
      </c>
      <c r="C292" s="13" t="str">
        <f t="shared" si="14"/>
        <v>Segunda-Feira</v>
      </c>
      <c r="D292" s="20">
        <v>0.29375000000000001</v>
      </c>
      <c r="E292" s="13">
        <f t="shared" si="15"/>
        <v>291</v>
      </c>
      <c r="F292" s="13">
        <f t="shared" si="16"/>
        <v>291</v>
      </c>
      <c r="G292" s="13">
        <v>2</v>
      </c>
      <c r="H292" s="13">
        <v>1</v>
      </c>
      <c r="I292" s="13">
        <v>1</v>
      </c>
      <c r="J292" s="13">
        <v>1</v>
      </c>
      <c r="K292" s="19">
        <v>7.6</v>
      </c>
    </row>
    <row r="293" spans="1:11" x14ac:dyDescent="0.25">
      <c r="A293" s="13">
        <v>292</v>
      </c>
      <c r="B293" s="14">
        <v>45936</v>
      </c>
      <c r="C293" s="13" t="str">
        <f t="shared" si="14"/>
        <v>Segunda-Feira</v>
      </c>
      <c r="D293" s="20">
        <v>0.3034722222222222</v>
      </c>
      <c r="E293" s="13">
        <f t="shared" si="15"/>
        <v>292</v>
      </c>
      <c r="F293" s="13">
        <f t="shared" si="16"/>
        <v>292</v>
      </c>
      <c r="G293" s="13">
        <v>2</v>
      </c>
      <c r="H293" s="13">
        <v>1</v>
      </c>
      <c r="I293" s="13">
        <v>1</v>
      </c>
      <c r="J293" s="13">
        <v>1</v>
      </c>
      <c r="K293" s="19">
        <v>13</v>
      </c>
    </row>
    <row r="294" spans="1:11" x14ac:dyDescent="0.25">
      <c r="A294" s="13">
        <v>293</v>
      </c>
      <c r="B294" s="14">
        <v>45936</v>
      </c>
      <c r="C294" s="13" t="str">
        <f t="shared" si="14"/>
        <v>Segunda-Feira</v>
      </c>
      <c r="D294" s="20">
        <v>0.32013888888888892</v>
      </c>
      <c r="E294" s="13">
        <f t="shared" si="15"/>
        <v>293</v>
      </c>
      <c r="F294" s="13">
        <f t="shared" si="16"/>
        <v>293</v>
      </c>
      <c r="G294" s="13">
        <v>1</v>
      </c>
      <c r="H294" s="13">
        <v>1</v>
      </c>
      <c r="I294" s="13">
        <v>1</v>
      </c>
      <c r="J294" s="13">
        <v>1</v>
      </c>
      <c r="K294" s="19">
        <v>12</v>
      </c>
    </row>
    <row r="295" spans="1:11" x14ac:dyDescent="0.25">
      <c r="A295" s="13">
        <v>294</v>
      </c>
      <c r="B295" s="14">
        <v>45936</v>
      </c>
      <c r="C295" s="13" t="str">
        <f t="shared" si="14"/>
        <v>Segunda-Feira</v>
      </c>
      <c r="D295" s="20">
        <v>0.32847222222222222</v>
      </c>
      <c r="E295" s="13">
        <f t="shared" si="15"/>
        <v>294</v>
      </c>
      <c r="F295" s="13">
        <f t="shared" si="16"/>
        <v>294</v>
      </c>
      <c r="G295" s="13">
        <v>2</v>
      </c>
      <c r="H295" s="13">
        <v>1</v>
      </c>
      <c r="I295" s="13">
        <v>1</v>
      </c>
      <c r="J295" s="13">
        <v>1</v>
      </c>
      <c r="K295" s="19">
        <v>6.15</v>
      </c>
    </row>
    <row r="296" spans="1:11" x14ac:dyDescent="0.25">
      <c r="A296" s="13">
        <v>295</v>
      </c>
      <c r="B296" s="14">
        <v>45936</v>
      </c>
      <c r="C296" s="13" t="str">
        <f t="shared" si="14"/>
        <v>Segunda-Feira</v>
      </c>
      <c r="D296" s="20">
        <v>0.3354166666666667</v>
      </c>
      <c r="E296" s="13">
        <f t="shared" si="15"/>
        <v>295</v>
      </c>
      <c r="F296" s="13">
        <f t="shared" si="16"/>
        <v>295</v>
      </c>
      <c r="G296" s="13">
        <v>2</v>
      </c>
      <c r="H296" s="13">
        <v>1</v>
      </c>
      <c r="I296" s="13">
        <v>1</v>
      </c>
      <c r="J296" s="13">
        <v>1</v>
      </c>
      <c r="K296" s="19">
        <v>7.85</v>
      </c>
    </row>
    <row r="297" spans="1:11" x14ac:dyDescent="0.25">
      <c r="A297" s="13">
        <v>296</v>
      </c>
      <c r="B297" s="14">
        <v>45936</v>
      </c>
      <c r="C297" s="13" t="str">
        <f t="shared" si="14"/>
        <v>Segunda-Feira</v>
      </c>
      <c r="D297" s="20">
        <v>0.3430555555555555</v>
      </c>
      <c r="E297" s="13">
        <f t="shared" si="15"/>
        <v>296</v>
      </c>
      <c r="F297" s="13">
        <f t="shared" si="16"/>
        <v>296</v>
      </c>
      <c r="G297" s="13">
        <v>2</v>
      </c>
      <c r="H297" s="13">
        <v>1</v>
      </c>
      <c r="I297" s="13">
        <v>1</v>
      </c>
      <c r="J297" s="13">
        <v>1</v>
      </c>
      <c r="K297" s="19">
        <v>22.6</v>
      </c>
    </row>
    <row r="298" spans="1:11" x14ac:dyDescent="0.25">
      <c r="A298" s="13">
        <v>297</v>
      </c>
      <c r="B298" s="14">
        <v>45936</v>
      </c>
      <c r="C298" s="13" t="str">
        <f t="shared" si="14"/>
        <v>Segunda-Feira</v>
      </c>
      <c r="D298" s="20">
        <v>0.37013888888888885</v>
      </c>
      <c r="E298" s="13">
        <f t="shared" si="15"/>
        <v>297</v>
      </c>
      <c r="F298" s="13">
        <f t="shared" si="16"/>
        <v>297</v>
      </c>
      <c r="G298" s="13">
        <v>2</v>
      </c>
      <c r="H298" s="13">
        <v>1</v>
      </c>
      <c r="I298" s="13">
        <v>1</v>
      </c>
      <c r="J298" s="13">
        <v>1</v>
      </c>
      <c r="K298" s="19">
        <v>2.85</v>
      </c>
    </row>
    <row r="299" spans="1:11" x14ac:dyDescent="0.25">
      <c r="A299" s="13">
        <v>298</v>
      </c>
      <c r="B299" s="14">
        <v>45936</v>
      </c>
      <c r="C299" s="13" t="str">
        <f t="shared" si="14"/>
        <v>Segunda-Feira</v>
      </c>
      <c r="D299" s="20">
        <v>0.38541666666666669</v>
      </c>
      <c r="E299" s="13">
        <f t="shared" si="15"/>
        <v>298</v>
      </c>
      <c r="F299" s="13">
        <f t="shared" si="16"/>
        <v>298</v>
      </c>
      <c r="G299" s="13">
        <v>2</v>
      </c>
      <c r="H299" s="13">
        <v>1</v>
      </c>
      <c r="I299" s="13">
        <v>1</v>
      </c>
      <c r="J299" s="13">
        <v>1</v>
      </c>
      <c r="K299" s="19">
        <v>1</v>
      </c>
    </row>
    <row r="300" spans="1:11" x14ac:dyDescent="0.25">
      <c r="A300" s="13">
        <v>299</v>
      </c>
      <c r="B300" s="14">
        <v>45936</v>
      </c>
      <c r="C300" s="13" t="str">
        <f t="shared" si="14"/>
        <v>Segunda-Feira</v>
      </c>
      <c r="D300" s="20">
        <v>0.39583333333333331</v>
      </c>
      <c r="E300" s="13">
        <f t="shared" si="15"/>
        <v>299</v>
      </c>
      <c r="F300" s="13">
        <f t="shared" si="16"/>
        <v>299</v>
      </c>
      <c r="G300" s="13">
        <v>2</v>
      </c>
      <c r="H300" s="13">
        <v>1</v>
      </c>
      <c r="I300" s="13">
        <v>1</v>
      </c>
      <c r="J300" s="13">
        <v>1</v>
      </c>
      <c r="K300" s="19">
        <v>18.41</v>
      </c>
    </row>
    <row r="301" spans="1:11" x14ac:dyDescent="0.25">
      <c r="A301" s="13">
        <v>300</v>
      </c>
      <c r="B301" s="14">
        <v>45936</v>
      </c>
      <c r="C301" s="13" t="str">
        <f t="shared" si="14"/>
        <v>Segunda-Feira</v>
      </c>
      <c r="D301" s="20">
        <v>0.45763888888888887</v>
      </c>
      <c r="E301" s="13">
        <f t="shared" si="15"/>
        <v>300</v>
      </c>
      <c r="F301" s="13">
        <f t="shared" si="16"/>
        <v>300</v>
      </c>
      <c r="G301" s="13">
        <v>2</v>
      </c>
      <c r="H301" s="13">
        <v>1</v>
      </c>
      <c r="I301" s="13">
        <v>1</v>
      </c>
      <c r="J301" s="13">
        <v>1</v>
      </c>
      <c r="K301" s="19">
        <v>22.2</v>
      </c>
    </row>
    <row r="302" spans="1:11" x14ac:dyDescent="0.25">
      <c r="A302" s="13">
        <v>301</v>
      </c>
      <c r="B302" s="14">
        <v>45936</v>
      </c>
      <c r="C302" s="13" t="str">
        <f t="shared" si="14"/>
        <v>Segunda-Feira</v>
      </c>
      <c r="D302" s="20">
        <v>0.48402777777777778</v>
      </c>
      <c r="E302" s="13">
        <f t="shared" si="15"/>
        <v>301</v>
      </c>
      <c r="F302" s="13">
        <f t="shared" si="16"/>
        <v>301</v>
      </c>
      <c r="G302" s="13">
        <v>2</v>
      </c>
      <c r="H302" s="13">
        <v>1</v>
      </c>
      <c r="I302" s="13">
        <v>1</v>
      </c>
      <c r="J302" s="13">
        <v>1</v>
      </c>
      <c r="K302" s="19">
        <v>7.7</v>
      </c>
    </row>
    <row r="303" spans="1:11" x14ac:dyDescent="0.25">
      <c r="A303" s="13">
        <v>302</v>
      </c>
      <c r="B303" s="14">
        <v>45936</v>
      </c>
      <c r="C303" s="13" t="str">
        <f t="shared" si="14"/>
        <v>Segunda-Feira</v>
      </c>
      <c r="D303" s="20">
        <v>0.4916666666666667</v>
      </c>
      <c r="E303" s="13">
        <f t="shared" si="15"/>
        <v>302</v>
      </c>
      <c r="F303" s="13">
        <f t="shared" si="16"/>
        <v>302</v>
      </c>
      <c r="G303" s="13">
        <v>2</v>
      </c>
      <c r="H303" s="13">
        <v>1</v>
      </c>
      <c r="I303" s="13">
        <v>1</v>
      </c>
      <c r="J303" s="13">
        <v>1</v>
      </c>
      <c r="K303" s="19">
        <v>24.9</v>
      </c>
    </row>
    <row r="304" spans="1:11" x14ac:dyDescent="0.25">
      <c r="A304" s="13">
        <v>303</v>
      </c>
      <c r="B304" s="14">
        <v>45936</v>
      </c>
      <c r="C304" s="13" t="str">
        <f t="shared" si="14"/>
        <v>Segunda-Feira</v>
      </c>
      <c r="D304" s="20">
        <v>0.51111111111111118</v>
      </c>
      <c r="E304" s="13">
        <f t="shared" si="15"/>
        <v>303</v>
      </c>
      <c r="F304" s="13">
        <f t="shared" si="16"/>
        <v>303</v>
      </c>
      <c r="G304" s="13">
        <v>2</v>
      </c>
      <c r="H304" s="13">
        <v>1</v>
      </c>
      <c r="I304" s="13">
        <v>1</v>
      </c>
      <c r="J304" s="13">
        <v>1</v>
      </c>
      <c r="K304" s="19">
        <v>16.100000000000001</v>
      </c>
    </row>
    <row r="305" spans="1:11" x14ac:dyDescent="0.25">
      <c r="A305" s="13">
        <v>304</v>
      </c>
      <c r="B305" s="14">
        <v>45936</v>
      </c>
      <c r="C305" s="13" t="str">
        <f t="shared" si="14"/>
        <v>Segunda-Feira</v>
      </c>
      <c r="D305" s="20">
        <v>0.52847222222222223</v>
      </c>
      <c r="E305" s="13">
        <f t="shared" si="15"/>
        <v>304</v>
      </c>
      <c r="F305" s="13">
        <f t="shared" si="16"/>
        <v>304</v>
      </c>
      <c r="G305" s="13">
        <v>2</v>
      </c>
      <c r="H305" s="13">
        <v>1</v>
      </c>
      <c r="I305" s="13">
        <v>1</v>
      </c>
      <c r="J305" s="13">
        <v>1</v>
      </c>
      <c r="K305" s="19">
        <v>25.5</v>
      </c>
    </row>
    <row r="306" spans="1:11" x14ac:dyDescent="0.25">
      <c r="A306" s="13">
        <v>305</v>
      </c>
      <c r="B306" s="14">
        <v>45937</v>
      </c>
      <c r="C306" s="13" t="str">
        <f t="shared" si="14"/>
        <v>Terça-Feira</v>
      </c>
      <c r="D306" s="20">
        <v>0.22847222222222222</v>
      </c>
      <c r="E306" s="13">
        <f t="shared" si="15"/>
        <v>305</v>
      </c>
      <c r="F306" s="13">
        <f t="shared" si="16"/>
        <v>305</v>
      </c>
      <c r="G306" s="13">
        <v>2</v>
      </c>
      <c r="H306" s="13">
        <v>1</v>
      </c>
      <c r="I306" s="13">
        <v>1</v>
      </c>
      <c r="J306" s="13">
        <v>1</v>
      </c>
      <c r="K306" s="19">
        <v>7.2</v>
      </c>
    </row>
    <row r="307" spans="1:11" x14ac:dyDescent="0.25">
      <c r="A307" s="13">
        <v>306</v>
      </c>
      <c r="B307" s="14">
        <v>45937</v>
      </c>
      <c r="C307" s="13" t="str">
        <f t="shared" si="14"/>
        <v>Terça-Feira</v>
      </c>
      <c r="D307" s="20">
        <v>0.32222222222222224</v>
      </c>
      <c r="E307" s="13">
        <f t="shared" si="15"/>
        <v>306</v>
      </c>
      <c r="F307" s="13">
        <f t="shared" si="16"/>
        <v>306</v>
      </c>
      <c r="G307" s="13">
        <v>2</v>
      </c>
      <c r="H307" s="13">
        <v>1</v>
      </c>
      <c r="I307" s="13">
        <v>1</v>
      </c>
      <c r="J307" s="13">
        <v>1</v>
      </c>
      <c r="K307" s="19">
        <v>11.5</v>
      </c>
    </row>
    <row r="308" spans="1:11" x14ac:dyDescent="0.25">
      <c r="A308" s="13">
        <v>307</v>
      </c>
      <c r="B308" s="14">
        <v>45937</v>
      </c>
      <c r="C308" s="13" t="str">
        <f t="shared" si="14"/>
        <v>Terça-Feira</v>
      </c>
      <c r="D308" s="20">
        <v>0.35625000000000001</v>
      </c>
      <c r="E308" s="13">
        <f t="shared" si="15"/>
        <v>307</v>
      </c>
      <c r="F308" s="13">
        <f t="shared" si="16"/>
        <v>307</v>
      </c>
      <c r="G308" s="13">
        <v>2</v>
      </c>
      <c r="H308" s="13">
        <v>1</v>
      </c>
      <c r="I308" s="13">
        <v>1</v>
      </c>
      <c r="J308" s="13">
        <v>1</v>
      </c>
      <c r="K308" s="19">
        <v>22.05</v>
      </c>
    </row>
    <row r="309" spans="1:11" x14ac:dyDescent="0.25">
      <c r="A309" s="13">
        <v>308</v>
      </c>
      <c r="B309" s="14">
        <v>45937</v>
      </c>
      <c r="C309" s="13" t="str">
        <f t="shared" si="14"/>
        <v>Terça-Feira</v>
      </c>
      <c r="D309" s="20">
        <v>0.3833333333333333</v>
      </c>
      <c r="E309" s="13">
        <f t="shared" si="15"/>
        <v>308</v>
      </c>
      <c r="F309" s="13">
        <f t="shared" si="16"/>
        <v>308</v>
      </c>
      <c r="G309" s="13">
        <v>2</v>
      </c>
      <c r="H309" s="13">
        <v>1</v>
      </c>
      <c r="I309" s="13">
        <v>1</v>
      </c>
      <c r="J309" s="13">
        <v>1</v>
      </c>
      <c r="K309" s="19">
        <v>19.2</v>
      </c>
    </row>
    <row r="310" spans="1:11" x14ac:dyDescent="0.25">
      <c r="A310" s="13">
        <v>309</v>
      </c>
      <c r="B310" s="14">
        <v>45938</v>
      </c>
      <c r="C310" s="13" t="str">
        <f t="shared" si="14"/>
        <v>Quarta-Feira</v>
      </c>
      <c r="D310" s="20">
        <v>0.22222222222222221</v>
      </c>
      <c r="E310" s="13">
        <f t="shared" si="15"/>
        <v>309</v>
      </c>
      <c r="F310" s="13">
        <f t="shared" si="16"/>
        <v>309</v>
      </c>
      <c r="G310" s="13">
        <v>2</v>
      </c>
      <c r="H310" s="13">
        <v>1</v>
      </c>
      <c r="I310" s="13">
        <v>1</v>
      </c>
      <c r="J310" s="13">
        <v>1</v>
      </c>
      <c r="K310" s="19">
        <v>3.1</v>
      </c>
    </row>
    <row r="311" spans="1:11" x14ac:dyDescent="0.25">
      <c r="A311" s="13">
        <v>310</v>
      </c>
      <c r="B311" s="14">
        <v>45938</v>
      </c>
      <c r="C311" s="13" t="str">
        <f t="shared" si="14"/>
        <v>Quarta-Feira</v>
      </c>
      <c r="D311" s="20">
        <v>0.22569444444444445</v>
      </c>
      <c r="E311" s="13">
        <f t="shared" si="15"/>
        <v>310</v>
      </c>
      <c r="F311" s="13">
        <f t="shared" si="16"/>
        <v>310</v>
      </c>
      <c r="G311" s="13">
        <v>2</v>
      </c>
      <c r="H311" s="13">
        <v>1</v>
      </c>
      <c r="I311" s="13">
        <v>1</v>
      </c>
      <c r="J311" s="13">
        <v>1</v>
      </c>
      <c r="K311" s="19">
        <v>4.05</v>
      </c>
    </row>
    <row r="312" spans="1:11" x14ac:dyDescent="0.25">
      <c r="A312" s="13">
        <v>311</v>
      </c>
      <c r="B312" s="14">
        <v>45938</v>
      </c>
      <c r="C312" s="13" t="str">
        <f t="shared" si="14"/>
        <v>Quarta-Feira</v>
      </c>
      <c r="D312" s="20">
        <v>0.23194444444444443</v>
      </c>
      <c r="E312" s="13">
        <f t="shared" si="15"/>
        <v>311</v>
      </c>
      <c r="F312" s="13">
        <f t="shared" si="16"/>
        <v>311</v>
      </c>
      <c r="G312" s="13">
        <v>2</v>
      </c>
      <c r="H312" s="13">
        <v>1</v>
      </c>
      <c r="I312" s="13">
        <v>1</v>
      </c>
      <c r="J312" s="13">
        <v>1</v>
      </c>
      <c r="K312" s="19">
        <v>12.5</v>
      </c>
    </row>
    <row r="313" spans="1:11" x14ac:dyDescent="0.25">
      <c r="A313" s="13">
        <v>312</v>
      </c>
      <c r="B313" s="14">
        <v>45938</v>
      </c>
      <c r="C313" s="13" t="str">
        <f t="shared" si="14"/>
        <v>Quarta-Feira</v>
      </c>
      <c r="D313" s="20">
        <v>0.24930555555555556</v>
      </c>
      <c r="E313" s="13">
        <f t="shared" si="15"/>
        <v>312</v>
      </c>
      <c r="F313" s="13">
        <f t="shared" si="16"/>
        <v>312</v>
      </c>
      <c r="G313" s="13">
        <v>2</v>
      </c>
      <c r="H313" s="13">
        <v>1</v>
      </c>
      <c r="I313" s="13">
        <v>1</v>
      </c>
      <c r="J313" s="13">
        <v>1</v>
      </c>
      <c r="K313" s="19">
        <v>58.3</v>
      </c>
    </row>
    <row r="314" spans="1:11" x14ac:dyDescent="0.25">
      <c r="A314" s="13">
        <v>313</v>
      </c>
      <c r="B314" s="14">
        <v>45938</v>
      </c>
      <c r="C314" s="13" t="str">
        <f t="shared" si="14"/>
        <v>Quarta-Feira</v>
      </c>
      <c r="D314" s="20">
        <v>0.28819444444444448</v>
      </c>
      <c r="E314" s="13">
        <f t="shared" si="15"/>
        <v>313</v>
      </c>
      <c r="F314" s="13">
        <f t="shared" si="16"/>
        <v>313</v>
      </c>
      <c r="G314" s="13">
        <v>2</v>
      </c>
      <c r="H314" s="13">
        <v>1</v>
      </c>
      <c r="I314" s="13">
        <v>1</v>
      </c>
      <c r="J314" s="13">
        <v>1</v>
      </c>
      <c r="K314" s="19">
        <v>13.2</v>
      </c>
    </row>
    <row r="315" spans="1:11" x14ac:dyDescent="0.25">
      <c r="A315" s="13">
        <v>314</v>
      </c>
      <c r="B315" s="14">
        <v>45938</v>
      </c>
      <c r="C315" s="13" t="str">
        <f t="shared" si="14"/>
        <v>Quarta-Feira</v>
      </c>
      <c r="D315" s="20">
        <v>0.2986111111111111</v>
      </c>
      <c r="E315" s="13">
        <f t="shared" si="15"/>
        <v>314</v>
      </c>
      <c r="F315" s="13">
        <f t="shared" si="16"/>
        <v>314</v>
      </c>
      <c r="G315" s="13">
        <v>2</v>
      </c>
      <c r="H315" s="13">
        <v>1</v>
      </c>
      <c r="I315" s="13">
        <v>1</v>
      </c>
      <c r="J315" s="13">
        <v>1</v>
      </c>
      <c r="K315" s="19">
        <v>33.51</v>
      </c>
    </row>
    <row r="316" spans="1:11" x14ac:dyDescent="0.25">
      <c r="A316" s="13">
        <v>315</v>
      </c>
      <c r="B316" s="14">
        <v>45938</v>
      </c>
      <c r="C316" s="13" t="str">
        <f t="shared" si="14"/>
        <v>Quarta-Feira</v>
      </c>
      <c r="D316" s="20">
        <v>0.33402777777777781</v>
      </c>
      <c r="E316" s="13">
        <f t="shared" si="15"/>
        <v>315</v>
      </c>
      <c r="F316" s="13">
        <f t="shared" si="16"/>
        <v>315</v>
      </c>
      <c r="G316" s="13">
        <v>2</v>
      </c>
      <c r="H316" s="13">
        <v>1</v>
      </c>
      <c r="I316" s="13">
        <v>1</v>
      </c>
      <c r="J316" s="13">
        <v>1</v>
      </c>
      <c r="K316" s="19">
        <v>10.1</v>
      </c>
    </row>
    <row r="317" spans="1:11" x14ac:dyDescent="0.25">
      <c r="A317" s="13">
        <v>316</v>
      </c>
      <c r="B317" s="14">
        <v>45938</v>
      </c>
      <c r="C317" s="13" t="str">
        <f t="shared" si="14"/>
        <v>Quarta-Feira</v>
      </c>
      <c r="D317" s="20">
        <v>0.3444444444444445</v>
      </c>
      <c r="E317" s="13">
        <f t="shared" si="15"/>
        <v>316</v>
      </c>
      <c r="F317" s="13">
        <f t="shared" si="16"/>
        <v>316</v>
      </c>
      <c r="G317" s="13">
        <v>2</v>
      </c>
      <c r="H317" s="13">
        <v>1</v>
      </c>
      <c r="I317" s="13">
        <v>1</v>
      </c>
      <c r="J317" s="13">
        <v>1</v>
      </c>
      <c r="K317" s="19">
        <v>23.45</v>
      </c>
    </row>
    <row r="318" spans="1:11" x14ac:dyDescent="0.25">
      <c r="A318" s="13">
        <v>317</v>
      </c>
      <c r="B318" s="14">
        <v>45938</v>
      </c>
      <c r="C318" s="13" t="str">
        <f t="shared" si="14"/>
        <v>Quarta-Feira</v>
      </c>
      <c r="D318" s="20">
        <v>0.36736111111111108</v>
      </c>
      <c r="E318" s="13">
        <f t="shared" si="15"/>
        <v>317</v>
      </c>
      <c r="F318" s="13">
        <f t="shared" si="16"/>
        <v>317</v>
      </c>
      <c r="G318" s="13">
        <v>2</v>
      </c>
      <c r="H318" s="13">
        <v>1</v>
      </c>
      <c r="I318" s="13">
        <v>1</v>
      </c>
      <c r="J318" s="13">
        <v>1</v>
      </c>
      <c r="K318" s="19">
        <v>14.2</v>
      </c>
    </row>
    <row r="319" spans="1:11" x14ac:dyDescent="0.25">
      <c r="A319" s="13">
        <v>318</v>
      </c>
      <c r="B319" s="14">
        <v>45938</v>
      </c>
      <c r="C319" s="13" t="str">
        <f t="shared" si="14"/>
        <v>Quarta-Feira</v>
      </c>
      <c r="D319" s="20">
        <v>0.38472222222222219</v>
      </c>
      <c r="E319" s="13">
        <f t="shared" si="15"/>
        <v>318</v>
      </c>
      <c r="F319" s="13">
        <f t="shared" si="16"/>
        <v>318</v>
      </c>
      <c r="G319" s="13">
        <v>2</v>
      </c>
      <c r="H319" s="13">
        <v>1</v>
      </c>
      <c r="I319" s="13">
        <v>1</v>
      </c>
      <c r="J319" s="13">
        <v>1</v>
      </c>
      <c r="K319" s="19">
        <v>125</v>
      </c>
    </row>
    <row r="320" spans="1:11" x14ac:dyDescent="0.25">
      <c r="A320" s="13">
        <v>319</v>
      </c>
      <c r="B320" s="14">
        <v>45938</v>
      </c>
      <c r="C320" s="13" t="str">
        <f t="shared" si="14"/>
        <v>Quarta-Feira</v>
      </c>
      <c r="D320" s="20">
        <v>0.47847222222222219</v>
      </c>
      <c r="E320" s="13">
        <f t="shared" si="15"/>
        <v>319</v>
      </c>
      <c r="F320" s="13">
        <f t="shared" si="16"/>
        <v>319</v>
      </c>
      <c r="G320" s="13">
        <v>2</v>
      </c>
      <c r="H320" s="13">
        <v>1</v>
      </c>
      <c r="I320" s="13">
        <v>1</v>
      </c>
      <c r="J320" s="13">
        <v>1</v>
      </c>
      <c r="K320" s="19">
        <v>46.9</v>
      </c>
    </row>
    <row r="321" spans="1:6" x14ac:dyDescent="0.25">
      <c r="A321" s="13">
        <v>320</v>
      </c>
      <c r="C321" s="13" t="str">
        <f t="shared" si="14"/>
        <v>Sábado</v>
      </c>
      <c r="E321" s="13">
        <f t="shared" si="15"/>
        <v>320</v>
      </c>
      <c r="F321" s="13">
        <f t="shared" si="16"/>
        <v>320</v>
      </c>
    </row>
  </sheetData>
  <autoFilter ref="A1:K201" xr:uid="{3EEA8A6B-8BE4-4406-833E-B39BA3A5BFDC}">
    <sortState ref="A2:K211">
      <sortCondition ref="A1:A20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70F6-9341-400E-AD11-880978F9790F}">
  <dimension ref="A1:G320"/>
  <sheetViews>
    <sheetView workbookViewId="0">
      <pane ySplit="1" topLeftCell="A310" activePane="bottomLeft" state="frozen"/>
      <selection pane="bottomLeft" activeCell="G320" sqref="G320"/>
    </sheetView>
  </sheetViews>
  <sheetFormatPr defaultRowHeight="15" x14ac:dyDescent="0.25"/>
  <cols>
    <col min="1" max="1" width="8.28515625" style="1" bestFit="1" customWidth="1"/>
    <col min="2" max="2" width="19.140625" style="1" bestFit="1" customWidth="1"/>
    <col min="3" max="3" width="16.140625" style="1" bestFit="1" customWidth="1"/>
    <col min="4" max="4" width="22.42578125" style="1" bestFit="1" customWidth="1"/>
    <col min="5" max="5" width="19.42578125" style="1" bestFit="1" customWidth="1"/>
    <col min="6" max="6" width="21.5703125" style="18" bestFit="1" customWidth="1"/>
    <col min="7" max="7" width="23.85546875" style="1" bestFit="1" customWidth="1"/>
    <col min="8" max="16384" width="9.140625" style="1"/>
  </cols>
  <sheetData>
    <row r="1" spans="1:7" s="10" customFormat="1" ht="15.75" customHeight="1" x14ac:dyDescent="0.25">
      <c r="A1" s="11" t="s">
        <v>4</v>
      </c>
      <c r="B1" s="11" t="s">
        <v>11</v>
      </c>
      <c r="C1" s="11" t="s">
        <v>12</v>
      </c>
      <c r="D1" s="11" t="s">
        <v>13</v>
      </c>
      <c r="E1" s="11" t="s">
        <v>14</v>
      </c>
      <c r="F1" s="12" t="s">
        <v>15</v>
      </c>
      <c r="G1" s="10" t="s">
        <v>16</v>
      </c>
    </row>
    <row r="2" spans="1:7" x14ac:dyDescent="0.25">
      <c r="A2" s="13">
        <v>1</v>
      </c>
      <c r="B2" s="1" t="s">
        <v>44</v>
      </c>
      <c r="C2" s="1" t="s">
        <v>46</v>
      </c>
      <c r="D2" s="1" t="s">
        <v>44</v>
      </c>
      <c r="E2" s="1" t="s">
        <v>46</v>
      </c>
      <c r="F2" s="18">
        <v>1.5</v>
      </c>
      <c r="G2" s="1">
        <f ca="1">CHOOSE(RANDBETWEEN(1,4),0.5,1,1.5,2)</f>
        <v>1</v>
      </c>
    </row>
    <row r="3" spans="1:7" x14ac:dyDescent="0.25">
      <c r="A3" s="13">
        <v>2</v>
      </c>
      <c r="B3" s="1" t="s">
        <v>47</v>
      </c>
      <c r="C3" s="1" t="s">
        <v>48</v>
      </c>
      <c r="D3" s="1" t="s">
        <v>47</v>
      </c>
      <c r="E3" s="1" t="s">
        <v>49</v>
      </c>
      <c r="F3" s="18">
        <v>2.6</v>
      </c>
      <c r="G3" s="1">
        <f t="shared" ref="G3:G66" ca="1" si="0">CHOOSE(RANDBETWEEN(1,4),0.5,1,1.5,2)</f>
        <v>0.5</v>
      </c>
    </row>
    <row r="4" spans="1:7" x14ac:dyDescent="0.25">
      <c r="A4" s="13">
        <v>3</v>
      </c>
      <c r="B4" s="1" t="s">
        <v>47</v>
      </c>
      <c r="C4" s="1" t="s">
        <v>50</v>
      </c>
      <c r="D4" s="1" t="s">
        <v>47</v>
      </c>
      <c r="E4" s="1" t="s">
        <v>50</v>
      </c>
      <c r="F4" s="18">
        <v>2.2999999999999998</v>
      </c>
      <c r="G4" s="1">
        <f t="shared" ca="1" si="0"/>
        <v>1</v>
      </c>
    </row>
    <row r="5" spans="1:7" x14ac:dyDescent="0.25">
      <c r="A5" s="13">
        <v>4</v>
      </c>
      <c r="B5" s="1" t="s">
        <v>47</v>
      </c>
      <c r="C5" s="1" t="s">
        <v>51</v>
      </c>
      <c r="D5" s="1" t="s">
        <v>47</v>
      </c>
      <c r="E5" s="1" t="s">
        <v>52</v>
      </c>
      <c r="F5" s="18">
        <v>6</v>
      </c>
      <c r="G5" s="1">
        <f t="shared" ca="1" si="0"/>
        <v>0.5</v>
      </c>
    </row>
    <row r="6" spans="1:7" x14ac:dyDescent="0.25">
      <c r="A6" s="13">
        <v>5</v>
      </c>
      <c r="B6" s="1" t="s">
        <v>47</v>
      </c>
      <c r="C6" s="1" t="s">
        <v>51</v>
      </c>
      <c r="D6" s="1" t="s">
        <v>47</v>
      </c>
      <c r="E6" s="1" t="s">
        <v>46</v>
      </c>
      <c r="F6" s="18">
        <v>5.0999999999999996</v>
      </c>
      <c r="G6" s="1">
        <f t="shared" ca="1" si="0"/>
        <v>0.5</v>
      </c>
    </row>
    <row r="7" spans="1:7" x14ac:dyDescent="0.25">
      <c r="A7" s="13">
        <v>6</v>
      </c>
      <c r="B7" s="1">
        <v>0</v>
      </c>
      <c r="C7" s="1">
        <v>0</v>
      </c>
      <c r="D7" s="1">
        <v>0</v>
      </c>
      <c r="E7" s="1">
        <v>0</v>
      </c>
      <c r="F7" s="18">
        <v>0</v>
      </c>
      <c r="G7" s="1">
        <f t="shared" ca="1" si="0"/>
        <v>2</v>
      </c>
    </row>
    <row r="8" spans="1:7" x14ac:dyDescent="0.25">
      <c r="A8" s="13">
        <v>7</v>
      </c>
      <c r="B8" s="1" t="s">
        <v>47</v>
      </c>
      <c r="C8" s="1" t="s">
        <v>48</v>
      </c>
      <c r="D8" s="1" t="s">
        <v>47</v>
      </c>
      <c r="E8" s="1" t="s">
        <v>51</v>
      </c>
      <c r="F8" s="18">
        <v>3.5</v>
      </c>
      <c r="G8" s="1">
        <f t="shared" ca="1" si="0"/>
        <v>1.5</v>
      </c>
    </row>
    <row r="9" spans="1:7" x14ac:dyDescent="0.25">
      <c r="A9" s="13">
        <v>8</v>
      </c>
      <c r="B9" s="1">
        <v>0</v>
      </c>
      <c r="C9" s="1">
        <v>0</v>
      </c>
      <c r="D9" s="1">
        <v>0</v>
      </c>
      <c r="E9" s="1">
        <v>0</v>
      </c>
      <c r="F9" s="18">
        <v>0</v>
      </c>
      <c r="G9" s="1">
        <f t="shared" ca="1" si="0"/>
        <v>1</v>
      </c>
    </row>
    <row r="10" spans="1:7" x14ac:dyDescent="0.25">
      <c r="A10" s="13">
        <v>9</v>
      </c>
      <c r="B10" s="1" t="s">
        <v>47</v>
      </c>
      <c r="C10" s="1" t="s">
        <v>53</v>
      </c>
      <c r="D10" s="1" t="s">
        <v>47</v>
      </c>
      <c r="E10" s="1" t="s">
        <v>54</v>
      </c>
      <c r="F10" s="18">
        <v>5.0999999999999996</v>
      </c>
      <c r="G10" s="1">
        <f t="shared" ca="1" si="0"/>
        <v>1</v>
      </c>
    </row>
    <row r="11" spans="1:7" x14ac:dyDescent="0.25">
      <c r="A11" s="13">
        <v>10</v>
      </c>
      <c r="B11" s="1" t="s">
        <v>56</v>
      </c>
      <c r="C11" s="1" t="s">
        <v>57</v>
      </c>
      <c r="D11" s="1" t="s">
        <v>56</v>
      </c>
      <c r="E11" s="1" t="s">
        <v>46</v>
      </c>
      <c r="F11" s="18">
        <v>3.5</v>
      </c>
      <c r="G11" s="1">
        <f t="shared" ca="1" si="0"/>
        <v>2</v>
      </c>
    </row>
    <row r="12" spans="1:7" x14ac:dyDescent="0.25">
      <c r="A12" s="13">
        <v>11</v>
      </c>
      <c r="B12" s="1">
        <v>0</v>
      </c>
      <c r="C12" s="1">
        <v>0</v>
      </c>
      <c r="D12" s="1">
        <v>0</v>
      </c>
      <c r="E12" s="1">
        <v>0</v>
      </c>
      <c r="F12" s="18">
        <v>0</v>
      </c>
      <c r="G12" s="1">
        <f t="shared" ca="1" si="0"/>
        <v>1.5</v>
      </c>
    </row>
    <row r="13" spans="1:7" x14ac:dyDescent="0.25">
      <c r="A13" s="13">
        <v>12</v>
      </c>
      <c r="B13" s="1" t="s">
        <v>47</v>
      </c>
      <c r="C13" s="1" t="s">
        <v>58</v>
      </c>
      <c r="D13" s="1" t="s">
        <v>47</v>
      </c>
      <c r="E13" s="1" t="s">
        <v>51</v>
      </c>
      <c r="F13" s="18">
        <v>2.8</v>
      </c>
      <c r="G13" s="1">
        <f t="shared" ca="1" si="0"/>
        <v>2</v>
      </c>
    </row>
    <row r="14" spans="1:7" x14ac:dyDescent="0.25">
      <c r="A14" s="13">
        <v>13</v>
      </c>
      <c r="B14" s="1" t="s">
        <v>47</v>
      </c>
      <c r="C14" s="1" t="s">
        <v>51</v>
      </c>
      <c r="D14" s="1" t="s">
        <v>47</v>
      </c>
      <c r="E14" s="1" t="s">
        <v>59</v>
      </c>
      <c r="F14" s="18">
        <v>2.8</v>
      </c>
      <c r="G14" s="1">
        <f t="shared" ca="1" si="0"/>
        <v>1.5</v>
      </c>
    </row>
    <row r="15" spans="1:7" x14ac:dyDescent="0.25">
      <c r="A15" s="13">
        <v>14</v>
      </c>
      <c r="B15" s="1" t="s">
        <v>47</v>
      </c>
      <c r="C15" s="1" t="s">
        <v>60</v>
      </c>
      <c r="D15" s="1" t="s">
        <v>44</v>
      </c>
      <c r="E15" s="1" t="s">
        <v>61</v>
      </c>
      <c r="F15" s="18">
        <v>17.100000000000001</v>
      </c>
      <c r="G15" s="1">
        <f t="shared" ca="1" si="0"/>
        <v>1</v>
      </c>
    </row>
    <row r="16" spans="1:7" x14ac:dyDescent="0.25">
      <c r="A16" s="13">
        <v>15</v>
      </c>
      <c r="B16" s="1" t="s">
        <v>44</v>
      </c>
      <c r="C16" s="1" t="s">
        <v>62</v>
      </c>
      <c r="D16" s="1" t="s">
        <v>47</v>
      </c>
      <c r="E16" s="1" t="s">
        <v>63</v>
      </c>
      <c r="F16" s="18">
        <v>8.6</v>
      </c>
      <c r="G16" s="1">
        <f t="shared" ca="1" si="0"/>
        <v>2</v>
      </c>
    </row>
    <row r="17" spans="1:7" x14ac:dyDescent="0.25">
      <c r="A17" s="13">
        <v>16</v>
      </c>
      <c r="B17" s="1" t="s">
        <v>47</v>
      </c>
      <c r="C17" s="1" t="s">
        <v>64</v>
      </c>
      <c r="D17" s="1" t="s">
        <v>47</v>
      </c>
      <c r="E17" s="1" t="s">
        <v>65</v>
      </c>
      <c r="F17" s="18">
        <v>1.9</v>
      </c>
      <c r="G17" s="1">
        <f t="shared" ca="1" si="0"/>
        <v>1</v>
      </c>
    </row>
    <row r="18" spans="1:7" x14ac:dyDescent="0.25">
      <c r="A18" s="13">
        <v>17</v>
      </c>
      <c r="B18" s="1" t="s">
        <v>47</v>
      </c>
      <c r="C18" s="1" t="s">
        <v>66</v>
      </c>
      <c r="D18" s="1" t="s">
        <v>47</v>
      </c>
      <c r="E18" s="1" t="s">
        <v>67</v>
      </c>
      <c r="F18" s="18">
        <v>3.1</v>
      </c>
      <c r="G18" s="1">
        <f t="shared" ca="1" si="0"/>
        <v>1.5</v>
      </c>
    </row>
    <row r="19" spans="1:7" x14ac:dyDescent="0.25">
      <c r="A19" s="13">
        <v>18</v>
      </c>
      <c r="B19" s="1">
        <v>0</v>
      </c>
      <c r="C19" s="1">
        <v>0</v>
      </c>
      <c r="D19" s="1">
        <v>0</v>
      </c>
      <c r="E19" s="1">
        <v>0</v>
      </c>
      <c r="F19" s="18">
        <v>0</v>
      </c>
      <c r="G19" s="1">
        <f t="shared" ca="1" si="0"/>
        <v>1</v>
      </c>
    </row>
    <row r="20" spans="1:7" x14ac:dyDescent="0.25">
      <c r="A20" s="13">
        <v>19</v>
      </c>
      <c r="B20" s="1" t="s">
        <v>47</v>
      </c>
      <c r="C20" s="1" t="s">
        <v>51</v>
      </c>
      <c r="D20" s="1" t="s">
        <v>47</v>
      </c>
      <c r="E20" s="1" t="s">
        <v>68</v>
      </c>
      <c r="F20" s="18">
        <v>13.2</v>
      </c>
      <c r="G20" s="1">
        <f t="shared" ca="1" si="0"/>
        <v>0.5</v>
      </c>
    </row>
    <row r="21" spans="1:7" x14ac:dyDescent="0.25">
      <c r="A21" s="13">
        <v>20</v>
      </c>
      <c r="B21" s="1" t="s">
        <v>47</v>
      </c>
      <c r="C21" s="1" t="s">
        <v>69</v>
      </c>
      <c r="D21" s="1" t="s">
        <v>47</v>
      </c>
      <c r="E21" s="1" t="s">
        <v>70</v>
      </c>
      <c r="F21" s="18">
        <v>2.4</v>
      </c>
      <c r="G21" s="1">
        <f t="shared" ca="1" si="0"/>
        <v>1</v>
      </c>
    </row>
    <row r="22" spans="1:7" x14ac:dyDescent="0.25">
      <c r="A22" s="13">
        <v>21</v>
      </c>
      <c r="B22" s="1" t="s">
        <v>47</v>
      </c>
      <c r="C22" s="1" t="s">
        <v>67</v>
      </c>
      <c r="D22" s="1" t="s">
        <v>47</v>
      </c>
      <c r="E22" s="1" t="s">
        <v>66</v>
      </c>
      <c r="F22" s="18">
        <v>1.5</v>
      </c>
      <c r="G22" s="1">
        <f t="shared" ca="1" si="0"/>
        <v>0.5</v>
      </c>
    </row>
    <row r="23" spans="1:7" x14ac:dyDescent="0.25">
      <c r="A23" s="13">
        <v>22</v>
      </c>
      <c r="B23" s="1" t="s">
        <v>47</v>
      </c>
      <c r="C23" s="1" t="s">
        <v>71</v>
      </c>
      <c r="D23" s="1" t="s">
        <v>47</v>
      </c>
      <c r="E23" s="1" t="s">
        <v>71</v>
      </c>
      <c r="F23" s="18">
        <v>0.5</v>
      </c>
      <c r="G23" s="1">
        <f t="shared" ca="1" si="0"/>
        <v>2</v>
      </c>
    </row>
    <row r="24" spans="1:7" x14ac:dyDescent="0.25">
      <c r="A24" s="13">
        <v>23</v>
      </c>
      <c r="B24" s="1" t="s">
        <v>47</v>
      </c>
      <c r="C24" s="1" t="s">
        <v>51</v>
      </c>
      <c r="D24" s="1" t="s">
        <v>47</v>
      </c>
      <c r="E24" s="1" t="s">
        <v>54</v>
      </c>
      <c r="F24" s="18">
        <v>2</v>
      </c>
      <c r="G24" s="1">
        <f t="shared" ca="1" si="0"/>
        <v>0.5</v>
      </c>
    </row>
    <row r="25" spans="1:7" x14ac:dyDescent="0.25">
      <c r="A25" s="13">
        <v>24</v>
      </c>
      <c r="B25" s="1" t="s">
        <v>44</v>
      </c>
      <c r="C25" s="1" t="s">
        <v>46</v>
      </c>
      <c r="D25" s="1" t="s">
        <v>44</v>
      </c>
      <c r="E25" s="1" t="s">
        <v>72</v>
      </c>
      <c r="F25" s="18">
        <v>4</v>
      </c>
      <c r="G25" s="1">
        <f t="shared" ca="1" si="0"/>
        <v>2</v>
      </c>
    </row>
    <row r="26" spans="1:7" x14ac:dyDescent="0.25">
      <c r="A26" s="13">
        <v>25</v>
      </c>
      <c r="B26" s="1" t="s">
        <v>47</v>
      </c>
      <c r="C26" s="1" t="s">
        <v>54</v>
      </c>
      <c r="D26" s="1" t="s">
        <v>47</v>
      </c>
      <c r="E26" s="1" t="s">
        <v>54</v>
      </c>
      <c r="F26" s="18">
        <v>2.4</v>
      </c>
      <c r="G26" s="1">
        <f t="shared" ca="1" si="0"/>
        <v>1.5</v>
      </c>
    </row>
    <row r="27" spans="1:7" x14ac:dyDescent="0.25">
      <c r="A27" s="13">
        <v>26</v>
      </c>
      <c r="B27" s="1" t="s">
        <v>47</v>
      </c>
      <c r="C27" s="1" t="s">
        <v>73</v>
      </c>
      <c r="D27" s="1" t="s">
        <v>44</v>
      </c>
      <c r="E27" s="1" t="s">
        <v>62</v>
      </c>
      <c r="F27" s="18">
        <v>19</v>
      </c>
      <c r="G27" s="1">
        <f t="shared" ca="1" si="0"/>
        <v>1</v>
      </c>
    </row>
    <row r="28" spans="1:7" x14ac:dyDescent="0.25">
      <c r="A28" s="13">
        <v>27</v>
      </c>
      <c r="B28" s="1" t="s">
        <v>44</v>
      </c>
      <c r="C28" s="1" t="s">
        <v>62</v>
      </c>
      <c r="D28" s="1" t="s">
        <v>44</v>
      </c>
      <c r="E28" s="1" t="s">
        <v>46</v>
      </c>
      <c r="F28" s="18">
        <v>4.0999999999999996</v>
      </c>
      <c r="G28" s="1">
        <f t="shared" ca="1" si="0"/>
        <v>2</v>
      </c>
    </row>
    <row r="29" spans="1:7" x14ac:dyDescent="0.25">
      <c r="A29" s="13">
        <v>28</v>
      </c>
      <c r="B29" s="1" t="s">
        <v>44</v>
      </c>
      <c r="C29" s="1" t="s">
        <v>46</v>
      </c>
      <c r="D29" s="1" t="s">
        <v>44</v>
      </c>
      <c r="E29" s="1" t="s">
        <v>74</v>
      </c>
      <c r="F29" s="18">
        <v>2.6</v>
      </c>
      <c r="G29" s="1">
        <f t="shared" ca="1" si="0"/>
        <v>1.5</v>
      </c>
    </row>
    <row r="30" spans="1:7" x14ac:dyDescent="0.25">
      <c r="A30" s="13">
        <v>29</v>
      </c>
      <c r="B30" s="1" t="s">
        <v>44</v>
      </c>
      <c r="C30" s="1" t="s">
        <v>74</v>
      </c>
      <c r="D30" s="1" t="s">
        <v>44</v>
      </c>
      <c r="E30" s="1" t="s">
        <v>46</v>
      </c>
      <c r="F30" s="18">
        <v>2.2000000000000002</v>
      </c>
      <c r="G30" s="1">
        <f t="shared" ca="1" si="0"/>
        <v>1</v>
      </c>
    </row>
    <row r="31" spans="1:7" x14ac:dyDescent="0.25">
      <c r="A31" s="13">
        <v>30</v>
      </c>
      <c r="B31" s="1" t="s">
        <v>47</v>
      </c>
      <c r="C31" s="1" t="s">
        <v>75</v>
      </c>
      <c r="D31" s="1" t="s">
        <v>47</v>
      </c>
      <c r="E31" s="1" t="s">
        <v>76</v>
      </c>
      <c r="F31" s="18">
        <v>2.2000000000000002</v>
      </c>
      <c r="G31" s="1">
        <f t="shared" ca="1" si="0"/>
        <v>1</v>
      </c>
    </row>
    <row r="32" spans="1:7" x14ac:dyDescent="0.25">
      <c r="A32" s="13">
        <v>31</v>
      </c>
      <c r="B32" s="1" t="s">
        <v>47</v>
      </c>
      <c r="C32" s="1" t="s">
        <v>77</v>
      </c>
      <c r="D32" s="1" t="s">
        <v>47</v>
      </c>
      <c r="E32" s="1" t="s">
        <v>78</v>
      </c>
      <c r="F32" s="18">
        <v>9.4</v>
      </c>
      <c r="G32" s="1">
        <f t="shared" ca="1" si="0"/>
        <v>1</v>
      </c>
    </row>
    <row r="33" spans="1:7" x14ac:dyDescent="0.25">
      <c r="A33" s="13">
        <v>32</v>
      </c>
      <c r="B33" s="1" t="s">
        <v>44</v>
      </c>
      <c r="C33" s="1" t="s">
        <v>74</v>
      </c>
      <c r="D33" s="1" t="s">
        <v>44</v>
      </c>
      <c r="E33" s="1" t="s">
        <v>79</v>
      </c>
      <c r="F33" s="18">
        <v>8.3000000000000007</v>
      </c>
      <c r="G33" s="1">
        <f t="shared" ca="1" si="0"/>
        <v>2</v>
      </c>
    </row>
    <row r="34" spans="1:7" x14ac:dyDescent="0.25">
      <c r="A34" s="13">
        <v>33</v>
      </c>
      <c r="B34" s="1" t="s">
        <v>44</v>
      </c>
      <c r="C34" s="1" t="s">
        <v>79</v>
      </c>
      <c r="D34" s="1" t="s">
        <v>44</v>
      </c>
      <c r="E34" s="1" t="s">
        <v>46</v>
      </c>
      <c r="F34" s="18">
        <v>6</v>
      </c>
      <c r="G34" s="1">
        <f t="shared" ca="1" si="0"/>
        <v>1</v>
      </c>
    </row>
    <row r="35" spans="1:7" x14ac:dyDescent="0.25">
      <c r="A35" s="13">
        <v>34</v>
      </c>
      <c r="B35" s="1" t="s">
        <v>44</v>
      </c>
      <c r="C35" s="1" t="s">
        <v>46</v>
      </c>
      <c r="D35" s="1" t="s">
        <v>44</v>
      </c>
      <c r="E35" s="1" t="s">
        <v>62</v>
      </c>
      <c r="F35" s="18">
        <v>4.0999999999999996</v>
      </c>
      <c r="G35" s="1">
        <f t="shared" ca="1" si="0"/>
        <v>0.5</v>
      </c>
    </row>
    <row r="36" spans="1:7" x14ac:dyDescent="0.25">
      <c r="A36" s="13">
        <v>35</v>
      </c>
      <c r="B36" s="1" t="s">
        <v>44</v>
      </c>
      <c r="C36" s="1" t="s">
        <v>62</v>
      </c>
      <c r="D36" s="1" t="s">
        <v>47</v>
      </c>
      <c r="E36" s="1" t="s">
        <v>73</v>
      </c>
      <c r="F36" s="18">
        <v>19.600000000000001</v>
      </c>
      <c r="G36" s="1">
        <f t="shared" ca="1" si="0"/>
        <v>1</v>
      </c>
    </row>
    <row r="37" spans="1:7" x14ac:dyDescent="0.25">
      <c r="A37" s="13">
        <v>36</v>
      </c>
      <c r="B37" s="1" t="s">
        <v>47</v>
      </c>
      <c r="C37" s="1" t="s">
        <v>48</v>
      </c>
      <c r="D37" s="1" t="s">
        <v>47</v>
      </c>
      <c r="E37" s="1" t="s">
        <v>46</v>
      </c>
      <c r="F37" s="18">
        <v>2.1</v>
      </c>
      <c r="G37" s="1">
        <f t="shared" ca="1" si="0"/>
        <v>1.5</v>
      </c>
    </row>
    <row r="38" spans="1:7" x14ac:dyDescent="0.25">
      <c r="A38" s="13">
        <v>37</v>
      </c>
      <c r="B38" s="1" t="s">
        <v>47</v>
      </c>
      <c r="C38" s="1" t="s">
        <v>48</v>
      </c>
      <c r="D38" s="1" t="s">
        <v>47</v>
      </c>
      <c r="E38" s="1" t="s">
        <v>80</v>
      </c>
      <c r="F38" s="18">
        <v>5.2</v>
      </c>
      <c r="G38" s="1">
        <f t="shared" ca="1" si="0"/>
        <v>1.5</v>
      </c>
    </row>
    <row r="39" spans="1:7" x14ac:dyDescent="0.25">
      <c r="A39" s="13">
        <v>38</v>
      </c>
      <c r="B39" s="1" t="s">
        <v>47</v>
      </c>
      <c r="C39" s="1" t="s">
        <v>81</v>
      </c>
      <c r="D39" s="1" t="s">
        <v>82</v>
      </c>
      <c r="E39" s="1" t="s">
        <v>83</v>
      </c>
      <c r="F39" s="18">
        <v>29</v>
      </c>
      <c r="G39" s="1">
        <f t="shared" ca="1" si="0"/>
        <v>1</v>
      </c>
    </row>
    <row r="40" spans="1:7" x14ac:dyDescent="0.25">
      <c r="A40" s="13">
        <v>39</v>
      </c>
      <c r="B40" s="1" t="s">
        <v>82</v>
      </c>
      <c r="C40" s="1" t="s">
        <v>83</v>
      </c>
      <c r="D40" s="1" t="s">
        <v>82</v>
      </c>
      <c r="E40" s="1" t="s">
        <v>84</v>
      </c>
      <c r="F40" s="18">
        <v>3.9</v>
      </c>
      <c r="G40" s="1">
        <f t="shared" ca="1" si="0"/>
        <v>1</v>
      </c>
    </row>
    <row r="41" spans="1:7" x14ac:dyDescent="0.25">
      <c r="A41" s="13">
        <v>40</v>
      </c>
      <c r="B41" s="1" t="s">
        <v>47</v>
      </c>
      <c r="C41" s="1" t="s">
        <v>85</v>
      </c>
      <c r="D41" s="1" t="s">
        <v>44</v>
      </c>
      <c r="E41" s="1" t="s">
        <v>74</v>
      </c>
      <c r="F41" s="18">
        <v>17.399999999999999</v>
      </c>
      <c r="G41" s="1">
        <f t="shared" ca="1" si="0"/>
        <v>2</v>
      </c>
    </row>
    <row r="42" spans="1:7" x14ac:dyDescent="0.25">
      <c r="A42" s="13">
        <v>41</v>
      </c>
      <c r="B42" s="1" t="s">
        <v>44</v>
      </c>
      <c r="C42" s="1" t="s">
        <v>74</v>
      </c>
      <c r="D42" s="1" t="s">
        <v>44</v>
      </c>
      <c r="E42" s="1" t="s">
        <v>86</v>
      </c>
      <c r="F42" s="18">
        <v>2.7</v>
      </c>
      <c r="G42" s="1">
        <f t="shared" ca="1" si="0"/>
        <v>2</v>
      </c>
    </row>
    <row r="43" spans="1:7" x14ac:dyDescent="0.25">
      <c r="A43" s="13">
        <v>42</v>
      </c>
      <c r="B43" s="1" t="s">
        <v>44</v>
      </c>
      <c r="C43" s="1" t="s">
        <v>46</v>
      </c>
      <c r="D43" s="1" t="s">
        <v>44</v>
      </c>
      <c r="E43" s="1" t="s">
        <v>46</v>
      </c>
      <c r="F43" s="18">
        <v>0</v>
      </c>
      <c r="G43" s="1">
        <f t="shared" ca="1" si="0"/>
        <v>0.5</v>
      </c>
    </row>
    <row r="44" spans="1:7" x14ac:dyDescent="0.25">
      <c r="A44" s="13">
        <v>43</v>
      </c>
      <c r="B44" s="1" t="s">
        <v>44</v>
      </c>
      <c r="C44" s="1" t="s">
        <v>46</v>
      </c>
      <c r="D44" s="1" t="s">
        <v>44</v>
      </c>
      <c r="E44" s="1" t="s">
        <v>87</v>
      </c>
      <c r="F44" s="18">
        <v>5.8</v>
      </c>
      <c r="G44" s="1">
        <f t="shared" ca="1" si="0"/>
        <v>2</v>
      </c>
    </row>
    <row r="45" spans="1:7" x14ac:dyDescent="0.25">
      <c r="A45" s="13">
        <v>44</v>
      </c>
      <c r="B45" s="1" t="s">
        <v>44</v>
      </c>
      <c r="C45" s="1" t="s">
        <v>46</v>
      </c>
      <c r="D45" s="1" t="s">
        <v>44</v>
      </c>
      <c r="E45" s="1" t="s">
        <v>91</v>
      </c>
      <c r="F45" s="18">
        <v>4.8</v>
      </c>
      <c r="G45" s="1">
        <f t="shared" ca="1" si="0"/>
        <v>1</v>
      </c>
    </row>
    <row r="46" spans="1:7" x14ac:dyDescent="0.25">
      <c r="A46" s="13">
        <v>45</v>
      </c>
      <c r="B46" s="1" t="s">
        <v>44</v>
      </c>
      <c r="C46" s="1" t="s">
        <v>79</v>
      </c>
      <c r="D46" s="1" t="s">
        <v>44</v>
      </c>
      <c r="E46" s="1" t="s">
        <v>91</v>
      </c>
      <c r="F46" s="18">
        <v>2.7</v>
      </c>
      <c r="G46" s="1">
        <f t="shared" ca="1" si="0"/>
        <v>2</v>
      </c>
    </row>
    <row r="47" spans="1:7" x14ac:dyDescent="0.25">
      <c r="A47" s="13">
        <v>46</v>
      </c>
      <c r="B47" s="1" t="s">
        <v>44</v>
      </c>
      <c r="C47" s="1" t="s">
        <v>62</v>
      </c>
      <c r="D47" s="1" t="s">
        <v>47</v>
      </c>
      <c r="E47" s="1" t="s">
        <v>68</v>
      </c>
      <c r="F47" s="18">
        <v>6.3</v>
      </c>
      <c r="G47" s="1">
        <f t="shared" ca="1" si="0"/>
        <v>1.5</v>
      </c>
    </row>
    <row r="48" spans="1:7" x14ac:dyDescent="0.25">
      <c r="A48" s="13">
        <v>47</v>
      </c>
      <c r="B48" s="1" t="s">
        <v>47</v>
      </c>
      <c r="C48" s="1" t="s">
        <v>58</v>
      </c>
      <c r="D48" s="1" t="s">
        <v>47</v>
      </c>
      <c r="E48" s="1" t="s">
        <v>54</v>
      </c>
      <c r="F48" s="18">
        <v>2.9</v>
      </c>
      <c r="G48" s="1">
        <f t="shared" ca="1" si="0"/>
        <v>1.5</v>
      </c>
    </row>
    <row r="49" spans="1:7" x14ac:dyDescent="0.25">
      <c r="A49" s="13">
        <v>48</v>
      </c>
      <c r="B49" s="1" t="s">
        <v>47</v>
      </c>
      <c r="C49" s="1" t="s">
        <v>92</v>
      </c>
      <c r="D49" s="1" t="s">
        <v>44</v>
      </c>
      <c r="E49" s="1" t="s">
        <v>93</v>
      </c>
      <c r="F49" s="18">
        <v>21.1</v>
      </c>
      <c r="G49" s="1">
        <f t="shared" ca="1" si="0"/>
        <v>0.5</v>
      </c>
    </row>
    <row r="50" spans="1:7" x14ac:dyDescent="0.25">
      <c r="A50" s="13">
        <v>49</v>
      </c>
      <c r="B50" s="1" t="s">
        <v>44</v>
      </c>
      <c r="C50" s="1" t="s">
        <v>94</v>
      </c>
      <c r="D50" s="1" t="s">
        <v>44</v>
      </c>
      <c r="E50" s="1" t="s">
        <v>95</v>
      </c>
      <c r="F50" s="18">
        <v>3.7</v>
      </c>
      <c r="G50" s="1">
        <f t="shared" ca="1" si="0"/>
        <v>2</v>
      </c>
    </row>
    <row r="51" spans="1:7" x14ac:dyDescent="0.25">
      <c r="A51" s="13">
        <v>50</v>
      </c>
      <c r="B51" s="1" t="s">
        <v>44</v>
      </c>
      <c r="C51" s="1" t="s">
        <v>95</v>
      </c>
      <c r="D51" s="1" t="s">
        <v>44</v>
      </c>
      <c r="E51" s="1" t="s">
        <v>95</v>
      </c>
      <c r="F51" s="18">
        <v>1.1000000000000001</v>
      </c>
      <c r="G51" s="1">
        <f t="shared" ca="1" si="0"/>
        <v>2</v>
      </c>
    </row>
    <row r="52" spans="1:7" x14ac:dyDescent="0.25">
      <c r="A52" s="13">
        <v>51</v>
      </c>
      <c r="B52" s="1" t="s">
        <v>44</v>
      </c>
      <c r="C52" s="1" t="s">
        <v>95</v>
      </c>
      <c r="D52" s="1" t="s">
        <v>44</v>
      </c>
      <c r="E52" s="1" t="s">
        <v>94</v>
      </c>
      <c r="F52" s="18">
        <v>5</v>
      </c>
      <c r="G52" s="1">
        <f t="shared" ca="1" si="0"/>
        <v>1</v>
      </c>
    </row>
    <row r="53" spans="1:7" x14ac:dyDescent="0.25">
      <c r="A53" s="13">
        <v>52</v>
      </c>
      <c r="B53" s="1" t="s">
        <v>44</v>
      </c>
      <c r="C53" s="1" t="s">
        <v>94</v>
      </c>
      <c r="D53" s="1" t="s">
        <v>44</v>
      </c>
      <c r="E53" s="1" t="s">
        <v>96</v>
      </c>
      <c r="F53" s="18">
        <v>6.7</v>
      </c>
      <c r="G53" s="1">
        <f t="shared" ca="1" si="0"/>
        <v>2</v>
      </c>
    </row>
    <row r="54" spans="1:7" x14ac:dyDescent="0.25">
      <c r="A54" s="13">
        <v>53</v>
      </c>
      <c r="B54" s="1" t="s">
        <v>44</v>
      </c>
      <c r="C54" s="1" t="s">
        <v>62</v>
      </c>
      <c r="D54" s="1" t="s">
        <v>47</v>
      </c>
      <c r="E54" s="1" t="s">
        <v>54</v>
      </c>
      <c r="F54" s="18">
        <v>14.8</v>
      </c>
      <c r="G54" s="1">
        <f t="shared" ca="1" si="0"/>
        <v>2</v>
      </c>
    </row>
    <row r="55" spans="1:7" x14ac:dyDescent="0.25">
      <c r="A55" s="13">
        <v>54</v>
      </c>
      <c r="B55" s="1" t="s">
        <v>47</v>
      </c>
      <c r="C55" s="1" t="s">
        <v>54</v>
      </c>
      <c r="D55" s="1" t="s">
        <v>47</v>
      </c>
      <c r="E55" s="1" t="s">
        <v>51</v>
      </c>
      <c r="F55" s="18">
        <v>3</v>
      </c>
      <c r="G55" s="1">
        <f t="shared" ca="1" si="0"/>
        <v>2</v>
      </c>
    </row>
    <row r="56" spans="1:7" x14ac:dyDescent="0.25">
      <c r="A56" s="13">
        <v>55</v>
      </c>
      <c r="B56" s="1" t="s">
        <v>47</v>
      </c>
      <c r="C56" s="1" t="s">
        <v>97</v>
      </c>
      <c r="D56" s="1" t="s">
        <v>44</v>
      </c>
      <c r="E56" s="1" t="s">
        <v>46</v>
      </c>
      <c r="F56" s="18">
        <v>13</v>
      </c>
      <c r="G56" s="1">
        <f t="shared" ca="1" si="0"/>
        <v>2</v>
      </c>
    </row>
    <row r="57" spans="1:7" x14ac:dyDescent="0.25">
      <c r="A57" s="13">
        <v>56</v>
      </c>
      <c r="B57" s="1" t="s">
        <v>44</v>
      </c>
      <c r="C57" s="1" t="s">
        <v>46</v>
      </c>
      <c r="D57" s="1" t="s">
        <v>44</v>
      </c>
      <c r="E57" s="1" t="s">
        <v>98</v>
      </c>
      <c r="F57" s="18">
        <v>1.1000000000000001</v>
      </c>
      <c r="G57" s="1">
        <f t="shared" ca="1" si="0"/>
        <v>0.5</v>
      </c>
    </row>
    <row r="58" spans="1:7" x14ac:dyDescent="0.25">
      <c r="A58" s="13">
        <v>57</v>
      </c>
      <c r="B58" s="1" t="s">
        <v>44</v>
      </c>
      <c r="C58" s="1" t="s">
        <v>98</v>
      </c>
      <c r="D58" s="1" t="s">
        <v>44</v>
      </c>
      <c r="E58" s="1" t="s">
        <v>46</v>
      </c>
      <c r="F58" s="18">
        <v>1.7</v>
      </c>
      <c r="G58" s="1">
        <f t="shared" ca="1" si="0"/>
        <v>2</v>
      </c>
    </row>
    <row r="59" spans="1:7" x14ac:dyDescent="0.25">
      <c r="A59" s="13">
        <v>58</v>
      </c>
      <c r="B59" s="1" t="s">
        <v>47</v>
      </c>
      <c r="C59" s="1" t="s">
        <v>81</v>
      </c>
      <c r="D59" s="1" t="s">
        <v>47</v>
      </c>
      <c r="E59" s="1" t="s">
        <v>76</v>
      </c>
      <c r="F59" s="18">
        <v>4.5</v>
      </c>
      <c r="G59" s="1">
        <f t="shared" ca="1" si="0"/>
        <v>2</v>
      </c>
    </row>
    <row r="60" spans="1:7" x14ac:dyDescent="0.25">
      <c r="A60" s="13">
        <v>59</v>
      </c>
      <c r="B60" s="1" t="s">
        <v>47</v>
      </c>
      <c r="C60" s="1" t="s">
        <v>99</v>
      </c>
      <c r="D60" s="1" t="s">
        <v>44</v>
      </c>
      <c r="E60" s="1" t="s">
        <v>74</v>
      </c>
      <c r="F60" s="18">
        <v>9</v>
      </c>
      <c r="G60" s="1">
        <f t="shared" ca="1" si="0"/>
        <v>1.5</v>
      </c>
    </row>
    <row r="61" spans="1:7" x14ac:dyDescent="0.25">
      <c r="A61" s="13">
        <v>60</v>
      </c>
      <c r="B61" s="1" t="s">
        <v>44</v>
      </c>
      <c r="C61" s="1" t="s">
        <v>100</v>
      </c>
      <c r="D61" s="1" t="s">
        <v>44</v>
      </c>
      <c r="E61" s="1" t="s">
        <v>100</v>
      </c>
      <c r="F61" s="18">
        <v>1.4</v>
      </c>
      <c r="G61" s="1">
        <f t="shared" ca="1" si="0"/>
        <v>2</v>
      </c>
    </row>
    <row r="62" spans="1:7" x14ac:dyDescent="0.25">
      <c r="A62" s="13">
        <v>61</v>
      </c>
      <c r="B62" s="1" t="s">
        <v>44</v>
      </c>
      <c r="C62" s="1" t="s">
        <v>100</v>
      </c>
      <c r="D62" s="1" t="s">
        <v>44</v>
      </c>
      <c r="E62" s="1" t="s">
        <v>62</v>
      </c>
      <c r="F62" s="18">
        <v>3.3</v>
      </c>
      <c r="G62" s="1">
        <f t="shared" ca="1" si="0"/>
        <v>1</v>
      </c>
    </row>
    <row r="63" spans="1:7" x14ac:dyDescent="0.25">
      <c r="A63" s="13">
        <v>62</v>
      </c>
      <c r="B63" s="1" t="s">
        <v>47</v>
      </c>
      <c r="C63" s="1" t="s">
        <v>54</v>
      </c>
      <c r="D63" s="1" t="s">
        <v>47</v>
      </c>
      <c r="E63" s="1" t="s">
        <v>101</v>
      </c>
      <c r="F63" s="18">
        <v>1.8</v>
      </c>
      <c r="G63" s="1">
        <f t="shared" ca="1" si="0"/>
        <v>1</v>
      </c>
    </row>
    <row r="64" spans="1:7" x14ac:dyDescent="0.25">
      <c r="A64" s="13">
        <v>63</v>
      </c>
      <c r="B64" s="1" t="s">
        <v>47</v>
      </c>
      <c r="C64" s="1" t="s">
        <v>51</v>
      </c>
      <c r="D64" s="1" t="s">
        <v>47</v>
      </c>
      <c r="E64" s="1" t="s">
        <v>51</v>
      </c>
      <c r="F64" s="18">
        <v>1.4</v>
      </c>
      <c r="G64" s="1">
        <f t="shared" ca="1" si="0"/>
        <v>0.5</v>
      </c>
    </row>
    <row r="65" spans="1:7" x14ac:dyDescent="0.25">
      <c r="A65" s="13">
        <v>64</v>
      </c>
      <c r="B65" s="1" t="s">
        <v>44</v>
      </c>
      <c r="C65" s="1" t="s">
        <v>62</v>
      </c>
      <c r="D65" s="1" t="s">
        <v>47</v>
      </c>
      <c r="E65" s="1" t="s">
        <v>102</v>
      </c>
      <c r="F65" s="18">
        <v>11.5</v>
      </c>
      <c r="G65" s="1">
        <f t="shared" ca="1" si="0"/>
        <v>1.5</v>
      </c>
    </row>
    <row r="66" spans="1:7" x14ac:dyDescent="0.25">
      <c r="A66" s="13">
        <v>65</v>
      </c>
      <c r="B66" s="1" t="s">
        <v>47</v>
      </c>
      <c r="C66" s="1" t="s">
        <v>103</v>
      </c>
      <c r="D66" s="1" t="s">
        <v>47</v>
      </c>
      <c r="E66" s="1" t="s">
        <v>77</v>
      </c>
      <c r="F66" s="18">
        <v>4.5999999999999996</v>
      </c>
      <c r="G66" s="1">
        <f t="shared" ca="1" si="0"/>
        <v>1</v>
      </c>
    </row>
    <row r="67" spans="1:7" x14ac:dyDescent="0.25">
      <c r="A67" s="13">
        <v>66</v>
      </c>
      <c r="B67" s="1" t="s">
        <v>47</v>
      </c>
      <c r="C67" s="1" t="s">
        <v>81</v>
      </c>
      <c r="D67" s="1" t="s">
        <v>47</v>
      </c>
      <c r="E67" s="1" t="s">
        <v>68</v>
      </c>
      <c r="F67" s="18">
        <v>3.1</v>
      </c>
      <c r="G67" s="1">
        <f t="shared" ref="G67:G130" ca="1" si="1">CHOOSE(RANDBETWEEN(1,4),0.5,1,1.5,2)</f>
        <v>1.5</v>
      </c>
    </row>
    <row r="68" spans="1:7" x14ac:dyDescent="0.25">
      <c r="A68" s="13">
        <v>67</v>
      </c>
      <c r="B68" s="1" t="s">
        <v>47</v>
      </c>
      <c r="C68" s="1" t="s">
        <v>68</v>
      </c>
      <c r="D68" s="1" t="s">
        <v>47</v>
      </c>
      <c r="E68" s="1" t="s">
        <v>54</v>
      </c>
      <c r="F68" s="18">
        <v>10.8</v>
      </c>
      <c r="G68" s="1">
        <f t="shared" ca="1" si="1"/>
        <v>0.5</v>
      </c>
    </row>
    <row r="69" spans="1:7" x14ac:dyDescent="0.25">
      <c r="A69" s="13">
        <v>68</v>
      </c>
      <c r="B69" s="1" t="s">
        <v>47</v>
      </c>
      <c r="C69" s="1" t="s">
        <v>51</v>
      </c>
      <c r="D69" s="1" t="s">
        <v>47</v>
      </c>
      <c r="E69" s="1" t="s">
        <v>46</v>
      </c>
      <c r="F69" s="18">
        <v>6.9</v>
      </c>
      <c r="G69" s="1">
        <f t="shared" ca="1" si="1"/>
        <v>1</v>
      </c>
    </row>
    <row r="70" spans="1:7" x14ac:dyDescent="0.25">
      <c r="A70" s="13">
        <v>69</v>
      </c>
      <c r="B70" s="1" t="s">
        <v>47</v>
      </c>
      <c r="C70" s="1" t="s">
        <v>104</v>
      </c>
      <c r="D70" s="1" t="s">
        <v>47</v>
      </c>
      <c r="E70" s="1" t="s">
        <v>71</v>
      </c>
      <c r="F70" s="18">
        <v>2.7</v>
      </c>
      <c r="G70" s="1">
        <f t="shared" ca="1" si="1"/>
        <v>1</v>
      </c>
    </row>
    <row r="71" spans="1:7" x14ac:dyDescent="0.25">
      <c r="A71" s="13">
        <v>70</v>
      </c>
      <c r="B71" s="1" t="s">
        <v>44</v>
      </c>
      <c r="C71" s="1" t="s">
        <v>94</v>
      </c>
      <c r="D71" s="1" t="s">
        <v>44</v>
      </c>
      <c r="E71" s="1" t="s">
        <v>94</v>
      </c>
      <c r="F71" s="18">
        <v>2.2999999999999998</v>
      </c>
      <c r="G71" s="1">
        <f t="shared" ca="1" si="1"/>
        <v>1.5</v>
      </c>
    </row>
    <row r="72" spans="1:7" x14ac:dyDescent="0.25">
      <c r="A72" s="13">
        <v>71</v>
      </c>
      <c r="B72" s="1" t="s">
        <v>44</v>
      </c>
      <c r="C72" s="1" t="s">
        <v>94</v>
      </c>
      <c r="D72" s="1" t="s">
        <v>44</v>
      </c>
      <c r="E72" s="1" t="s">
        <v>105</v>
      </c>
      <c r="F72" s="18">
        <v>6.6</v>
      </c>
      <c r="G72" s="1">
        <f t="shared" ca="1" si="1"/>
        <v>2</v>
      </c>
    </row>
    <row r="73" spans="1:7" x14ac:dyDescent="0.25">
      <c r="A73" s="13">
        <v>72</v>
      </c>
      <c r="B73" s="1" t="s">
        <v>44</v>
      </c>
      <c r="C73" s="1" t="s">
        <v>106</v>
      </c>
      <c r="D73" s="1" t="s">
        <v>44</v>
      </c>
      <c r="E73" s="1" t="s">
        <v>107</v>
      </c>
      <c r="F73" s="18">
        <v>1.6</v>
      </c>
      <c r="G73" s="1">
        <f t="shared" ca="1" si="1"/>
        <v>2</v>
      </c>
    </row>
    <row r="74" spans="1:7" x14ac:dyDescent="0.25">
      <c r="A74" s="13">
        <v>73</v>
      </c>
      <c r="B74" s="1">
        <v>0</v>
      </c>
      <c r="C74" s="1">
        <v>0</v>
      </c>
      <c r="D74" s="1">
        <v>0</v>
      </c>
      <c r="E74" s="1">
        <v>0</v>
      </c>
      <c r="F74" s="18">
        <v>0</v>
      </c>
      <c r="G74" s="1">
        <f t="shared" ca="1" si="1"/>
        <v>1.5</v>
      </c>
    </row>
    <row r="75" spans="1:7" x14ac:dyDescent="0.25">
      <c r="A75" s="13">
        <v>74</v>
      </c>
      <c r="B75" s="1" t="s">
        <v>44</v>
      </c>
      <c r="C75" s="1" t="s">
        <v>87</v>
      </c>
      <c r="D75" s="1" t="s">
        <v>44</v>
      </c>
      <c r="E75" s="1" t="s">
        <v>108</v>
      </c>
      <c r="F75" s="18">
        <v>3.9</v>
      </c>
      <c r="G75" s="1">
        <f t="shared" ca="1" si="1"/>
        <v>1</v>
      </c>
    </row>
    <row r="76" spans="1:7" x14ac:dyDescent="0.25">
      <c r="A76" s="13">
        <v>75</v>
      </c>
      <c r="B76" s="1" t="s">
        <v>47</v>
      </c>
      <c r="C76" s="1" t="s">
        <v>97</v>
      </c>
      <c r="D76" s="1" t="s">
        <v>47</v>
      </c>
      <c r="E76" s="1" t="s">
        <v>51</v>
      </c>
      <c r="F76" s="18">
        <v>8.5</v>
      </c>
      <c r="G76" s="1">
        <f t="shared" ca="1" si="1"/>
        <v>2</v>
      </c>
    </row>
    <row r="77" spans="1:7" x14ac:dyDescent="0.25">
      <c r="A77" s="13">
        <v>76</v>
      </c>
      <c r="B77" s="1" t="s">
        <v>47</v>
      </c>
      <c r="C77" s="1" t="s">
        <v>51</v>
      </c>
      <c r="D77" s="1" t="s">
        <v>47</v>
      </c>
      <c r="E77" s="1" t="s">
        <v>109</v>
      </c>
      <c r="F77" s="18">
        <v>3.7</v>
      </c>
      <c r="G77" s="1">
        <f t="shared" ca="1" si="1"/>
        <v>2</v>
      </c>
    </row>
    <row r="78" spans="1:7" x14ac:dyDescent="0.25">
      <c r="A78" s="13">
        <v>77</v>
      </c>
      <c r="B78" s="1" t="s">
        <v>47</v>
      </c>
      <c r="C78" s="1" t="s">
        <v>110</v>
      </c>
      <c r="D78" s="1" t="s">
        <v>47</v>
      </c>
      <c r="E78" s="1" t="s">
        <v>46</v>
      </c>
      <c r="F78" s="18">
        <v>9.1999999999999993</v>
      </c>
      <c r="G78" s="1">
        <f t="shared" ca="1" si="1"/>
        <v>0.5</v>
      </c>
    </row>
    <row r="79" spans="1:7" x14ac:dyDescent="0.25">
      <c r="A79" s="13">
        <v>78</v>
      </c>
      <c r="B79" s="1">
        <v>0</v>
      </c>
      <c r="C79" s="1">
        <v>0</v>
      </c>
      <c r="D79" s="1">
        <v>0</v>
      </c>
      <c r="E79" s="1">
        <v>0</v>
      </c>
      <c r="F79" s="18">
        <v>0</v>
      </c>
      <c r="G79" s="1">
        <f t="shared" ca="1" si="1"/>
        <v>1.5</v>
      </c>
    </row>
    <row r="80" spans="1:7" x14ac:dyDescent="0.25">
      <c r="A80" s="13">
        <v>79</v>
      </c>
      <c r="B80" s="1" t="s">
        <v>44</v>
      </c>
      <c r="C80" s="1" t="s">
        <v>46</v>
      </c>
      <c r="D80" s="1" t="s">
        <v>44</v>
      </c>
      <c r="E80" s="1" t="s">
        <v>98</v>
      </c>
      <c r="F80" s="18">
        <v>2.2999999999999998</v>
      </c>
      <c r="G80" s="1">
        <f t="shared" ca="1" si="1"/>
        <v>2</v>
      </c>
    </row>
    <row r="81" spans="1:7" x14ac:dyDescent="0.25">
      <c r="A81" s="13">
        <v>80</v>
      </c>
      <c r="B81" s="1" t="s">
        <v>44</v>
      </c>
      <c r="C81" s="1" t="s">
        <v>46</v>
      </c>
      <c r="D81" s="1" t="s">
        <v>44</v>
      </c>
      <c r="E81" s="1" t="s">
        <v>46</v>
      </c>
      <c r="F81" s="18">
        <v>1.4</v>
      </c>
      <c r="G81" s="1">
        <f t="shared" ca="1" si="1"/>
        <v>1.5</v>
      </c>
    </row>
    <row r="82" spans="1:7" x14ac:dyDescent="0.25">
      <c r="A82" s="13">
        <v>81</v>
      </c>
      <c r="B82" s="1" t="s">
        <v>47</v>
      </c>
      <c r="C82" s="1" t="s">
        <v>111</v>
      </c>
      <c r="D82" s="1" t="s">
        <v>44</v>
      </c>
      <c r="E82" s="1" t="s">
        <v>74</v>
      </c>
      <c r="F82" s="18">
        <v>17.27</v>
      </c>
      <c r="G82" s="1">
        <f t="shared" ca="1" si="1"/>
        <v>2</v>
      </c>
    </row>
    <row r="83" spans="1:7" x14ac:dyDescent="0.25">
      <c r="A83" s="13">
        <v>82</v>
      </c>
      <c r="B83" s="1" t="s">
        <v>44</v>
      </c>
      <c r="C83" s="1" t="s">
        <v>74</v>
      </c>
      <c r="D83" s="1" t="s">
        <v>44</v>
      </c>
      <c r="E83" s="1" t="s">
        <v>46</v>
      </c>
      <c r="F83" s="18">
        <v>2.95</v>
      </c>
      <c r="G83" s="1">
        <f t="shared" ca="1" si="1"/>
        <v>0.5</v>
      </c>
    </row>
    <row r="84" spans="1:7" x14ac:dyDescent="0.25">
      <c r="A84" s="13">
        <v>83</v>
      </c>
      <c r="B84" s="1" t="s">
        <v>44</v>
      </c>
      <c r="C84" s="1" t="s">
        <v>112</v>
      </c>
      <c r="D84" s="1" t="s">
        <v>44</v>
      </c>
      <c r="E84" s="1" t="s">
        <v>113</v>
      </c>
      <c r="F84" s="18">
        <v>0.94</v>
      </c>
      <c r="G84" s="1">
        <f t="shared" ca="1" si="1"/>
        <v>2</v>
      </c>
    </row>
    <row r="85" spans="1:7" x14ac:dyDescent="0.25">
      <c r="A85" s="13">
        <v>84</v>
      </c>
      <c r="B85" s="1" t="s">
        <v>44</v>
      </c>
      <c r="C85" s="1" t="s">
        <v>46</v>
      </c>
      <c r="D85" s="1" t="s">
        <v>44</v>
      </c>
      <c r="E85" s="1" t="s">
        <v>46</v>
      </c>
      <c r="F85" s="18">
        <v>2.2599999999999998</v>
      </c>
      <c r="G85" s="1">
        <f t="shared" ca="1" si="1"/>
        <v>2</v>
      </c>
    </row>
    <row r="86" spans="1:7" x14ac:dyDescent="0.25">
      <c r="A86" s="13">
        <v>85</v>
      </c>
      <c r="B86" s="1" t="s">
        <v>44</v>
      </c>
      <c r="C86" s="1" t="s">
        <v>46</v>
      </c>
      <c r="D86" s="1" t="s">
        <v>44</v>
      </c>
      <c r="E86" s="1" t="s">
        <v>74</v>
      </c>
      <c r="F86" s="18">
        <v>3.92</v>
      </c>
      <c r="G86" s="1">
        <f t="shared" ca="1" si="1"/>
        <v>1</v>
      </c>
    </row>
    <row r="87" spans="1:7" x14ac:dyDescent="0.25">
      <c r="A87" s="13">
        <v>86</v>
      </c>
      <c r="B87" s="1" t="s">
        <v>44</v>
      </c>
      <c r="C87" s="1" t="s">
        <v>74</v>
      </c>
      <c r="D87" s="1" t="s">
        <v>44</v>
      </c>
      <c r="E87" s="1" t="s">
        <v>114</v>
      </c>
      <c r="F87" s="18">
        <v>4.57</v>
      </c>
      <c r="G87" s="1">
        <f t="shared" ca="1" si="1"/>
        <v>2</v>
      </c>
    </row>
    <row r="88" spans="1:7" x14ac:dyDescent="0.25">
      <c r="A88" s="13">
        <v>87</v>
      </c>
      <c r="B88" s="1" t="s">
        <v>44</v>
      </c>
      <c r="C88" s="1" t="s">
        <v>114</v>
      </c>
      <c r="D88" s="1" t="s">
        <v>44</v>
      </c>
      <c r="E88" s="1" t="s">
        <v>74</v>
      </c>
      <c r="F88" s="18">
        <v>3.41</v>
      </c>
      <c r="G88" s="1">
        <f t="shared" ca="1" si="1"/>
        <v>1.5</v>
      </c>
    </row>
    <row r="89" spans="1:7" x14ac:dyDescent="0.25">
      <c r="A89" s="13">
        <v>88</v>
      </c>
      <c r="B89" s="1" t="s">
        <v>44</v>
      </c>
      <c r="C89" s="1" t="s">
        <v>74</v>
      </c>
      <c r="D89" s="1" t="s">
        <v>44</v>
      </c>
      <c r="E89" s="1" t="s">
        <v>115</v>
      </c>
      <c r="F89" s="18">
        <v>2.23</v>
      </c>
      <c r="G89" s="1">
        <f t="shared" ca="1" si="1"/>
        <v>0.5</v>
      </c>
    </row>
    <row r="90" spans="1:7" x14ac:dyDescent="0.25">
      <c r="A90" s="13">
        <v>89</v>
      </c>
      <c r="B90" s="1" t="s">
        <v>44</v>
      </c>
      <c r="C90" s="1" t="s">
        <v>74</v>
      </c>
      <c r="D90" s="1" t="s">
        <v>47</v>
      </c>
      <c r="E90" s="1" t="s">
        <v>53</v>
      </c>
      <c r="F90" s="18">
        <v>10.95</v>
      </c>
      <c r="G90" s="1">
        <f t="shared" ca="1" si="1"/>
        <v>1</v>
      </c>
    </row>
    <row r="91" spans="1:7" x14ac:dyDescent="0.25">
      <c r="A91" s="13">
        <v>90</v>
      </c>
      <c r="B91" s="1" t="s">
        <v>44</v>
      </c>
      <c r="C91" s="1" t="s">
        <v>115</v>
      </c>
      <c r="D91" s="1" t="s">
        <v>47</v>
      </c>
      <c r="E91" s="1" t="s">
        <v>53</v>
      </c>
      <c r="F91" s="18">
        <v>5.37</v>
      </c>
      <c r="G91" s="1">
        <f t="shared" ca="1" si="1"/>
        <v>2</v>
      </c>
    </row>
    <row r="92" spans="1:7" x14ac:dyDescent="0.25">
      <c r="A92" s="13">
        <v>91</v>
      </c>
      <c r="B92" s="1" t="s">
        <v>47</v>
      </c>
      <c r="C92" s="1" t="s">
        <v>53</v>
      </c>
      <c r="D92" s="1" t="s">
        <v>44</v>
      </c>
      <c r="E92" s="1" t="s">
        <v>116</v>
      </c>
      <c r="F92" s="18">
        <v>9.15</v>
      </c>
      <c r="G92" s="1">
        <f t="shared" ca="1" si="1"/>
        <v>0.5</v>
      </c>
    </row>
    <row r="93" spans="1:7" x14ac:dyDescent="0.25">
      <c r="A93" s="13">
        <v>92</v>
      </c>
      <c r="B93" s="1" t="s">
        <v>44</v>
      </c>
      <c r="C93" s="1" t="s">
        <v>62</v>
      </c>
      <c r="D93" s="1" t="s">
        <v>44</v>
      </c>
      <c r="E93" s="1" t="s">
        <v>79</v>
      </c>
      <c r="F93" s="18">
        <v>2.46</v>
      </c>
      <c r="G93" s="1">
        <f t="shared" ca="1" si="1"/>
        <v>1.5</v>
      </c>
    </row>
    <row r="94" spans="1:7" x14ac:dyDescent="0.25">
      <c r="A94" s="13">
        <v>93</v>
      </c>
      <c r="B94" s="1" t="s">
        <v>44</v>
      </c>
      <c r="C94" s="1" t="s">
        <v>79</v>
      </c>
      <c r="D94" s="1" t="s">
        <v>47</v>
      </c>
      <c r="E94" s="1" t="s">
        <v>109</v>
      </c>
      <c r="F94" s="18">
        <v>20.61</v>
      </c>
      <c r="G94" s="1">
        <f t="shared" ca="1" si="1"/>
        <v>2</v>
      </c>
    </row>
    <row r="95" spans="1:7" x14ac:dyDescent="0.25">
      <c r="A95" s="13">
        <v>94</v>
      </c>
      <c r="B95" s="1" t="s">
        <v>47</v>
      </c>
      <c r="C95" s="1" t="s">
        <v>109</v>
      </c>
      <c r="D95" s="1" t="s">
        <v>47</v>
      </c>
      <c r="E95" s="1" t="s">
        <v>51</v>
      </c>
      <c r="F95" s="18">
        <v>4.9000000000000004</v>
      </c>
      <c r="G95" s="1">
        <f t="shared" ca="1" si="1"/>
        <v>2</v>
      </c>
    </row>
    <row r="96" spans="1:7" x14ac:dyDescent="0.25">
      <c r="A96" s="13">
        <v>95</v>
      </c>
      <c r="B96" s="1" t="s">
        <v>47</v>
      </c>
      <c r="C96" s="1" t="s">
        <v>51</v>
      </c>
      <c r="D96" s="1" t="s">
        <v>47</v>
      </c>
      <c r="E96" s="1" t="s">
        <v>51</v>
      </c>
      <c r="F96" s="18">
        <v>0</v>
      </c>
      <c r="G96" s="1">
        <f t="shared" ca="1" si="1"/>
        <v>0.5</v>
      </c>
    </row>
    <row r="97" spans="1:7" x14ac:dyDescent="0.25">
      <c r="A97" s="13">
        <v>96</v>
      </c>
      <c r="B97" s="1" t="s">
        <v>47</v>
      </c>
      <c r="C97" s="1" t="s">
        <v>59</v>
      </c>
      <c r="D97" s="1" t="s">
        <v>47</v>
      </c>
      <c r="E97" s="1" t="s">
        <v>51</v>
      </c>
      <c r="F97" s="18">
        <v>2.17</v>
      </c>
      <c r="G97" s="1">
        <f t="shared" ca="1" si="1"/>
        <v>0.5</v>
      </c>
    </row>
    <row r="98" spans="1:7" x14ac:dyDescent="0.25">
      <c r="A98" s="13">
        <v>97</v>
      </c>
      <c r="B98" s="1" t="s">
        <v>47</v>
      </c>
      <c r="C98" s="1" t="s">
        <v>51</v>
      </c>
      <c r="D98" s="1" t="s">
        <v>47</v>
      </c>
      <c r="E98" s="1" t="s">
        <v>54</v>
      </c>
      <c r="F98" s="18">
        <v>3.21</v>
      </c>
      <c r="G98" s="1">
        <f t="shared" ca="1" si="1"/>
        <v>0.5</v>
      </c>
    </row>
    <row r="99" spans="1:7" x14ac:dyDescent="0.25">
      <c r="A99" s="13">
        <v>98</v>
      </c>
      <c r="B99" s="1" t="s">
        <v>47</v>
      </c>
      <c r="C99" s="1" t="s">
        <v>54</v>
      </c>
      <c r="D99" s="1" t="s">
        <v>47</v>
      </c>
      <c r="E99" s="1" t="s">
        <v>51</v>
      </c>
      <c r="F99" s="18">
        <v>2.1800000000000002</v>
      </c>
      <c r="G99" s="1">
        <f t="shared" ca="1" si="1"/>
        <v>0.5</v>
      </c>
    </row>
    <row r="100" spans="1:7" x14ac:dyDescent="0.25">
      <c r="A100" s="13">
        <v>99</v>
      </c>
      <c r="B100" s="1" t="s">
        <v>47</v>
      </c>
      <c r="C100" s="1" t="s">
        <v>50</v>
      </c>
      <c r="D100" s="1" t="s">
        <v>47</v>
      </c>
      <c r="E100" s="1" t="s">
        <v>109</v>
      </c>
      <c r="F100" s="18">
        <v>3.31</v>
      </c>
      <c r="G100" s="1">
        <f t="shared" ca="1" si="1"/>
        <v>2</v>
      </c>
    </row>
    <row r="101" spans="1:7" x14ac:dyDescent="0.25">
      <c r="A101" s="13">
        <v>100</v>
      </c>
      <c r="B101" s="1" t="s">
        <v>47</v>
      </c>
      <c r="C101" s="1" t="s">
        <v>109</v>
      </c>
      <c r="D101" s="1" t="s">
        <v>47</v>
      </c>
      <c r="E101" s="1" t="s">
        <v>50</v>
      </c>
      <c r="F101" s="18">
        <v>3.77</v>
      </c>
      <c r="G101" s="1">
        <f t="shared" ca="1" si="1"/>
        <v>1.5</v>
      </c>
    </row>
    <row r="102" spans="1:7" x14ac:dyDescent="0.25">
      <c r="A102" s="13">
        <v>101</v>
      </c>
      <c r="B102" s="1" t="s">
        <v>47</v>
      </c>
      <c r="C102" s="1" t="s">
        <v>50</v>
      </c>
      <c r="D102" s="1" t="s">
        <v>47</v>
      </c>
      <c r="E102" s="1" t="s">
        <v>97</v>
      </c>
      <c r="F102" s="18">
        <v>4.9000000000000004</v>
      </c>
      <c r="G102" s="1">
        <f t="shared" ca="1" si="1"/>
        <v>1</v>
      </c>
    </row>
    <row r="103" spans="1:7" x14ac:dyDescent="0.25">
      <c r="A103" s="13">
        <v>102</v>
      </c>
      <c r="B103" s="1" t="s">
        <v>47</v>
      </c>
      <c r="C103" s="1" t="s">
        <v>97</v>
      </c>
      <c r="D103" s="1" t="s">
        <v>47</v>
      </c>
      <c r="E103" s="1" t="s">
        <v>71</v>
      </c>
      <c r="F103" s="18">
        <v>11.16</v>
      </c>
      <c r="G103" s="1">
        <f t="shared" ca="1" si="1"/>
        <v>1</v>
      </c>
    </row>
    <row r="104" spans="1:7" x14ac:dyDescent="0.25">
      <c r="A104" s="13">
        <v>103</v>
      </c>
      <c r="B104" s="1" t="s">
        <v>47</v>
      </c>
      <c r="C104" s="1" t="s">
        <v>66</v>
      </c>
      <c r="D104" s="1" t="s">
        <v>47</v>
      </c>
      <c r="E104" s="1" t="s">
        <v>59</v>
      </c>
      <c r="F104" s="18">
        <v>6.9</v>
      </c>
      <c r="G104" s="1">
        <f t="shared" ca="1" si="1"/>
        <v>2</v>
      </c>
    </row>
    <row r="105" spans="1:7" x14ac:dyDescent="0.25">
      <c r="A105" s="13">
        <v>104</v>
      </c>
      <c r="B105" s="1" t="s">
        <v>47</v>
      </c>
      <c r="C105" s="1" t="s">
        <v>58</v>
      </c>
      <c r="D105" s="1" t="s">
        <v>47</v>
      </c>
      <c r="E105" s="1" t="s">
        <v>51</v>
      </c>
      <c r="F105" s="18">
        <v>1.1200000000000001</v>
      </c>
      <c r="G105" s="1">
        <f t="shared" ca="1" si="1"/>
        <v>0.5</v>
      </c>
    </row>
    <row r="106" spans="1:7" x14ac:dyDescent="0.25">
      <c r="A106" s="13">
        <v>105</v>
      </c>
      <c r="B106" s="1" t="s">
        <v>47</v>
      </c>
      <c r="C106" s="1" t="s">
        <v>50</v>
      </c>
      <c r="D106" s="1" t="s">
        <v>47</v>
      </c>
      <c r="E106" s="1" t="s">
        <v>50</v>
      </c>
      <c r="F106" s="18">
        <v>0</v>
      </c>
      <c r="G106" s="1">
        <f t="shared" ca="1" si="1"/>
        <v>1.5</v>
      </c>
    </row>
    <row r="107" spans="1:7" x14ac:dyDescent="0.25">
      <c r="A107" s="13">
        <v>106</v>
      </c>
      <c r="B107" s="1" t="s">
        <v>47</v>
      </c>
      <c r="C107" s="1" t="s">
        <v>117</v>
      </c>
      <c r="D107" s="1" t="s">
        <v>47</v>
      </c>
      <c r="E107" s="1" t="s">
        <v>73</v>
      </c>
      <c r="F107" s="18">
        <v>2.06</v>
      </c>
      <c r="G107" s="1">
        <f t="shared" ca="1" si="1"/>
        <v>0.5</v>
      </c>
    </row>
    <row r="108" spans="1:7" x14ac:dyDescent="0.25">
      <c r="A108" s="13">
        <v>107</v>
      </c>
      <c r="B108" s="1" t="s">
        <v>47</v>
      </c>
      <c r="C108" s="1" t="s">
        <v>51</v>
      </c>
      <c r="D108" s="1" t="s">
        <v>47</v>
      </c>
      <c r="E108" s="1" t="s">
        <v>54</v>
      </c>
      <c r="F108" s="18">
        <v>3.01</v>
      </c>
      <c r="G108" s="1">
        <f t="shared" ca="1" si="1"/>
        <v>1</v>
      </c>
    </row>
    <row r="109" spans="1:7" x14ac:dyDescent="0.25">
      <c r="A109" s="13">
        <v>108</v>
      </c>
      <c r="B109" s="1" t="s">
        <v>47</v>
      </c>
      <c r="C109" s="1" t="s">
        <v>54</v>
      </c>
      <c r="D109" s="1" t="s">
        <v>47</v>
      </c>
      <c r="E109" s="1" t="s">
        <v>71</v>
      </c>
      <c r="F109" s="18">
        <v>3.02</v>
      </c>
      <c r="G109" s="1">
        <f t="shared" ca="1" si="1"/>
        <v>2</v>
      </c>
    </row>
    <row r="110" spans="1:7" x14ac:dyDescent="0.25">
      <c r="A110" s="13">
        <v>109</v>
      </c>
      <c r="B110" s="1" t="s">
        <v>47</v>
      </c>
      <c r="C110" s="1" t="s">
        <v>48</v>
      </c>
      <c r="D110" s="1" t="s">
        <v>47</v>
      </c>
      <c r="E110" s="1" t="s">
        <v>71</v>
      </c>
      <c r="F110" s="18">
        <v>1.73</v>
      </c>
      <c r="G110" s="1">
        <f t="shared" ca="1" si="1"/>
        <v>1.5</v>
      </c>
    </row>
    <row r="111" spans="1:7" x14ac:dyDescent="0.25">
      <c r="A111" s="13">
        <v>110</v>
      </c>
      <c r="B111" s="1" t="s">
        <v>47</v>
      </c>
      <c r="C111" s="1" t="s">
        <v>46</v>
      </c>
      <c r="D111" s="1" t="s">
        <v>47</v>
      </c>
      <c r="E111" s="1" t="s">
        <v>46</v>
      </c>
      <c r="F111" s="18">
        <v>0</v>
      </c>
      <c r="G111" s="1">
        <f t="shared" ca="1" si="1"/>
        <v>1</v>
      </c>
    </row>
    <row r="112" spans="1:7" x14ac:dyDescent="0.25">
      <c r="A112" s="13">
        <v>111</v>
      </c>
      <c r="B112" s="1" t="s">
        <v>47</v>
      </c>
      <c r="C112" s="1" t="s">
        <v>46</v>
      </c>
      <c r="D112" s="1" t="s">
        <v>47</v>
      </c>
      <c r="E112" s="1" t="s">
        <v>118</v>
      </c>
      <c r="F112" s="18">
        <v>7.6</v>
      </c>
      <c r="G112" s="1">
        <f t="shared" ca="1" si="1"/>
        <v>0.5</v>
      </c>
    </row>
    <row r="113" spans="1:7" x14ac:dyDescent="0.25">
      <c r="A113" s="13">
        <v>112</v>
      </c>
      <c r="B113" s="1" t="s">
        <v>47</v>
      </c>
      <c r="C113" s="1" t="s">
        <v>118</v>
      </c>
      <c r="D113" s="1" t="s">
        <v>47</v>
      </c>
      <c r="E113" s="1" t="s">
        <v>59</v>
      </c>
      <c r="F113" s="18">
        <v>2.96</v>
      </c>
      <c r="G113" s="1">
        <f t="shared" ca="1" si="1"/>
        <v>1</v>
      </c>
    </row>
    <row r="114" spans="1:7" x14ac:dyDescent="0.25">
      <c r="A114" s="13">
        <v>113</v>
      </c>
      <c r="B114" s="1" t="s">
        <v>47</v>
      </c>
      <c r="C114" s="1" t="s">
        <v>101</v>
      </c>
      <c r="D114" s="1" t="s">
        <v>44</v>
      </c>
      <c r="E114" s="1" t="s">
        <v>46</v>
      </c>
      <c r="F114" s="18">
        <v>19.18</v>
      </c>
      <c r="G114" s="1">
        <f t="shared" ca="1" si="1"/>
        <v>0.5</v>
      </c>
    </row>
    <row r="115" spans="1:7" x14ac:dyDescent="0.25">
      <c r="A115" s="13">
        <v>114</v>
      </c>
      <c r="B115" s="1" t="s">
        <v>44</v>
      </c>
      <c r="C115" s="1" t="s">
        <v>46</v>
      </c>
      <c r="D115" s="1" t="s">
        <v>47</v>
      </c>
      <c r="E115" s="1" t="s">
        <v>54</v>
      </c>
      <c r="F115" s="18">
        <v>15.95</v>
      </c>
      <c r="G115" s="1">
        <f t="shared" ca="1" si="1"/>
        <v>1</v>
      </c>
    </row>
    <row r="116" spans="1:7" x14ac:dyDescent="0.25">
      <c r="A116" s="13">
        <v>115</v>
      </c>
      <c r="B116" s="1" t="s">
        <v>47</v>
      </c>
      <c r="C116" s="1" t="s">
        <v>54</v>
      </c>
      <c r="D116" s="1" t="s">
        <v>47</v>
      </c>
      <c r="E116" s="1" t="s">
        <v>111</v>
      </c>
      <c r="F116" s="18">
        <v>6.29</v>
      </c>
      <c r="G116" s="1">
        <f t="shared" ca="1" si="1"/>
        <v>1</v>
      </c>
    </row>
    <row r="117" spans="1:7" x14ac:dyDescent="0.25">
      <c r="A117" s="13">
        <v>116</v>
      </c>
      <c r="B117" s="1" t="s">
        <v>47</v>
      </c>
      <c r="C117" s="1" t="s">
        <v>111</v>
      </c>
      <c r="D117" s="1" t="s">
        <v>47</v>
      </c>
      <c r="E117" s="1" t="s">
        <v>111</v>
      </c>
      <c r="F117" s="18">
        <v>1.71</v>
      </c>
      <c r="G117" s="1">
        <f t="shared" ca="1" si="1"/>
        <v>1</v>
      </c>
    </row>
    <row r="118" spans="1:7" x14ac:dyDescent="0.25">
      <c r="A118" s="13">
        <v>117</v>
      </c>
      <c r="B118" s="1" t="s">
        <v>47</v>
      </c>
      <c r="C118" s="1" t="s">
        <v>97</v>
      </c>
      <c r="D118" s="1" t="s">
        <v>47</v>
      </c>
      <c r="E118" s="1" t="s">
        <v>54</v>
      </c>
      <c r="F118" s="18">
        <v>2.5</v>
      </c>
      <c r="G118" s="1">
        <f t="shared" ca="1" si="1"/>
        <v>2</v>
      </c>
    </row>
    <row r="119" spans="1:7" x14ac:dyDescent="0.25">
      <c r="A119" s="13">
        <v>118</v>
      </c>
      <c r="B119" s="1" t="s">
        <v>47</v>
      </c>
      <c r="C119" s="1" t="s">
        <v>54</v>
      </c>
      <c r="D119" s="1" t="s">
        <v>44</v>
      </c>
      <c r="E119" s="1" t="s">
        <v>105</v>
      </c>
      <c r="F119" s="18">
        <v>12.65</v>
      </c>
      <c r="G119" s="1">
        <f t="shared" ca="1" si="1"/>
        <v>0.5</v>
      </c>
    </row>
    <row r="120" spans="1:7" x14ac:dyDescent="0.25">
      <c r="A120" s="13">
        <v>119</v>
      </c>
      <c r="B120" s="1" t="s">
        <v>44</v>
      </c>
      <c r="C120" s="1" t="s">
        <v>105</v>
      </c>
      <c r="D120" s="1" t="s">
        <v>44</v>
      </c>
      <c r="E120" s="1" t="s">
        <v>46</v>
      </c>
      <c r="F120" s="18">
        <v>7.4</v>
      </c>
      <c r="G120" s="1">
        <f t="shared" ca="1" si="1"/>
        <v>0.5</v>
      </c>
    </row>
    <row r="121" spans="1:7" x14ac:dyDescent="0.25">
      <c r="A121" s="13">
        <v>120</v>
      </c>
      <c r="B121" s="1" t="s">
        <v>44</v>
      </c>
      <c r="C121" s="1" t="s">
        <v>120</v>
      </c>
      <c r="D121" s="1" t="s">
        <v>47</v>
      </c>
      <c r="E121" s="1" t="s">
        <v>121</v>
      </c>
      <c r="F121" s="18">
        <v>22.18</v>
      </c>
      <c r="G121" s="1">
        <f t="shared" ca="1" si="1"/>
        <v>0.5</v>
      </c>
    </row>
    <row r="122" spans="1:7" x14ac:dyDescent="0.25">
      <c r="A122" s="13">
        <v>121</v>
      </c>
      <c r="B122" s="1" t="s">
        <v>47</v>
      </c>
      <c r="C122" s="1" t="s">
        <v>52</v>
      </c>
      <c r="D122" s="1" t="s">
        <v>47</v>
      </c>
      <c r="E122" s="1" t="s">
        <v>122</v>
      </c>
      <c r="F122" s="18">
        <v>11.3</v>
      </c>
      <c r="G122" s="1">
        <f t="shared" ca="1" si="1"/>
        <v>0.5</v>
      </c>
    </row>
    <row r="123" spans="1:7" x14ac:dyDescent="0.25">
      <c r="A123" s="13">
        <v>122</v>
      </c>
      <c r="B123" s="1" t="s">
        <v>47</v>
      </c>
      <c r="C123" s="1" t="s">
        <v>123</v>
      </c>
      <c r="D123" s="1" t="s">
        <v>47</v>
      </c>
      <c r="E123" s="1" t="s">
        <v>58</v>
      </c>
      <c r="F123" s="18">
        <v>2.23</v>
      </c>
      <c r="G123" s="1">
        <f t="shared" ca="1" si="1"/>
        <v>0.5</v>
      </c>
    </row>
    <row r="124" spans="1:7" x14ac:dyDescent="0.25">
      <c r="A124" s="13">
        <v>123</v>
      </c>
      <c r="B124" s="1" t="s">
        <v>47</v>
      </c>
      <c r="C124" s="1" t="s">
        <v>59</v>
      </c>
      <c r="D124" s="1" t="s">
        <v>47</v>
      </c>
      <c r="E124" s="1" t="s">
        <v>54</v>
      </c>
      <c r="F124" s="18">
        <v>2.13</v>
      </c>
      <c r="G124" s="1">
        <f t="shared" ca="1" si="1"/>
        <v>2</v>
      </c>
    </row>
    <row r="125" spans="1:7" x14ac:dyDescent="0.25">
      <c r="A125" s="13">
        <v>124</v>
      </c>
      <c r="B125" s="1" t="s">
        <v>47</v>
      </c>
      <c r="C125" s="1" t="s">
        <v>50</v>
      </c>
      <c r="D125" s="1" t="s">
        <v>47</v>
      </c>
      <c r="E125" s="1" t="s">
        <v>46</v>
      </c>
      <c r="F125" s="18">
        <v>6.19</v>
      </c>
      <c r="G125" s="1">
        <f t="shared" ca="1" si="1"/>
        <v>1.5</v>
      </c>
    </row>
    <row r="126" spans="1:7" x14ac:dyDescent="0.25">
      <c r="A126" s="13">
        <v>125</v>
      </c>
      <c r="B126" s="1" t="s">
        <v>47</v>
      </c>
      <c r="C126" s="1" t="s">
        <v>46</v>
      </c>
      <c r="D126" s="1" t="s">
        <v>47</v>
      </c>
      <c r="E126" s="1" t="s">
        <v>122</v>
      </c>
      <c r="F126" s="18">
        <v>4.2</v>
      </c>
      <c r="G126" s="1">
        <f t="shared" ca="1" si="1"/>
        <v>0.5</v>
      </c>
    </row>
    <row r="127" spans="1:7" x14ac:dyDescent="0.25">
      <c r="A127" s="13">
        <v>126</v>
      </c>
      <c r="B127" s="1" t="s">
        <v>47</v>
      </c>
      <c r="C127" s="1" t="s">
        <v>122</v>
      </c>
      <c r="D127" s="1" t="s">
        <v>47</v>
      </c>
      <c r="E127" s="1" t="s">
        <v>46</v>
      </c>
      <c r="F127" s="18">
        <v>4.24</v>
      </c>
      <c r="G127" s="1">
        <f t="shared" ca="1" si="1"/>
        <v>1</v>
      </c>
    </row>
    <row r="128" spans="1:7" x14ac:dyDescent="0.25">
      <c r="A128" s="13">
        <v>127</v>
      </c>
      <c r="B128" s="1" t="s">
        <v>47</v>
      </c>
      <c r="C128" s="1" t="s">
        <v>46</v>
      </c>
      <c r="D128" s="1" t="s">
        <v>47</v>
      </c>
      <c r="E128" s="1" t="s">
        <v>54</v>
      </c>
      <c r="F128" s="18">
        <v>5.39</v>
      </c>
      <c r="G128" s="1">
        <f t="shared" ca="1" si="1"/>
        <v>2</v>
      </c>
    </row>
    <row r="129" spans="1:7" x14ac:dyDescent="0.25">
      <c r="A129" s="13">
        <v>128</v>
      </c>
      <c r="B129" s="1" t="s">
        <v>47</v>
      </c>
      <c r="C129" s="1" t="s">
        <v>54</v>
      </c>
      <c r="D129" s="1" t="s">
        <v>47</v>
      </c>
      <c r="E129" s="1" t="s">
        <v>124</v>
      </c>
      <c r="F129" s="18">
        <v>6.17</v>
      </c>
      <c r="G129" s="1">
        <f t="shared" ca="1" si="1"/>
        <v>0.5</v>
      </c>
    </row>
    <row r="130" spans="1:7" x14ac:dyDescent="0.25">
      <c r="A130" s="13">
        <v>129</v>
      </c>
      <c r="B130" s="1" t="s">
        <v>47</v>
      </c>
      <c r="C130" s="1" t="s">
        <v>65</v>
      </c>
      <c r="D130" s="1" t="s">
        <v>47</v>
      </c>
      <c r="E130" s="1" t="s">
        <v>49</v>
      </c>
      <c r="F130" s="18">
        <v>4.88</v>
      </c>
      <c r="G130" s="1">
        <f t="shared" ca="1" si="1"/>
        <v>2</v>
      </c>
    </row>
    <row r="131" spans="1:7" x14ac:dyDescent="0.25">
      <c r="A131" s="13">
        <v>130</v>
      </c>
      <c r="B131" s="1" t="s">
        <v>47</v>
      </c>
      <c r="C131" s="1" t="s">
        <v>123</v>
      </c>
      <c r="D131" s="1" t="s">
        <v>47</v>
      </c>
      <c r="E131" s="1" t="s">
        <v>59</v>
      </c>
      <c r="F131" s="18">
        <v>2.54</v>
      </c>
      <c r="G131" s="1">
        <f t="shared" ref="G131:G194" ca="1" si="2">CHOOSE(RANDBETWEEN(1,4),0.5,1,1.5,2)</f>
        <v>1.5</v>
      </c>
    </row>
    <row r="132" spans="1:7" x14ac:dyDescent="0.25">
      <c r="A132" s="13">
        <v>131</v>
      </c>
      <c r="B132" s="1" t="s">
        <v>47</v>
      </c>
      <c r="C132" s="1" t="s">
        <v>59</v>
      </c>
      <c r="D132" s="1" t="s">
        <v>47</v>
      </c>
      <c r="E132" s="1" t="s">
        <v>125</v>
      </c>
      <c r="F132" s="18">
        <v>3.32</v>
      </c>
      <c r="G132" s="1">
        <f t="shared" ca="1" si="2"/>
        <v>0.5</v>
      </c>
    </row>
    <row r="133" spans="1:7" x14ac:dyDescent="0.25">
      <c r="A133" s="13">
        <v>132</v>
      </c>
      <c r="B133" s="1" t="s">
        <v>47</v>
      </c>
      <c r="C133" s="1" t="s">
        <v>126</v>
      </c>
      <c r="D133" s="1" t="s">
        <v>47</v>
      </c>
      <c r="E133" s="1" t="s">
        <v>126</v>
      </c>
      <c r="F133" s="18">
        <v>0</v>
      </c>
      <c r="G133" s="1">
        <f t="shared" ca="1" si="2"/>
        <v>1</v>
      </c>
    </row>
    <row r="134" spans="1:7" x14ac:dyDescent="0.25">
      <c r="A134" s="13">
        <v>133</v>
      </c>
      <c r="B134" s="1" t="s">
        <v>47</v>
      </c>
      <c r="C134" s="1" t="s">
        <v>60</v>
      </c>
      <c r="D134" s="1" t="s">
        <v>47</v>
      </c>
      <c r="E134" s="1" t="s">
        <v>126</v>
      </c>
      <c r="F134" s="18">
        <v>1.33</v>
      </c>
      <c r="G134" s="1">
        <f t="shared" ca="1" si="2"/>
        <v>0.5</v>
      </c>
    </row>
    <row r="135" spans="1:7" x14ac:dyDescent="0.25">
      <c r="A135" s="13">
        <v>134</v>
      </c>
      <c r="B135" s="1" t="s">
        <v>47</v>
      </c>
      <c r="C135" s="1" t="s">
        <v>126</v>
      </c>
      <c r="D135" s="1" t="s">
        <v>47</v>
      </c>
      <c r="E135" s="1" t="s">
        <v>46</v>
      </c>
      <c r="F135" s="18">
        <v>1.17</v>
      </c>
      <c r="G135" s="1">
        <f t="shared" ca="1" si="2"/>
        <v>1.5</v>
      </c>
    </row>
    <row r="136" spans="1:7" x14ac:dyDescent="0.25">
      <c r="A136" s="13">
        <v>135</v>
      </c>
      <c r="B136" s="1" t="s">
        <v>47</v>
      </c>
      <c r="C136" s="1" t="s">
        <v>125</v>
      </c>
      <c r="D136" s="1" t="s">
        <v>44</v>
      </c>
      <c r="E136" s="1" t="s">
        <v>74</v>
      </c>
      <c r="F136" s="18">
        <v>15.6</v>
      </c>
      <c r="G136" s="1">
        <f t="shared" ca="1" si="2"/>
        <v>0.5</v>
      </c>
    </row>
    <row r="137" spans="1:7" x14ac:dyDescent="0.25">
      <c r="A137" s="13">
        <v>136</v>
      </c>
      <c r="B137" s="1" t="s">
        <v>44</v>
      </c>
      <c r="C137" s="1" t="s">
        <v>74</v>
      </c>
      <c r="D137" s="1" t="s">
        <v>47</v>
      </c>
      <c r="E137" s="1" t="s">
        <v>46</v>
      </c>
      <c r="F137" s="18">
        <v>17.829999999999998</v>
      </c>
      <c r="G137" s="1">
        <f t="shared" ca="1" si="2"/>
        <v>0.5</v>
      </c>
    </row>
    <row r="138" spans="1:7" x14ac:dyDescent="0.25">
      <c r="A138" s="13">
        <v>137</v>
      </c>
      <c r="B138" s="1" t="s">
        <v>47</v>
      </c>
      <c r="C138" s="1" t="s">
        <v>46</v>
      </c>
      <c r="D138" s="1" t="s">
        <v>47</v>
      </c>
      <c r="E138" s="1" t="s">
        <v>46</v>
      </c>
      <c r="F138" s="18">
        <v>2.12</v>
      </c>
      <c r="G138" s="1">
        <f t="shared" ca="1" si="2"/>
        <v>0.5</v>
      </c>
    </row>
    <row r="139" spans="1:7" x14ac:dyDescent="0.25">
      <c r="A139" s="13">
        <v>138</v>
      </c>
      <c r="B139" s="1" t="s">
        <v>47</v>
      </c>
      <c r="C139" s="1" t="s">
        <v>46</v>
      </c>
      <c r="D139" s="1" t="s">
        <v>47</v>
      </c>
      <c r="E139" s="1" t="s">
        <v>102</v>
      </c>
      <c r="F139" s="18">
        <v>4.51</v>
      </c>
      <c r="G139" s="1">
        <f t="shared" ca="1" si="2"/>
        <v>2</v>
      </c>
    </row>
    <row r="140" spans="1:7" x14ac:dyDescent="0.25">
      <c r="A140" s="13">
        <v>139</v>
      </c>
      <c r="B140" s="1" t="s">
        <v>47</v>
      </c>
      <c r="C140" s="1" t="s">
        <v>127</v>
      </c>
      <c r="D140" s="1" t="s">
        <v>44</v>
      </c>
      <c r="E140" s="1" t="s">
        <v>79</v>
      </c>
      <c r="F140" s="18">
        <v>4.0999999999999996</v>
      </c>
      <c r="G140" s="1">
        <f t="shared" ca="1" si="2"/>
        <v>1.5</v>
      </c>
    </row>
    <row r="141" spans="1:7" x14ac:dyDescent="0.25">
      <c r="A141" s="13">
        <v>140</v>
      </c>
      <c r="B141" s="1" t="s">
        <v>44</v>
      </c>
      <c r="C141" s="1" t="s">
        <v>128</v>
      </c>
      <c r="D141" s="1" t="s">
        <v>47</v>
      </c>
      <c r="E141" s="1" t="s">
        <v>59</v>
      </c>
      <c r="F141" s="18">
        <v>11.83</v>
      </c>
      <c r="G141" s="1">
        <f t="shared" ca="1" si="2"/>
        <v>1.5</v>
      </c>
    </row>
    <row r="142" spans="1:7" x14ac:dyDescent="0.25">
      <c r="A142" s="13">
        <v>141</v>
      </c>
      <c r="B142" s="1" t="s">
        <v>47</v>
      </c>
      <c r="C142" s="1" t="s">
        <v>54</v>
      </c>
      <c r="D142" s="1" t="s">
        <v>47</v>
      </c>
      <c r="E142" s="1" t="s">
        <v>129</v>
      </c>
      <c r="F142" s="18">
        <v>2.6</v>
      </c>
      <c r="G142" s="1">
        <f t="shared" ca="1" si="2"/>
        <v>1.5</v>
      </c>
    </row>
    <row r="143" spans="1:7" x14ac:dyDescent="0.25">
      <c r="A143" s="13">
        <v>142</v>
      </c>
      <c r="B143" s="1" t="s">
        <v>47</v>
      </c>
      <c r="C143" s="1" t="s">
        <v>129</v>
      </c>
      <c r="D143" s="1" t="s">
        <v>47</v>
      </c>
      <c r="E143" s="1" t="s">
        <v>71</v>
      </c>
      <c r="F143" s="18">
        <v>6.73</v>
      </c>
      <c r="G143" s="1">
        <f t="shared" ca="1" si="2"/>
        <v>2</v>
      </c>
    </row>
    <row r="144" spans="1:7" x14ac:dyDescent="0.25">
      <c r="A144" s="13">
        <v>143</v>
      </c>
      <c r="B144" s="1" t="s">
        <v>47</v>
      </c>
      <c r="C144" s="1" t="s">
        <v>71</v>
      </c>
      <c r="D144" s="1" t="s">
        <v>47</v>
      </c>
      <c r="E144" s="1" t="s">
        <v>81</v>
      </c>
      <c r="F144" s="18">
        <v>4.22</v>
      </c>
      <c r="G144" s="1">
        <f t="shared" ca="1" si="2"/>
        <v>2</v>
      </c>
    </row>
    <row r="145" spans="1:7" x14ac:dyDescent="0.25">
      <c r="A145" s="13">
        <v>144</v>
      </c>
      <c r="B145" s="1" t="s">
        <v>47</v>
      </c>
      <c r="C145" s="1" t="s">
        <v>80</v>
      </c>
      <c r="D145" s="1" t="s">
        <v>47</v>
      </c>
      <c r="E145" s="1" t="s">
        <v>46</v>
      </c>
      <c r="F145" s="18">
        <v>4.3600000000000003</v>
      </c>
      <c r="G145" s="1">
        <f t="shared" ca="1" si="2"/>
        <v>1</v>
      </c>
    </row>
    <row r="146" spans="1:7" x14ac:dyDescent="0.25">
      <c r="A146" s="13">
        <v>145</v>
      </c>
      <c r="B146" s="1" t="s">
        <v>47</v>
      </c>
      <c r="C146" s="1" t="s">
        <v>46</v>
      </c>
      <c r="D146" s="1" t="s">
        <v>47</v>
      </c>
      <c r="E146" s="1" t="s">
        <v>46</v>
      </c>
      <c r="F146" s="18">
        <v>0</v>
      </c>
      <c r="G146" s="1">
        <f t="shared" ca="1" si="2"/>
        <v>2</v>
      </c>
    </row>
    <row r="147" spans="1:7" x14ac:dyDescent="0.25">
      <c r="A147" s="13">
        <v>146</v>
      </c>
      <c r="B147" s="1" t="s">
        <v>47</v>
      </c>
      <c r="C147" s="1" t="s">
        <v>131</v>
      </c>
      <c r="D147" s="1" t="s">
        <v>47</v>
      </c>
      <c r="E147" s="1" t="s">
        <v>66</v>
      </c>
      <c r="F147" s="18">
        <v>2.66</v>
      </c>
      <c r="G147" s="1">
        <f t="shared" ca="1" si="2"/>
        <v>1</v>
      </c>
    </row>
    <row r="148" spans="1:7" x14ac:dyDescent="0.25">
      <c r="A148" s="13">
        <v>147</v>
      </c>
      <c r="B148" s="1" t="s">
        <v>47</v>
      </c>
      <c r="C148" s="1" t="s">
        <v>53</v>
      </c>
      <c r="D148" s="1" t="s">
        <v>47</v>
      </c>
      <c r="E148" s="1" t="s">
        <v>81</v>
      </c>
      <c r="F148" s="18">
        <v>11.17</v>
      </c>
      <c r="G148" s="1">
        <f t="shared" ca="1" si="2"/>
        <v>2</v>
      </c>
    </row>
    <row r="149" spans="1:7" x14ac:dyDescent="0.25">
      <c r="A149" s="13">
        <v>148</v>
      </c>
      <c r="B149" s="1" t="s">
        <v>47</v>
      </c>
      <c r="C149" s="1" t="s">
        <v>127</v>
      </c>
      <c r="D149" s="1" t="s">
        <v>47</v>
      </c>
      <c r="E149" s="1" t="s">
        <v>53</v>
      </c>
      <c r="F149" s="18">
        <v>12.86</v>
      </c>
      <c r="G149" s="1">
        <f t="shared" ca="1" si="2"/>
        <v>1</v>
      </c>
    </row>
    <row r="150" spans="1:7" x14ac:dyDescent="0.25">
      <c r="A150" s="13">
        <v>149</v>
      </c>
      <c r="B150" s="1" t="s">
        <v>47</v>
      </c>
      <c r="C150" s="1" t="s">
        <v>81</v>
      </c>
      <c r="D150" s="1" t="s">
        <v>47</v>
      </c>
      <c r="E150" s="1" t="s">
        <v>59</v>
      </c>
      <c r="F150" s="18">
        <v>6.03</v>
      </c>
      <c r="G150" s="1">
        <f t="shared" ca="1" si="2"/>
        <v>0.5</v>
      </c>
    </row>
    <row r="151" spans="1:7" x14ac:dyDescent="0.25">
      <c r="A151" s="13">
        <v>150</v>
      </c>
      <c r="B151" s="1" t="s">
        <v>47</v>
      </c>
      <c r="C151" s="1" t="s">
        <v>50</v>
      </c>
      <c r="D151" s="1" t="s">
        <v>47</v>
      </c>
      <c r="E151" s="1" t="s">
        <v>59</v>
      </c>
      <c r="F151" s="18">
        <v>2.0699999999999998</v>
      </c>
      <c r="G151" s="1">
        <f t="shared" ca="1" si="2"/>
        <v>1</v>
      </c>
    </row>
    <row r="152" spans="1:7" x14ac:dyDescent="0.25">
      <c r="A152" s="13">
        <v>151</v>
      </c>
      <c r="B152" s="1" t="s">
        <v>47</v>
      </c>
      <c r="C152" s="1" t="s">
        <v>59</v>
      </c>
      <c r="D152" s="1" t="s">
        <v>47</v>
      </c>
      <c r="E152" s="1" t="s">
        <v>71</v>
      </c>
      <c r="F152" s="18">
        <v>2.69</v>
      </c>
      <c r="G152" s="1">
        <f t="shared" ca="1" si="2"/>
        <v>2</v>
      </c>
    </row>
    <row r="153" spans="1:7" x14ac:dyDescent="0.25">
      <c r="A153" s="13">
        <v>152</v>
      </c>
      <c r="B153" s="1">
        <v>0</v>
      </c>
      <c r="C153" s="1">
        <v>0</v>
      </c>
      <c r="D153" s="1">
        <v>0</v>
      </c>
      <c r="E153" s="1">
        <v>0</v>
      </c>
      <c r="F153" s="18">
        <v>0</v>
      </c>
      <c r="G153" s="1">
        <v>0</v>
      </c>
    </row>
    <row r="154" spans="1:7" x14ac:dyDescent="0.25">
      <c r="A154" s="13">
        <v>153</v>
      </c>
      <c r="B154" s="1" t="s">
        <v>47</v>
      </c>
      <c r="C154" s="1" t="s">
        <v>132</v>
      </c>
      <c r="D154" s="1" t="s">
        <v>47</v>
      </c>
      <c r="E154" s="1" t="s">
        <v>51</v>
      </c>
      <c r="F154" s="18">
        <v>4.83</v>
      </c>
      <c r="G154" s="1">
        <f t="shared" ca="1" si="2"/>
        <v>1.5</v>
      </c>
    </row>
    <row r="155" spans="1:7" x14ac:dyDescent="0.25">
      <c r="A155" s="13">
        <v>154</v>
      </c>
      <c r="B155" s="1" t="s">
        <v>47</v>
      </c>
      <c r="C155" s="1" t="s">
        <v>51</v>
      </c>
      <c r="D155" s="1" t="s">
        <v>47</v>
      </c>
      <c r="E155" s="1" t="s">
        <v>54</v>
      </c>
      <c r="F155" s="18">
        <v>6.04</v>
      </c>
      <c r="G155" s="1">
        <f t="shared" ca="1" si="2"/>
        <v>1</v>
      </c>
    </row>
    <row r="156" spans="1:7" x14ac:dyDescent="0.25">
      <c r="A156" s="13">
        <v>155</v>
      </c>
      <c r="B156" s="1" t="s">
        <v>47</v>
      </c>
      <c r="C156" s="1" t="s">
        <v>97</v>
      </c>
      <c r="D156" s="1" t="s">
        <v>47</v>
      </c>
      <c r="E156" s="1" t="s">
        <v>97</v>
      </c>
      <c r="F156" s="18">
        <v>0</v>
      </c>
      <c r="G156" s="1">
        <f t="shared" ca="1" si="2"/>
        <v>1</v>
      </c>
    </row>
    <row r="157" spans="1:7" x14ac:dyDescent="0.25">
      <c r="A157" s="13">
        <v>156</v>
      </c>
      <c r="B157" s="1" t="s">
        <v>47</v>
      </c>
      <c r="C157" s="1" t="s">
        <v>117</v>
      </c>
      <c r="D157" s="1" t="s">
        <v>47</v>
      </c>
      <c r="E157" s="1" t="s">
        <v>54</v>
      </c>
      <c r="F157" s="18">
        <v>3.31</v>
      </c>
      <c r="G157" s="1">
        <f t="shared" ca="1" si="2"/>
        <v>2</v>
      </c>
    </row>
    <row r="158" spans="1:7" x14ac:dyDescent="0.25">
      <c r="A158" s="13">
        <v>157</v>
      </c>
      <c r="B158" s="1" t="s">
        <v>47</v>
      </c>
      <c r="C158" s="1" t="s">
        <v>54</v>
      </c>
      <c r="D158" s="1" t="s">
        <v>47</v>
      </c>
      <c r="E158" s="1" t="s">
        <v>70</v>
      </c>
      <c r="F158" s="18">
        <v>8.24</v>
      </c>
      <c r="G158" s="1">
        <f t="shared" ca="1" si="2"/>
        <v>1</v>
      </c>
    </row>
    <row r="159" spans="1:7" x14ac:dyDescent="0.25">
      <c r="A159" s="13">
        <v>158</v>
      </c>
      <c r="B159" s="1" t="s">
        <v>47</v>
      </c>
      <c r="C159" s="1" t="s">
        <v>70</v>
      </c>
      <c r="D159" s="1" t="s">
        <v>47</v>
      </c>
      <c r="E159" s="1" t="s">
        <v>48</v>
      </c>
      <c r="F159" s="18">
        <v>5.22</v>
      </c>
      <c r="G159" s="1">
        <f t="shared" ca="1" si="2"/>
        <v>0.5</v>
      </c>
    </row>
    <row r="160" spans="1:7" x14ac:dyDescent="0.25">
      <c r="A160" s="13">
        <v>159</v>
      </c>
      <c r="B160" s="1" t="s">
        <v>47</v>
      </c>
      <c r="C160" s="1" t="s">
        <v>49</v>
      </c>
      <c r="D160" s="1" t="s">
        <v>47</v>
      </c>
      <c r="E160" s="1" t="s">
        <v>122</v>
      </c>
      <c r="F160" s="18">
        <v>3.31</v>
      </c>
      <c r="G160" s="1">
        <f t="shared" ca="1" si="2"/>
        <v>1</v>
      </c>
    </row>
    <row r="161" spans="1:7" x14ac:dyDescent="0.25">
      <c r="A161" s="13">
        <v>160</v>
      </c>
      <c r="B161" s="1" t="s">
        <v>47</v>
      </c>
      <c r="C161" s="1" t="s">
        <v>122</v>
      </c>
      <c r="D161" s="1" t="s">
        <v>47</v>
      </c>
      <c r="E161" s="1" t="s">
        <v>122</v>
      </c>
      <c r="F161" s="18">
        <v>1.1000000000000001</v>
      </c>
      <c r="G161" s="1">
        <f t="shared" ca="1" si="2"/>
        <v>2</v>
      </c>
    </row>
    <row r="162" spans="1:7" x14ac:dyDescent="0.25">
      <c r="A162" s="13">
        <v>161</v>
      </c>
      <c r="B162" s="1" t="s">
        <v>47</v>
      </c>
      <c r="C162" s="1" t="s">
        <v>122</v>
      </c>
      <c r="D162" s="1" t="s">
        <v>47</v>
      </c>
      <c r="E162" s="1" t="s">
        <v>54</v>
      </c>
      <c r="F162" s="18">
        <v>4.5599999999999996</v>
      </c>
      <c r="G162" s="1">
        <f t="shared" ca="1" si="2"/>
        <v>2</v>
      </c>
    </row>
    <row r="163" spans="1:7" x14ac:dyDescent="0.25">
      <c r="A163" s="13">
        <v>162</v>
      </c>
      <c r="B163" s="1" t="s">
        <v>47</v>
      </c>
      <c r="C163" s="1" t="s">
        <v>97</v>
      </c>
      <c r="D163" s="1" t="s">
        <v>44</v>
      </c>
      <c r="E163" s="1" t="s">
        <v>62</v>
      </c>
      <c r="F163" s="18">
        <v>5.81</v>
      </c>
      <c r="G163" s="1">
        <f t="shared" ca="1" si="2"/>
        <v>1.5</v>
      </c>
    </row>
    <row r="164" spans="1:7" x14ac:dyDescent="0.25">
      <c r="A164" s="13">
        <v>163</v>
      </c>
      <c r="B164" s="1" t="s">
        <v>47</v>
      </c>
      <c r="C164" s="1" t="s">
        <v>118</v>
      </c>
      <c r="D164" s="1" t="s">
        <v>47</v>
      </c>
      <c r="E164" s="1" t="s">
        <v>51</v>
      </c>
      <c r="F164" s="18">
        <v>1.68</v>
      </c>
      <c r="G164" s="1">
        <f t="shared" ca="1" si="2"/>
        <v>0.5</v>
      </c>
    </row>
    <row r="165" spans="1:7" x14ac:dyDescent="0.25">
      <c r="A165" s="13">
        <v>164</v>
      </c>
      <c r="B165" s="1" t="s">
        <v>47</v>
      </c>
      <c r="C165" s="1" t="s">
        <v>51</v>
      </c>
      <c r="D165" s="1" t="s">
        <v>47</v>
      </c>
      <c r="E165" s="1" t="s">
        <v>48</v>
      </c>
      <c r="F165" s="18">
        <v>4.9000000000000004</v>
      </c>
      <c r="G165" s="1">
        <f t="shared" ca="1" si="2"/>
        <v>1.5</v>
      </c>
    </row>
    <row r="166" spans="1:7" x14ac:dyDescent="0.25">
      <c r="A166" s="13">
        <v>165</v>
      </c>
      <c r="B166" s="1">
        <v>0</v>
      </c>
      <c r="C166" s="1">
        <v>0</v>
      </c>
      <c r="D166" s="1">
        <v>0</v>
      </c>
      <c r="E166" s="1">
        <v>0</v>
      </c>
      <c r="F166" s="18">
        <v>0</v>
      </c>
      <c r="G166" s="1">
        <v>0</v>
      </c>
    </row>
    <row r="167" spans="1:7" x14ac:dyDescent="0.25">
      <c r="A167" s="13">
        <v>166</v>
      </c>
      <c r="B167" s="1" t="s">
        <v>47</v>
      </c>
      <c r="C167" s="1" t="s">
        <v>48</v>
      </c>
      <c r="D167" s="1" t="s">
        <v>47</v>
      </c>
      <c r="E167" s="1" t="s">
        <v>51</v>
      </c>
      <c r="F167" s="18">
        <v>4.3</v>
      </c>
      <c r="G167" s="1">
        <f t="shared" ca="1" si="2"/>
        <v>2</v>
      </c>
    </row>
    <row r="168" spans="1:7" x14ac:dyDescent="0.25">
      <c r="A168" s="13">
        <v>167</v>
      </c>
      <c r="B168" s="1" t="s">
        <v>47</v>
      </c>
      <c r="C168" s="1" t="s">
        <v>51</v>
      </c>
      <c r="D168" s="1" t="s">
        <v>44</v>
      </c>
      <c r="E168" s="1" t="s">
        <v>120</v>
      </c>
      <c r="F168" s="18">
        <v>17.3</v>
      </c>
      <c r="G168" s="1">
        <f t="shared" ca="1" si="2"/>
        <v>2</v>
      </c>
    </row>
    <row r="169" spans="1:7" x14ac:dyDescent="0.25">
      <c r="A169" s="13">
        <v>168</v>
      </c>
      <c r="B169" s="1" t="s">
        <v>44</v>
      </c>
      <c r="C169" s="1" t="s">
        <v>62</v>
      </c>
      <c r="D169" s="1" t="s">
        <v>44</v>
      </c>
      <c r="E169" s="1" t="s">
        <v>62</v>
      </c>
      <c r="F169" s="18">
        <v>0.8</v>
      </c>
      <c r="G169" s="1">
        <f t="shared" ca="1" si="2"/>
        <v>1</v>
      </c>
    </row>
    <row r="170" spans="1:7" x14ac:dyDescent="0.25">
      <c r="A170" s="13">
        <v>169</v>
      </c>
      <c r="B170" s="1" t="s">
        <v>44</v>
      </c>
      <c r="C170" s="1" t="s">
        <v>62</v>
      </c>
      <c r="D170" s="1" t="s">
        <v>47</v>
      </c>
      <c r="E170" s="1" t="s">
        <v>50</v>
      </c>
      <c r="F170" s="18">
        <v>14.52</v>
      </c>
      <c r="G170" s="1">
        <f t="shared" ca="1" si="2"/>
        <v>1.5</v>
      </c>
    </row>
    <row r="171" spans="1:7" x14ac:dyDescent="0.25">
      <c r="A171" s="13">
        <v>170</v>
      </c>
      <c r="B171" s="1" t="s">
        <v>47</v>
      </c>
      <c r="C171" s="1" t="s">
        <v>50</v>
      </c>
      <c r="D171" s="1" t="s">
        <v>47</v>
      </c>
      <c r="E171" s="1" t="s">
        <v>51</v>
      </c>
      <c r="F171" s="18">
        <v>2.2599999999999998</v>
      </c>
      <c r="G171" s="1">
        <f t="shared" ca="1" si="2"/>
        <v>1</v>
      </c>
    </row>
    <row r="172" spans="1:7" x14ac:dyDescent="0.25">
      <c r="A172" s="13">
        <v>171</v>
      </c>
      <c r="B172" s="1" t="s">
        <v>47</v>
      </c>
      <c r="C172" s="1" t="s">
        <v>51</v>
      </c>
      <c r="D172" s="1" t="s">
        <v>47</v>
      </c>
      <c r="E172" s="1" t="s">
        <v>58</v>
      </c>
      <c r="F172" s="18">
        <v>1.59</v>
      </c>
      <c r="G172" s="1">
        <f t="shared" ca="1" si="2"/>
        <v>1</v>
      </c>
    </row>
    <row r="173" spans="1:7" x14ac:dyDescent="0.25">
      <c r="A173" s="13">
        <v>172</v>
      </c>
      <c r="B173" s="1" t="s">
        <v>47</v>
      </c>
      <c r="C173" s="1" t="s">
        <v>58</v>
      </c>
      <c r="D173" s="1" t="s">
        <v>47</v>
      </c>
      <c r="E173" s="1" t="s">
        <v>133</v>
      </c>
      <c r="F173" s="18">
        <v>1.64</v>
      </c>
      <c r="G173" s="1">
        <f t="shared" ca="1" si="2"/>
        <v>1.5</v>
      </c>
    </row>
    <row r="174" spans="1:7" x14ac:dyDescent="0.25">
      <c r="A174" s="13">
        <v>173</v>
      </c>
      <c r="B174" s="1" t="s">
        <v>47</v>
      </c>
      <c r="C174" s="1" t="s">
        <v>133</v>
      </c>
      <c r="D174" s="1" t="s">
        <v>47</v>
      </c>
      <c r="E174" s="1" t="s">
        <v>59</v>
      </c>
      <c r="F174" s="18">
        <v>4.42</v>
      </c>
      <c r="G174" s="1">
        <f t="shared" ca="1" si="2"/>
        <v>0.5</v>
      </c>
    </row>
    <row r="175" spans="1:7" x14ac:dyDescent="0.25">
      <c r="A175" s="13">
        <v>174</v>
      </c>
      <c r="B175" s="1" t="s">
        <v>47</v>
      </c>
      <c r="C175" s="1" t="s">
        <v>50</v>
      </c>
      <c r="D175" s="1" t="s">
        <v>47</v>
      </c>
      <c r="E175" s="1" t="s">
        <v>51</v>
      </c>
      <c r="F175" s="18">
        <v>1.2</v>
      </c>
      <c r="G175" s="1">
        <f t="shared" ca="1" si="2"/>
        <v>1.5</v>
      </c>
    </row>
    <row r="176" spans="1:7" x14ac:dyDescent="0.25">
      <c r="A176" s="13">
        <v>175</v>
      </c>
      <c r="B176" s="1" t="s">
        <v>47</v>
      </c>
      <c r="C176" s="1" t="s">
        <v>117</v>
      </c>
      <c r="D176" s="1" t="s">
        <v>47</v>
      </c>
      <c r="E176" s="1" t="s">
        <v>50</v>
      </c>
      <c r="F176" s="18">
        <v>1.42</v>
      </c>
      <c r="G176" s="1">
        <f t="shared" ca="1" si="2"/>
        <v>1</v>
      </c>
    </row>
    <row r="177" spans="1:7" x14ac:dyDescent="0.25">
      <c r="A177" s="13">
        <v>176</v>
      </c>
      <c r="B177" s="1" t="s">
        <v>47</v>
      </c>
      <c r="C177" s="1" t="s">
        <v>117</v>
      </c>
      <c r="D177" s="1" t="s">
        <v>47</v>
      </c>
      <c r="E177" s="1" t="s">
        <v>59</v>
      </c>
      <c r="F177" s="18">
        <v>2</v>
      </c>
      <c r="G177" s="1">
        <f t="shared" ca="1" si="2"/>
        <v>1</v>
      </c>
    </row>
    <row r="178" spans="1:7" x14ac:dyDescent="0.25">
      <c r="A178" s="13">
        <v>177</v>
      </c>
      <c r="B178" s="1" t="s">
        <v>47</v>
      </c>
      <c r="C178" s="1" t="s">
        <v>59</v>
      </c>
      <c r="D178" s="1" t="s">
        <v>47</v>
      </c>
      <c r="E178" s="1" t="s">
        <v>58</v>
      </c>
      <c r="F178" s="18">
        <v>2.1</v>
      </c>
      <c r="G178" s="1">
        <f t="shared" ca="1" si="2"/>
        <v>0.5</v>
      </c>
    </row>
    <row r="179" spans="1:7" x14ac:dyDescent="0.25">
      <c r="A179" s="13">
        <v>178</v>
      </c>
      <c r="B179" s="1" t="s">
        <v>47</v>
      </c>
      <c r="C179" s="1" t="s">
        <v>58</v>
      </c>
      <c r="D179" s="1" t="s">
        <v>47</v>
      </c>
      <c r="E179" s="1" t="s">
        <v>51</v>
      </c>
      <c r="F179" s="18">
        <v>1.57</v>
      </c>
      <c r="G179" s="1">
        <f t="shared" ca="1" si="2"/>
        <v>1</v>
      </c>
    </row>
    <row r="180" spans="1:7" x14ac:dyDescent="0.25">
      <c r="A180" s="13">
        <v>179</v>
      </c>
      <c r="B180" s="1" t="s">
        <v>47</v>
      </c>
      <c r="C180" s="1" t="s">
        <v>51</v>
      </c>
      <c r="D180" s="1" t="s">
        <v>47</v>
      </c>
      <c r="E180" s="1" t="s">
        <v>54</v>
      </c>
      <c r="F180" s="18">
        <v>3</v>
      </c>
      <c r="G180" s="1">
        <f t="shared" ca="1" si="2"/>
        <v>2</v>
      </c>
    </row>
    <row r="181" spans="1:7" x14ac:dyDescent="0.25">
      <c r="A181" s="13">
        <v>180</v>
      </c>
      <c r="B181" s="1" t="s">
        <v>47</v>
      </c>
      <c r="C181" s="1" t="s">
        <v>54</v>
      </c>
      <c r="D181" s="1" t="s">
        <v>47</v>
      </c>
      <c r="E181" s="1" t="s">
        <v>54</v>
      </c>
      <c r="F181" s="18">
        <v>2.06</v>
      </c>
      <c r="G181" s="1">
        <f t="shared" ca="1" si="2"/>
        <v>1.5</v>
      </c>
    </row>
    <row r="182" spans="1:7" x14ac:dyDescent="0.25">
      <c r="A182" s="13">
        <v>181</v>
      </c>
      <c r="B182" s="1" t="s">
        <v>47</v>
      </c>
      <c r="C182" s="1" t="s">
        <v>50</v>
      </c>
      <c r="D182" s="1" t="s">
        <v>47</v>
      </c>
      <c r="E182" s="1" t="s">
        <v>51</v>
      </c>
      <c r="F182" s="18">
        <v>1.78</v>
      </c>
      <c r="G182" s="1">
        <f t="shared" ca="1" si="2"/>
        <v>1.5</v>
      </c>
    </row>
    <row r="183" spans="1:7" x14ac:dyDescent="0.25">
      <c r="A183" s="13">
        <v>182</v>
      </c>
      <c r="B183" s="1" t="s">
        <v>47</v>
      </c>
      <c r="C183" s="1" t="s">
        <v>51</v>
      </c>
      <c r="D183" s="1" t="s">
        <v>47</v>
      </c>
      <c r="E183" s="1" t="s">
        <v>48</v>
      </c>
      <c r="F183" s="18">
        <v>4.7699999999999996</v>
      </c>
      <c r="G183" s="1">
        <f t="shared" ca="1" si="2"/>
        <v>2</v>
      </c>
    </row>
    <row r="184" spans="1:7" x14ac:dyDescent="0.25">
      <c r="A184" s="13">
        <v>183</v>
      </c>
      <c r="B184" s="1" t="s">
        <v>47</v>
      </c>
      <c r="C184" s="1" t="s">
        <v>49</v>
      </c>
      <c r="D184" s="1" t="s">
        <v>47</v>
      </c>
      <c r="E184" s="1" t="s">
        <v>54</v>
      </c>
      <c r="F184" s="18">
        <v>9.69</v>
      </c>
      <c r="G184" s="1">
        <f t="shared" ca="1" si="2"/>
        <v>2</v>
      </c>
    </row>
    <row r="185" spans="1:7" x14ac:dyDescent="0.25">
      <c r="A185" s="13">
        <v>184</v>
      </c>
      <c r="B185" s="1" t="s">
        <v>47</v>
      </c>
      <c r="C185" s="1" t="s">
        <v>54</v>
      </c>
      <c r="D185" s="1" t="s">
        <v>47</v>
      </c>
      <c r="E185" s="1" t="s">
        <v>54</v>
      </c>
      <c r="F185" s="18">
        <v>1.75</v>
      </c>
      <c r="G185" s="1">
        <f t="shared" ca="1" si="2"/>
        <v>1</v>
      </c>
    </row>
    <row r="186" spans="1:7" x14ac:dyDescent="0.25">
      <c r="A186" s="13">
        <v>185</v>
      </c>
      <c r="B186" s="1" t="s">
        <v>47</v>
      </c>
      <c r="C186" s="1" t="s">
        <v>54</v>
      </c>
      <c r="D186" s="1" t="s">
        <v>47</v>
      </c>
      <c r="E186" s="1" t="s">
        <v>59</v>
      </c>
      <c r="F186" s="18">
        <v>0.54</v>
      </c>
      <c r="G186" s="1">
        <f t="shared" ca="1" si="2"/>
        <v>0.5</v>
      </c>
    </row>
    <row r="187" spans="1:7" x14ac:dyDescent="0.25">
      <c r="A187" s="13">
        <v>186</v>
      </c>
      <c r="B187" s="1" t="s">
        <v>47</v>
      </c>
      <c r="C187" s="1" t="s">
        <v>59</v>
      </c>
      <c r="D187" s="1" t="s">
        <v>47</v>
      </c>
      <c r="E187" s="1" t="s">
        <v>59</v>
      </c>
      <c r="F187" s="18">
        <v>1.22</v>
      </c>
      <c r="G187" s="1">
        <f t="shared" ca="1" si="2"/>
        <v>1</v>
      </c>
    </row>
    <row r="188" spans="1:7" x14ac:dyDescent="0.25">
      <c r="A188" s="13">
        <v>187</v>
      </c>
      <c r="B188" s="1" t="s">
        <v>47</v>
      </c>
      <c r="C188" s="1" t="s">
        <v>49</v>
      </c>
      <c r="D188" s="1" t="s">
        <v>47</v>
      </c>
      <c r="E188" s="1" t="s">
        <v>46</v>
      </c>
      <c r="F188" s="18">
        <v>2.33</v>
      </c>
      <c r="G188" s="1">
        <f t="shared" ca="1" si="2"/>
        <v>1.5</v>
      </c>
    </row>
    <row r="189" spans="1:7" x14ac:dyDescent="0.25">
      <c r="A189" s="13">
        <v>188</v>
      </c>
      <c r="B189" s="1" t="s">
        <v>47</v>
      </c>
      <c r="C189" s="1" t="s">
        <v>46</v>
      </c>
      <c r="D189" s="1" t="s">
        <v>47</v>
      </c>
      <c r="E189" s="1" t="s">
        <v>59</v>
      </c>
      <c r="F189" s="18">
        <v>4.58</v>
      </c>
      <c r="G189" s="1">
        <f t="shared" ca="1" si="2"/>
        <v>1</v>
      </c>
    </row>
    <row r="190" spans="1:7" x14ac:dyDescent="0.25">
      <c r="A190" s="13">
        <v>189</v>
      </c>
      <c r="B190" s="1" t="s">
        <v>47</v>
      </c>
      <c r="C190" s="1" t="s">
        <v>54</v>
      </c>
      <c r="D190" s="1" t="s">
        <v>47</v>
      </c>
      <c r="E190" s="1" t="s">
        <v>59</v>
      </c>
      <c r="F190" s="18">
        <v>2.17</v>
      </c>
      <c r="G190" s="1">
        <f t="shared" ca="1" si="2"/>
        <v>1</v>
      </c>
    </row>
    <row r="191" spans="1:7" x14ac:dyDescent="0.25">
      <c r="A191" s="13">
        <v>190</v>
      </c>
      <c r="B191" s="1" t="s">
        <v>47</v>
      </c>
      <c r="C191" s="1" t="s">
        <v>59</v>
      </c>
      <c r="D191" s="1" t="s">
        <v>47</v>
      </c>
      <c r="E191" s="1" t="s">
        <v>58</v>
      </c>
      <c r="F191" s="18">
        <v>1.67</v>
      </c>
      <c r="G191" s="1">
        <f t="shared" ca="1" si="2"/>
        <v>0.5</v>
      </c>
    </row>
    <row r="192" spans="1:7" x14ac:dyDescent="0.25">
      <c r="A192" s="13">
        <v>191</v>
      </c>
      <c r="B192" s="1" t="s">
        <v>47</v>
      </c>
      <c r="C192" s="1" t="s">
        <v>58</v>
      </c>
      <c r="D192" s="1" t="s">
        <v>47</v>
      </c>
      <c r="E192" s="1" t="s">
        <v>59</v>
      </c>
      <c r="F192" s="18">
        <v>3.66</v>
      </c>
      <c r="G192" s="1">
        <f t="shared" ca="1" si="2"/>
        <v>2</v>
      </c>
    </row>
    <row r="193" spans="1:7" x14ac:dyDescent="0.25">
      <c r="A193" s="13">
        <v>192</v>
      </c>
      <c r="B193" s="1" t="s">
        <v>47</v>
      </c>
      <c r="C193" s="1" t="s">
        <v>59</v>
      </c>
      <c r="D193" s="1" t="s">
        <v>47</v>
      </c>
      <c r="E193" s="1" t="s">
        <v>81</v>
      </c>
      <c r="F193" s="18">
        <v>4</v>
      </c>
      <c r="G193" s="1">
        <f t="shared" ca="1" si="2"/>
        <v>1</v>
      </c>
    </row>
    <row r="194" spans="1:7" x14ac:dyDescent="0.25">
      <c r="A194" s="13">
        <v>193</v>
      </c>
      <c r="B194" s="1" t="s">
        <v>47</v>
      </c>
      <c r="C194" s="1" t="s">
        <v>63</v>
      </c>
      <c r="D194" s="1" t="s">
        <v>44</v>
      </c>
      <c r="E194" s="1" t="s">
        <v>53</v>
      </c>
      <c r="F194" s="18">
        <v>12.3</v>
      </c>
      <c r="G194" s="1">
        <f t="shared" ca="1" si="2"/>
        <v>1.5</v>
      </c>
    </row>
    <row r="195" spans="1:7" x14ac:dyDescent="0.25">
      <c r="A195" s="13">
        <v>194</v>
      </c>
      <c r="B195" s="1" t="s">
        <v>47</v>
      </c>
      <c r="C195" s="1" t="s">
        <v>59</v>
      </c>
      <c r="D195" s="1" t="s">
        <v>47</v>
      </c>
      <c r="E195" s="1" t="s">
        <v>49</v>
      </c>
      <c r="F195" s="18">
        <v>4.3600000000000003</v>
      </c>
      <c r="G195" s="1">
        <f t="shared" ref="G195:G258" ca="1" si="3">CHOOSE(RANDBETWEEN(1,4),0.5,1,1.5,2)</f>
        <v>0.5</v>
      </c>
    </row>
    <row r="196" spans="1:7" x14ac:dyDescent="0.25">
      <c r="A196" s="13">
        <v>195</v>
      </c>
      <c r="B196" s="1" t="s">
        <v>47</v>
      </c>
      <c r="C196" s="1" t="s">
        <v>71</v>
      </c>
      <c r="D196" s="1" t="s">
        <v>47</v>
      </c>
      <c r="E196" s="1" t="s">
        <v>54</v>
      </c>
      <c r="F196" s="18">
        <v>4.97</v>
      </c>
      <c r="G196" s="1">
        <f t="shared" ca="1" si="3"/>
        <v>1</v>
      </c>
    </row>
    <row r="197" spans="1:7" x14ac:dyDescent="0.25">
      <c r="A197" s="13">
        <v>196</v>
      </c>
      <c r="B197" s="1" t="s">
        <v>47</v>
      </c>
      <c r="C197" s="1" t="s">
        <v>50</v>
      </c>
      <c r="D197" s="1" t="s">
        <v>47</v>
      </c>
      <c r="E197" s="1" t="s">
        <v>50</v>
      </c>
      <c r="F197" s="18">
        <v>1.76</v>
      </c>
      <c r="G197" s="1">
        <f t="shared" ca="1" si="3"/>
        <v>2</v>
      </c>
    </row>
    <row r="198" spans="1:7" x14ac:dyDescent="0.25">
      <c r="A198" s="13">
        <v>197</v>
      </c>
      <c r="B198" s="1" t="s">
        <v>47</v>
      </c>
      <c r="C198" s="1" t="s">
        <v>52</v>
      </c>
      <c r="D198" s="1" t="s">
        <v>47</v>
      </c>
      <c r="E198" s="1" t="s">
        <v>51</v>
      </c>
      <c r="F198" s="18">
        <v>8.0299999999999994</v>
      </c>
      <c r="G198" s="1">
        <f t="shared" ca="1" si="3"/>
        <v>1</v>
      </c>
    </row>
    <row r="199" spans="1:7" x14ac:dyDescent="0.25">
      <c r="A199" s="13">
        <v>198</v>
      </c>
      <c r="B199" s="1" t="s">
        <v>47</v>
      </c>
      <c r="C199" s="1" t="s">
        <v>123</v>
      </c>
      <c r="D199" s="1" t="s">
        <v>47</v>
      </c>
      <c r="E199" s="1" t="s">
        <v>77</v>
      </c>
      <c r="F199" s="18">
        <v>7.11</v>
      </c>
      <c r="G199" s="1">
        <f t="shared" ca="1" si="3"/>
        <v>1.5</v>
      </c>
    </row>
    <row r="200" spans="1:7" x14ac:dyDescent="0.25">
      <c r="A200" s="13">
        <v>199</v>
      </c>
      <c r="B200" s="1" t="s">
        <v>47</v>
      </c>
      <c r="C200" s="1" t="s">
        <v>75</v>
      </c>
      <c r="D200" s="1" t="s">
        <v>47</v>
      </c>
      <c r="E200" s="1" t="s">
        <v>118</v>
      </c>
      <c r="F200" s="18">
        <v>10.16</v>
      </c>
      <c r="G200" s="1">
        <f t="shared" ca="1" si="3"/>
        <v>1.5</v>
      </c>
    </row>
    <row r="201" spans="1:7" x14ac:dyDescent="0.25">
      <c r="A201" s="13">
        <v>200</v>
      </c>
      <c r="B201" s="1" t="s">
        <v>47</v>
      </c>
      <c r="C201" s="1" t="s">
        <v>117</v>
      </c>
      <c r="D201" s="1" t="s">
        <v>47</v>
      </c>
      <c r="E201" s="1" t="s">
        <v>59</v>
      </c>
      <c r="F201" s="18">
        <v>3.2</v>
      </c>
      <c r="G201" s="1">
        <f t="shared" ca="1" si="3"/>
        <v>0.5</v>
      </c>
    </row>
    <row r="202" spans="1:7" x14ac:dyDescent="0.25">
      <c r="A202" s="13">
        <v>201</v>
      </c>
      <c r="B202" s="1">
        <v>0</v>
      </c>
      <c r="C202" s="1">
        <v>0</v>
      </c>
      <c r="D202" s="1">
        <v>0</v>
      </c>
      <c r="E202" s="1">
        <v>0</v>
      </c>
      <c r="F202" s="18">
        <v>0</v>
      </c>
      <c r="G202" s="1">
        <f t="shared" ca="1" si="3"/>
        <v>2</v>
      </c>
    </row>
    <row r="203" spans="1:7" x14ac:dyDescent="0.25">
      <c r="A203" s="13">
        <v>202</v>
      </c>
      <c r="B203" s="1" t="s">
        <v>47</v>
      </c>
      <c r="C203" s="1" t="s">
        <v>51</v>
      </c>
      <c r="D203" s="1" t="s">
        <v>47</v>
      </c>
      <c r="E203" s="1" t="s">
        <v>53</v>
      </c>
      <c r="F203" s="18">
        <v>6.67</v>
      </c>
      <c r="G203" s="1">
        <f t="shared" ca="1" si="3"/>
        <v>2</v>
      </c>
    </row>
    <row r="204" spans="1:7" x14ac:dyDescent="0.25">
      <c r="A204" s="13">
        <v>203</v>
      </c>
      <c r="B204" s="1" t="s">
        <v>47</v>
      </c>
      <c r="C204" s="1" t="s">
        <v>101</v>
      </c>
      <c r="D204" s="1" t="s">
        <v>47</v>
      </c>
      <c r="E204" s="1" t="s">
        <v>118</v>
      </c>
      <c r="F204" s="18">
        <v>1.79</v>
      </c>
      <c r="G204" s="1">
        <f t="shared" ca="1" si="3"/>
        <v>1</v>
      </c>
    </row>
    <row r="205" spans="1:7" x14ac:dyDescent="0.25">
      <c r="A205" s="13">
        <v>204</v>
      </c>
      <c r="B205" s="1" t="s">
        <v>47</v>
      </c>
      <c r="C205" s="1" t="s">
        <v>51</v>
      </c>
      <c r="D205" s="1" t="s">
        <v>47</v>
      </c>
      <c r="E205" s="1" t="s">
        <v>52</v>
      </c>
      <c r="F205" s="18">
        <v>5.2</v>
      </c>
      <c r="G205" s="1">
        <f t="shared" ca="1" si="3"/>
        <v>1</v>
      </c>
    </row>
    <row r="206" spans="1:7" x14ac:dyDescent="0.25">
      <c r="A206" s="13">
        <v>205</v>
      </c>
      <c r="B206" s="1" t="s">
        <v>47</v>
      </c>
      <c r="C206" s="1" t="s">
        <v>52</v>
      </c>
      <c r="D206" s="1" t="s">
        <v>47</v>
      </c>
      <c r="E206" s="1" t="s">
        <v>51</v>
      </c>
      <c r="F206" s="18">
        <v>6.72</v>
      </c>
      <c r="G206" s="1">
        <f t="shared" ca="1" si="3"/>
        <v>1</v>
      </c>
    </row>
    <row r="207" spans="1:7" x14ac:dyDescent="0.25">
      <c r="A207" s="13">
        <v>206</v>
      </c>
      <c r="B207" s="1" t="s">
        <v>47</v>
      </c>
      <c r="C207" s="1" t="s">
        <v>118</v>
      </c>
      <c r="D207" s="1" t="s">
        <v>47</v>
      </c>
      <c r="E207" s="1" t="s">
        <v>51</v>
      </c>
      <c r="F207" s="18">
        <v>1.79</v>
      </c>
      <c r="G207" s="1">
        <f t="shared" ca="1" si="3"/>
        <v>2</v>
      </c>
    </row>
    <row r="208" spans="1:7" x14ac:dyDescent="0.25">
      <c r="A208" s="13">
        <v>207</v>
      </c>
      <c r="B208" s="1" t="s">
        <v>47</v>
      </c>
      <c r="C208" s="1" t="s">
        <v>54</v>
      </c>
      <c r="D208" s="1" t="s">
        <v>47</v>
      </c>
      <c r="E208" s="1" t="s">
        <v>54</v>
      </c>
      <c r="F208" s="18">
        <v>1.68</v>
      </c>
      <c r="G208" s="1">
        <f t="shared" ca="1" si="3"/>
        <v>1.5</v>
      </c>
    </row>
    <row r="209" spans="1:7" x14ac:dyDescent="0.25">
      <c r="A209" s="13">
        <v>208</v>
      </c>
      <c r="B209" s="1" t="s">
        <v>47</v>
      </c>
      <c r="C209" s="1" t="s">
        <v>54</v>
      </c>
      <c r="D209" s="1" t="s">
        <v>44</v>
      </c>
      <c r="E209" s="1" t="s">
        <v>79</v>
      </c>
      <c r="F209" s="18">
        <v>10.62</v>
      </c>
      <c r="G209" s="1">
        <f t="shared" ca="1" si="3"/>
        <v>2</v>
      </c>
    </row>
    <row r="210" spans="1:7" x14ac:dyDescent="0.25">
      <c r="A210" s="13">
        <v>209</v>
      </c>
      <c r="B210" s="1" t="s">
        <v>44</v>
      </c>
      <c r="C210" s="1" t="s">
        <v>79</v>
      </c>
      <c r="D210" s="1" t="s">
        <v>47</v>
      </c>
      <c r="E210" s="1" t="s">
        <v>111</v>
      </c>
      <c r="F210" s="18">
        <v>16.649999999999999</v>
      </c>
      <c r="G210" s="1">
        <f t="shared" ca="1" si="3"/>
        <v>0.5</v>
      </c>
    </row>
    <row r="211" spans="1:7" x14ac:dyDescent="0.25">
      <c r="A211" s="13">
        <v>210</v>
      </c>
      <c r="B211" s="1" t="s">
        <v>47</v>
      </c>
      <c r="C211" s="1" t="s">
        <v>111</v>
      </c>
      <c r="D211" s="1" t="s">
        <v>47</v>
      </c>
      <c r="E211" s="1" t="s">
        <v>58</v>
      </c>
      <c r="F211" s="18">
        <v>9.23</v>
      </c>
      <c r="G211" s="1">
        <f t="shared" ca="1" si="3"/>
        <v>0.5</v>
      </c>
    </row>
    <row r="212" spans="1:7" x14ac:dyDescent="0.25">
      <c r="A212" s="13">
        <v>211</v>
      </c>
      <c r="B212" s="1" t="s">
        <v>47</v>
      </c>
      <c r="C212" s="1" t="s">
        <v>51</v>
      </c>
      <c r="D212" s="1" t="s">
        <v>44</v>
      </c>
      <c r="E212" s="1" t="s">
        <v>62</v>
      </c>
      <c r="F212" s="18">
        <v>17.18</v>
      </c>
      <c r="G212" s="1">
        <f t="shared" ca="1" si="3"/>
        <v>2</v>
      </c>
    </row>
    <row r="213" spans="1:7" x14ac:dyDescent="0.25">
      <c r="A213" s="13">
        <v>212</v>
      </c>
      <c r="B213" s="1" t="s">
        <v>47</v>
      </c>
      <c r="C213" s="1" t="s">
        <v>54</v>
      </c>
      <c r="D213" s="1" t="s">
        <v>47</v>
      </c>
      <c r="E213" s="1" t="s">
        <v>54</v>
      </c>
      <c r="F213" s="18">
        <v>3.4</v>
      </c>
      <c r="G213" s="1">
        <f t="shared" ca="1" si="3"/>
        <v>1.5</v>
      </c>
    </row>
    <row r="214" spans="1:7" x14ac:dyDescent="0.25">
      <c r="A214" s="13">
        <v>213</v>
      </c>
      <c r="B214" s="1" t="s">
        <v>47</v>
      </c>
      <c r="C214" s="1" t="s">
        <v>54</v>
      </c>
      <c r="D214" s="1" t="s">
        <v>47</v>
      </c>
      <c r="E214" s="1" t="s">
        <v>59</v>
      </c>
      <c r="F214" s="18">
        <v>1.5</v>
      </c>
      <c r="G214" s="1">
        <f t="shared" ca="1" si="3"/>
        <v>0.5</v>
      </c>
    </row>
    <row r="215" spans="1:7" x14ac:dyDescent="0.25">
      <c r="A215" s="13">
        <v>214</v>
      </c>
      <c r="B215" s="1" t="s">
        <v>47</v>
      </c>
      <c r="C215" s="1" t="s">
        <v>59</v>
      </c>
      <c r="D215" s="1" t="s">
        <v>47</v>
      </c>
      <c r="E215" s="1" t="s">
        <v>54</v>
      </c>
      <c r="F215" s="18">
        <v>2.66</v>
      </c>
      <c r="G215" s="1">
        <f t="shared" ca="1" si="3"/>
        <v>2</v>
      </c>
    </row>
    <row r="216" spans="1:7" x14ac:dyDescent="0.25">
      <c r="A216" s="13">
        <v>215</v>
      </c>
      <c r="B216" s="1" t="s">
        <v>47</v>
      </c>
      <c r="C216" s="1" t="s">
        <v>54</v>
      </c>
      <c r="D216" s="1" t="s">
        <v>47</v>
      </c>
      <c r="E216" s="1" t="s">
        <v>58</v>
      </c>
      <c r="F216" s="18">
        <v>1.78</v>
      </c>
      <c r="G216" s="1">
        <f t="shared" ca="1" si="3"/>
        <v>0.5</v>
      </c>
    </row>
    <row r="217" spans="1:7" x14ac:dyDescent="0.25">
      <c r="A217" s="13">
        <v>216</v>
      </c>
      <c r="B217" s="1" t="s">
        <v>47</v>
      </c>
      <c r="C217" s="1" t="s">
        <v>59</v>
      </c>
      <c r="D217" s="1" t="s">
        <v>47</v>
      </c>
      <c r="E217" s="1" t="s">
        <v>59</v>
      </c>
      <c r="F217" s="18">
        <v>1.63</v>
      </c>
      <c r="G217" s="1">
        <f t="shared" ca="1" si="3"/>
        <v>1</v>
      </c>
    </row>
    <row r="218" spans="1:7" x14ac:dyDescent="0.25">
      <c r="A218" s="13">
        <v>217</v>
      </c>
      <c r="B218" s="1" t="s">
        <v>47</v>
      </c>
      <c r="C218" s="1" t="s">
        <v>51</v>
      </c>
      <c r="D218" s="1" t="s">
        <v>47</v>
      </c>
      <c r="E218" s="1" t="s">
        <v>117</v>
      </c>
      <c r="F218" s="18">
        <v>1.49</v>
      </c>
      <c r="G218" s="1">
        <f t="shared" ca="1" si="3"/>
        <v>0.5</v>
      </c>
    </row>
    <row r="219" spans="1:7" x14ac:dyDescent="0.25">
      <c r="A219" s="13">
        <v>218</v>
      </c>
      <c r="B219" s="1" t="s">
        <v>47</v>
      </c>
      <c r="C219" s="1" t="s">
        <v>117</v>
      </c>
      <c r="D219" s="1" t="s">
        <v>47</v>
      </c>
      <c r="E219" s="1" t="s">
        <v>59</v>
      </c>
      <c r="F219" s="18">
        <v>2.4900000000000002</v>
      </c>
      <c r="G219" s="1">
        <f t="shared" ca="1" si="3"/>
        <v>2</v>
      </c>
    </row>
    <row r="220" spans="1:7" x14ac:dyDescent="0.25">
      <c r="A220" s="13">
        <v>219</v>
      </c>
      <c r="B220" s="1" t="s">
        <v>47</v>
      </c>
      <c r="C220" s="1" t="s">
        <v>59</v>
      </c>
      <c r="D220" s="1" t="s">
        <v>47</v>
      </c>
      <c r="E220" s="1" t="s">
        <v>81</v>
      </c>
      <c r="F220" s="18">
        <v>5.94</v>
      </c>
      <c r="G220" s="1">
        <f t="shared" ca="1" si="3"/>
        <v>1</v>
      </c>
    </row>
    <row r="221" spans="1:7" x14ac:dyDescent="0.25">
      <c r="A221" s="13">
        <v>220</v>
      </c>
      <c r="B221" s="1" t="s">
        <v>47</v>
      </c>
      <c r="C221" s="1" t="s">
        <v>81</v>
      </c>
      <c r="D221" s="1" t="s">
        <v>47</v>
      </c>
      <c r="E221" s="1" t="s">
        <v>50</v>
      </c>
      <c r="F221" s="18">
        <v>7.1</v>
      </c>
      <c r="G221" s="1">
        <f t="shared" ca="1" si="3"/>
        <v>1</v>
      </c>
    </row>
    <row r="222" spans="1:7" x14ac:dyDescent="0.25">
      <c r="A222" s="13">
        <v>221</v>
      </c>
      <c r="B222" s="1" t="s">
        <v>47</v>
      </c>
      <c r="C222" s="1" t="s">
        <v>50</v>
      </c>
      <c r="D222" s="1" t="s">
        <v>47</v>
      </c>
      <c r="E222" s="1" t="s">
        <v>117</v>
      </c>
      <c r="F222" s="18">
        <v>1.3</v>
      </c>
      <c r="G222" s="1">
        <f t="shared" ca="1" si="3"/>
        <v>2</v>
      </c>
    </row>
    <row r="223" spans="1:7" x14ac:dyDescent="0.25">
      <c r="A223" s="13">
        <v>222</v>
      </c>
      <c r="B223" s="1" t="s">
        <v>47</v>
      </c>
      <c r="C223" s="1" t="s">
        <v>51</v>
      </c>
      <c r="D223" s="1" t="s">
        <v>47</v>
      </c>
      <c r="E223" s="1" t="s">
        <v>54</v>
      </c>
      <c r="F223" s="18">
        <v>3.21</v>
      </c>
      <c r="G223" s="1">
        <f t="shared" ca="1" si="3"/>
        <v>2</v>
      </c>
    </row>
    <row r="224" spans="1:7" x14ac:dyDescent="0.25">
      <c r="A224" s="13">
        <v>223</v>
      </c>
      <c r="B224" s="1" t="s">
        <v>47</v>
      </c>
      <c r="C224" s="1" t="s">
        <v>129</v>
      </c>
      <c r="D224" s="1" t="s">
        <v>47</v>
      </c>
      <c r="E224" s="1" t="s">
        <v>54</v>
      </c>
      <c r="F224" s="18">
        <v>3.43</v>
      </c>
      <c r="G224" s="1">
        <f t="shared" ca="1" si="3"/>
        <v>1.5</v>
      </c>
    </row>
    <row r="225" spans="1:7" x14ac:dyDescent="0.25">
      <c r="A225" s="13">
        <v>224</v>
      </c>
      <c r="B225" s="1" t="s">
        <v>47</v>
      </c>
      <c r="C225" s="1" t="s">
        <v>54</v>
      </c>
      <c r="D225" s="1" t="s">
        <v>47</v>
      </c>
      <c r="E225" s="1" t="s">
        <v>48</v>
      </c>
      <c r="F225" s="18">
        <v>3.21</v>
      </c>
      <c r="G225" s="1">
        <f t="shared" ca="1" si="3"/>
        <v>1.5</v>
      </c>
    </row>
    <row r="226" spans="1:7" x14ac:dyDescent="0.25">
      <c r="A226" s="13">
        <v>225</v>
      </c>
      <c r="B226" s="1" t="s">
        <v>47</v>
      </c>
      <c r="C226" s="1" t="s">
        <v>59</v>
      </c>
      <c r="D226" s="1" t="s">
        <v>47</v>
      </c>
      <c r="E226" s="1" t="s">
        <v>51</v>
      </c>
      <c r="F226" s="18">
        <v>1.65</v>
      </c>
      <c r="G226" s="1">
        <f t="shared" ca="1" si="3"/>
        <v>2</v>
      </c>
    </row>
    <row r="227" spans="1:7" x14ac:dyDescent="0.25">
      <c r="A227" s="13">
        <v>226</v>
      </c>
      <c r="B227" s="1" t="s">
        <v>47</v>
      </c>
      <c r="C227" s="1" t="s">
        <v>59</v>
      </c>
      <c r="D227" s="1" t="s">
        <v>47</v>
      </c>
      <c r="E227" s="1" t="s">
        <v>50</v>
      </c>
      <c r="F227" s="18">
        <v>2.68</v>
      </c>
      <c r="G227" s="1">
        <f t="shared" ca="1" si="3"/>
        <v>1.5</v>
      </c>
    </row>
    <row r="228" spans="1:7" x14ac:dyDescent="0.25">
      <c r="A228" s="13">
        <v>227</v>
      </c>
      <c r="B228" s="1" t="s">
        <v>47</v>
      </c>
      <c r="C228" s="1" t="s">
        <v>73</v>
      </c>
      <c r="D228" s="1" t="s">
        <v>47</v>
      </c>
      <c r="E228" s="1" t="s">
        <v>58</v>
      </c>
      <c r="F228" s="18">
        <v>3.08</v>
      </c>
      <c r="G228" s="1">
        <f t="shared" ca="1" si="3"/>
        <v>1</v>
      </c>
    </row>
    <row r="229" spans="1:7" x14ac:dyDescent="0.25">
      <c r="A229" s="13">
        <v>228</v>
      </c>
      <c r="B229" s="1" t="s">
        <v>47</v>
      </c>
      <c r="C229" s="1" t="s">
        <v>58</v>
      </c>
      <c r="D229" s="1" t="s">
        <v>47</v>
      </c>
      <c r="E229" s="1" t="s">
        <v>71</v>
      </c>
      <c r="F229" s="18">
        <v>6.48</v>
      </c>
      <c r="G229" s="1">
        <f t="shared" ca="1" si="3"/>
        <v>1.5</v>
      </c>
    </row>
    <row r="230" spans="1:7" x14ac:dyDescent="0.25">
      <c r="A230" s="13">
        <v>229</v>
      </c>
      <c r="B230" s="1" t="s">
        <v>47</v>
      </c>
      <c r="C230" s="1" t="s">
        <v>71</v>
      </c>
      <c r="D230" s="1" t="s">
        <v>47</v>
      </c>
      <c r="E230" s="1" t="s">
        <v>71</v>
      </c>
      <c r="F230" s="18">
        <v>1.5</v>
      </c>
      <c r="G230" s="1">
        <f t="shared" ca="1" si="3"/>
        <v>1.5</v>
      </c>
    </row>
    <row r="231" spans="1:7" x14ac:dyDescent="0.25">
      <c r="A231" s="13">
        <v>230</v>
      </c>
      <c r="B231" s="1" t="s">
        <v>47</v>
      </c>
      <c r="C231" s="1" t="s">
        <v>48</v>
      </c>
      <c r="D231" s="1" t="s">
        <v>44</v>
      </c>
      <c r="E231" s="1" t="s">
        <v>46</v>
      </c>
      <c r="F231" s="18">
        <v>15.31</v>
      </c>
      <c r="G231" s="1">
        <f t="shared" ca="1" si="3"/>
        <v>1.5</v>
      </c>
    </row>
    <row r="232" spans="1:7" x14ac:dyDescent="0.25">
      <c r="A232" s="13">
        <v>231</v>
      </c>
      <c r="B232" s="1" t="s">
        <v>44</v>
      </c>
      <c r="C232" s="1" t="s">
        <v>46</v>
      </c>
      <c r="D232" s="1" t="s">
        <v>44</v>
      </c>
      <c r="E232" s="1" t="s">
        <v>134</v>
      </c>
      <c r="F232" s="18">
        <v>9.4700000000000006</v>
      </c>
      <c r="G232" s="1">
        <f t="shared" ca="1" si="3"/>
        <v>2</v>
      </c>
    </row>
    <row r="233" spans="1:7" x14ac:dyDescent="0.25">
      <c r="A233" s="13">
        <v>232</v>
      </c>
      <c r="B233" s="1" t="s">
        <v>44</v>
      </c>
      <c r="C233" s="1" t="s">
        <v>134</v>
      </c>
      <c r="D233" s="1" t="s">
        <v>44</v>
      </c>
      <c r="E233" s="1" t="s">
        <v>95</v>
      </c>
      <c r="F233" s="18">
        <v>5.59</v>
      </c>
      <c r="G233" s="1">
        <f t="shared" ca="1" si="3"/>
        <v>1.5</v>
      </c>
    </row>
    <row r="234" spans="1:7" x14ac:dyDescent="0.25">
      <c r="A234" s="13">
        <v>233</v>
      </c>
      <c r="B234" s="1" t="s">
        <v>44</v>
      </c>
      <c r="C234" s="1" t="s">
        <v>95</v>
      </c>
      <c r="D234" s="1" t="s">
        <v>47</v>
      </c>
      <c r="E234" s="1" t="s">
        <v>77</v>
      </c>
      <c r="F234" s="18">
        <v>11.43</v>
      </c>
      <c r="G234" s="1">
        <f t="shared" ca="1" si="3"/>
        <v>1.5</v>
      </c>
    </row>
    <row r="235" spans="1:7" x14ac:dyDescent="0.25">
      <c r="A235" s="13">
        <v>234</v>
      </c>
      <c r="B235" s="1" t="s">
        <v>47</v>
      </c>
      <c r="C235" s="1" t="s">
        <v>75</v>
      </c>
      <c r="D235" s="1" t="s">
        <v>47</v>
      </c>
      <c r="E235" s="1" t="s">
        <v>86</v>
      </c>
      <c r="F235" s="18">
        <v>8.2100000000000009</v>
      </c>
      <c r="G235" s="1">
        <f t="shared" ca="1" si="3"/>
        <v>1</v>
      </c>
    </row>
    <row r="236" spans="1:7" x14ac:dyDescent="0.25">
      <c r="A236" s="13">
        <v>235</v>
      </c>
      <c r="B236" s="1" t="s">
        <v>44</v>
      </c>
      <c r="C236" s="1" t="s">
        <v>62</v>
      </c>
      <c r="D236" s="1" t="s">
        <v>47</v>
      </c>
      <c r="E236" s="1" t="s">
        <v>81</v>
      </c>
      <c r="F236" s="18">
        <v>6.91</v>
      </c>
      <c r="G236" s="1">
        <f t="shared" ca="1" si="3"/>
        <v>1</v>
      </c>
    </row>
    <row r="237" spans="1:7" x14ac:dyDescent="0.25">
      <c r="A237" s="13">
        <v>236</v>
      </c>
      <c r="B237" s="1" t="s">
        <v>47</v>
      </c>
      <c r="C237" s="1" t="s">
        <v>77</v>
      </c>
      <c r="D237" s="1" t="s">
        <v>47</v>
      </c>
      <c r="E237" s="1" t="s">
        <v>77</v>
      </c>
      <c r="F237" s="18">
        <v>1.54</v>
      </c>
      <c r="G237" s="1">
        <f t="shared" ca="1" si="3"/>
        <v>1</v>
      </c>
    </row>
    <row r="238" spans="1:7" x14ac:dyDescent="0.25">
      <c r="A238" s="13">
        <v>237</v>
      </c>
      <c r="B238" s="1" t="s">
        <v>47</v>
      </c>
      <c r="C238" s="1" t="s">
        <v>81</v>
      </c>
      <c r="D238" s="1" t="s">
        <v>47</v>
      </c>
      <c r="E238" s="1" t="s">
        <v>99</v>
      </c>
      <c r="F238" s="18">
        <v>3.23</v>
      </c>
      <c r="G238" s="1">
        <f t="shared" ca="1" si="3"/>
        <v>1.5</v>
      </c>
    </row>
    <row r="239" spans="1:7" x14ac:dyDescent="0.25">
      <c r="A239" s="13">
        <v>238</v>
      </c>
      <c r="B239" s="1" t="s">
        <v>44</v>
      </c>
      <c r="C239" s="1" t="s">
        <v>94</v>
      </c>
      <c r="D239" s="1" t="s">
        <v>47</v>
      </c>
      <c r="E239" s="1" t="s">
        <v>50</v>
      </c>
      <c r="F239" s="18">
        <v>12.49</v>
      </c>
      <c r="G239" s="1">
        <f t="shared" ca="1" si="3"/>
        <v>1</v>
      </c>
    </row>
    <row r="240" spans="1:7" x14ac:dyDescent="0.25">
      <c r="A240" s="13">
        <v>239</v>
      </c>
      <c r="B240" s="1" t="s">
        <v>47</v>
      </c>
      <c r="C240" s="1" t="s">
        <v>50</v>
      </c>
      <c r="D240" s="1" t="s">
        <v>47</v>
      </c>
      <c r="E240" s="1" t="s">
        <v>59</v>
      </c>
      <c r="F240" s="18">
        <v>3.08</v>
      </c>
      <c r="G240" s="1">
        <f t="shared" ca="1" si="3"/>
        <v>0.5</v>
      </c>
    </row>
    <row r="241" spans="1:7" x14ac:dyDescent="0.25">
      <c r="A241" s="13">
        <v>240</v>
      </c>
      <c r="B241" s="1" t="s">
        <v>47</v>
      </c>
      <c r="C241" s="1" t="s">
        <v>111</v>
      </c>
      <c r="D241" s="1" t="s">
        <v>47</v>
      </c>
      <c r="E241" s="1" t="s">
        <v>97</v>
      </c>
      <c r="F241" s="18">
        <v>8.4700000000000006</v>
      </c>
      <c r="G241" s="1">
        <f t="shared" ca="1" si="3"/>
        <v>2</v>
      </c>
    </row>
    <row r="242" spans="1:7" x14ac:dyDescent="0.25">
      <c r="A242" s="13">
        <v>241</v>
      </c>
      <c r="B242" s="1" t="s">
        <v>47</v>
      </c>
      <c r="C242" s="1" t="s">
        <v>54</v>
      </c>
      <c r="D242" s="1" t="s">
        <v>47</v>
      </c>
      <c r="E242" s="1" t="s">
        <v>75</v>
      </c>
      <c r="F242" s="18">
        <v>8.0399999999999991</v>
      </c>
      <c r="G242" s="1">
        <f t="shared" ca="1" si="3"/>
        <v>1.5</v>
      </c>
    </row>
    <row r="243" spans="1:7" x14ac:dyDescent="0.25">
      <c r="A243" s="13">
        <v>242</v>
      </c>
      <c r="B243" s="1" t="s">
        <v>47</v>
      </c>
      <c r="C243" s="1" t="s">
        <v>77</v>
      </c>
      <c r="D243" s="1" t="s">
        <v>47</v>
      </c>
      <c r="E243" s="1" t="s">
        <v>99</v>
      </c>
      <c r="F243" s="18">
        <v>2.39</v>
      </c>
      <c r="G243" s="1">
        <f t="shared" ca="1" si="3"/>
        <v>1.5</v>
      </c>
    </row>
    <row r="244" spans="1:7" x14ac:dyDescent="0.25">
      <c r="A244" s="13">
        <v>243</v>
      </c>
      <c r="B244" s="1" t="s">
        <v>47</v>
      </c>
      <c r="C244" s="1" t="s">
        <v>75</v>
      </c>
      <c r="D244" s="1" t="s">
        <v>44</v>
      </c>
      <c r="E244" s="1" t="s">
        <v>135</v>
      </c>
      <c r="F244" s="18">
        <v>2.39</v>
      </c>
      <c r="G244" s="1">
        <f t="shared" ca="1" si="3"/>
        <v>0.5</v>
      </c>
    </row>
    <row r="245" spans="1:7" x14ac:dyDescent="0.25">
      <c r="A245" s="13">
        <v>244</v>
      </c>
      <c r="B245" s="1" t="s">
        <v>47</v>
      </c>
      <c r="C245" s="1" t="s">
        <v>76</v>
      </c>
      <c r="D245" s="1" t="s">
        <v>44</v>
      </c>
      <c r="E245" s="1" t="s">
        <v>79</v>
      </c>
      <c r="F245" s="18">
        <v>1.62</v>
      </c>
      <c r="G245" s="1">
        <f t="shared" ca="1" si="3"/>
        <v>0.5</v>
      </c>
    </row>
    <row r="246" spans="1:7" x14ac:dyDescent="0.25">
      <c r="A246" s="13">
        <v>245</v>
      </c>
      <c r="B246" s="1" t="s">
        <v>44</v>
      </c>
      <c r="C246" s="1" t="s">
        <v>79</v>
      </c>
      <c r="D246" s="1" t="s">
        <v>44</v>
      </c>
      <c r="E246" s="1" t="s">
        <v>79</v>
      </c>
      <c r="F246" s="18">
        <v>0.89</v>
      </c>
      <c r="G246" s="1">
        <f t="shared" ca="1" si="3"/>
        <v>2</v>
      </c>
    </row>
    <row r="247" spans="1:7" x14ac:dyDescent="0.25">
      <c r="A247" s="13">
        <v>246</v>
      </c>
      <c r="B247" s="1" t="s">
        <v>47</v>
      </c>
      <c r="C247" s="1" t="s">
        <v>79</v>
      </c>
      <c r="D247" s="1" t="s">
        <v>44</v>
      </c>
      <c r="E247" s="1" t="s">
        <v>62</v>
      </c>
      <c r="F247" s="18">
        <v>5.34</v>
      </c>
      <c r="G247" s="1">
        <f t="shared" ca="1" si="3"/>
        <v>2</v>
      </c>
    </row>
    <row r="248" spans="1:7" x14ac:dyDescent="0.25">
      <c r="A248" s="13">
        <v>247</v>
      </c>
      <c r="B248" s="1" t="s">
        <v>44</v>
      </c>
      <c r="C248" s="1" t="s">
        <v>62</v>
      </c>
      <c r="D248" s="1" t="s">
        <v>44</v>
      </c>
      <c r="E248" s="1" t="s">
        <v>62</v>
      </c>
      <c r="F248" s="18">
        <v>2.3199999999999998</v>
      </c>
      <c r="G248" s="1">
        <f t="shared" ca="1" si="3"/>
        <v>2</v>
      </c>
    </row>
    <row r="249" spans="1:7" x14ac:dyDescent="0.25">
      <c r="A249" s="13">
        <v>248</v>
      </c>
      <c r="B249" s="1" t="s">
        <v>44</v>
      </c>
      <c r="C249" s="1" t="s">
        <v>62</v>
      </c>
      <c r="D249" s="1" t="s">
        <v>47</v>
      </c>
      <c r="E249" s="1" t="s">
        <v>54</v>
      </c>
      <c r="F249" s="18">
        <v>10.27</v>
      </c>
      <c r="G249" s="1">
        <f t="shared" ca="1" si="3"/>
        <v>1</v>
      </c>
    </row>
    <row r="250" spans="1:7" x14ac:dyDescent="0.25">
      <c r="A250" s="13">
        <v>249</v>
      </c>
      <c r="B250" s="1" t="s">
        <v>47</v>
      </c>
      <c r="C250" s="1" t="s">
        <v>51</v>
      </c>
      <c r="D250" s="1" t="s">
        <v>47</v>
      </c>
      <c r="E250" s="1" t="s">
        <v>71</v>
      </c>
      <c r="F250" s="18">
        <v>3.19</v>
      </c>
      <c r="G250" s="1">
        <f t="shared" ca="1" si="3"/>
        <v>2</v>
      </c>
    </row>
    <row r="251" spans="1:7" x14ac:dyDescent="0.25">
      <c r="A251" s="13">
        <v>250</v>
      </c>
      <c r="B251" s="1" t="s">
        <v>47</v>
      </c>
      <c r="C251" s="1" t="s">
        <v>71</v>
      </c>
      <c r="D251" s="1" t="s">
        <v>47</v>
      </c>
      <c r="E251" s="1" t="s">
        <v>54</v>
      </c>
      <c r="F251" s="18">
        <v>1.87</v>
      </c>
      <c r="G251" s="1">
        <f t="shared" ca="1" si="3"/>
        <v>0.5</v>
      </c>
    </row>
    <row r="252" spans="1:7" x14ac:dyDescent="0.25">
      <c r="A252" s="13">
        <v>251</v>
      </c>
      <c r="B252" s="1" t="s">
        <v>47</v>
      </c>
      <c r="C252" s="1" t="s">
        <v>54</v>
      </c>
      <c r="D252" s="1" t="s">
        <v>47</v>
      </c>
      <c r="E252" s="1" t="s">
        <v>52</v>
      </c>
      <c r="F252" s="18">
        <v>12.19</v>
      </c>
      <c r="G252" s="1">
        <f t="shared" ca="1" si="3"/>
        <v>1.5</v>
      </c>
    </row>
    <row r="253" spans="1:7" x14ac:dyDescent="0.25">
      <c r="A253" s="13">
        <v>252</v>
      </c>
      <c r="B253" s="1" t="s">
        <v>47</v>
      </c>
      <c r="C253" s="1" t="s">
        <v>136</v>
      </c>
      <c r="D253" s="1" t="s">
        <v>44</v>
      </c>
      <c r="E253" s="1" t="s">
        <v>116</v>
      </c>
      <c r="F253" s="18">
        <v>18.5</v>
      </c>
      <c r="G253" s="1">
        <f t="shared" ca="1" si="3"/>
        <v>1</v>
      </c>
    </row>
    <row r="254" spans="1:7" x14ac:dyDescent="0.25">
      <c r="A254" s="13">
        <v>253</v>
      </c>
      <c r="B254" s="1" t="s">
        <v>44</v>
      </c>
      <c r="C254" s="1" t="s">
        <v>116</v>
      </c>
      <c r="D254" s="1" t="s">
        <v>47</v>
      </c>
      <c r="E254" s="1" t="s">
        <v>111</v>
      </c>
      <c r="F254" s="18">
        <v>10.1</v>
      </c>
      <c r="G254" s="1">
        <f t="shared" ca="1" si="3"/>
        <v>1.5</v>
      </c>
    </row>
    <row r="255" spans="1:7" x14ac:dyDescent="0.25">
      <c r="A255" s="13">
        <v>254</v>
      </c>
      <c r="B255" s="1" t="s">
        <v>47</v>
      </c>
      <c r="C255" s="1" t="s">
        <v>97</v>
      </c>
      <c r="D255" s="1" t="s">
        <v>47</v>
      </c>
      <c r="E255" s="1" t="s">
        <v>54</v>
      </c>
      <c r="F255" s="18">
        <v>2.75</v>
      </c>
      <c r="G255" s="1">
        <f t="shared" ca="1" si="3"/>
        <v>1</v>
      </c>
    </row>
    <row r="256" spans="1:7" x14ac:dyDescent="0.25">
      <c r="A256" s="13">
        <v>255</v>
      </c>
      <c r="B256" s="1" t="s">
        <v>47</v>
      </c>
      <c r="C256" s="1" t="s">
        <v>54</v>
      </c>
      <c r="D256" s="1" t="s">
        <v>47</v>
      </c>
      <c r="E256" s="1" t="s">
        <v>51</v>
      </c>
      <c r="F256" s="18">
        <v>4.3899999999999997</v>
      </c>
      <c r="G256" s="1">
        <f t="shared" ca="1" si="3"/>
        <v>2</v>
      </c>
    </row>
    <row r="257" spans="1:7" x14ac:dyDescent="0.25">
      <c r="A257" s="13">
        <v>256</v>
      </c>
      <c r="B257" s="1" t="s">
        <v>47</v>
      </c>
      <c r="C257" s="1" t="s">
        <v>51</v>
      </c>
      <c r="D257" s="1" t="s">
        <v>47</v>
      </c>
      <c r="E257" s="1" t="s">
        <v>54</v>
      </c>
      <c r="F257" s="18">
        <v>1.64</v>
      </c>
      <c r="G257" s="1">
        <f t="shared" ca="1" si="3"/>
        <v>1</v>
      </c>
    </row>
    <row r="258" spans="1:7" x14ac:dyDescent="0.25">
      <c r="A258" s="13">
        <v>257</v>
      </c>
      <c r="B258" s="1" t="s">
        <v>47</v>
      </c>
      <c r="C258" s="1" t="s">
        <v>54</v>
      </c>
      <c r="D258" s="1" t="s">
        <v>47</v>
      </c>
      <c r="E258" s="1" t="s">
        <v>113</v>
      </c>
      <c r="F258" s="18">
        <v>15.74</v>
      </c>
      <c r="G258" s="1">
        <f t="shared" ca="1" si="3"/>
        <v>1.5</v>
      </c>
    </row>
    <row r="259" spans="1:7" x14ac:dyDescent="0.25">
      <c r="A259" s="13">
        <v>258</v>
      </c>
      <c r="B259" s="1" t="s">
        <v>44</v>
      </c>
      <c r="C259" s="1" t="s">
        <v>113</v>
      </c>
      <c r="D259" s="1" t="s">
        <v>47</v>
      </c>
      <c r="E259" s="1" t="s">
        <v>75</v>
      </c>
      <c r="F259" s="18">
        <v>11.48</v>
      </c>
      <c r="G259" s="1">
        <f t="shared" ref="G259:G320" ca="1" si="4">CHOOSE(RANDBETWEEN(1,4),0.5,1,1.5,2)</f>
        <v>1</v>
      </c>
    </row>
    <row r="260" spans="1:7" x14ac:dyDescent="0.25">
      <c r="A260" s="13">
        <v>259</v>
      </c>
      <c r="B260" s="1" t="s">
        <v>47</v>
      </c>
      <c r="C260" s="1" t="s">
        <v>48</v>
      </c>
      <c r="D260" s="1" t="s">
        <v>47</v>
      </c>
      <c r="E260" s="1" t="s">
        <v>58</v>
      </c>
      <c r="F260" s="18">
        <v>3.2</v>
      </c>
      <c r="G260" s="1">
        <f t="shared" ca="1" si="4"/>
        <v>2</v>
      </c>
    </row>
    <row r="261" spans="1:7" x14ac:dyDescent="0.25">
      <c r="A261" s="13">
        <v>260</v>
      </c>
      <c r="B261" s="1" t="s">
        <v>47</v>
      </c>
      <c r="C261" s="1" t="s">
        <v>58</v>
      </c>
      <c r="D261" s="1" t="s">
        <v>44</v>
      </c>
      <c r="E261" s="1" t="s">
        <v>74</v>
      </c>
      <c r="F261" s="18">
        <v>19.3</v>
      </c>
      <c r="G261" s="1">
        <f t="shared" ca="1" si="4"/>
        <v>0.5</v>
      </c>
    </row>
    <row r="262" spans="1:7" x14ac:dyDescent="0.25">
      <c r="A262" s="13">
        <v>261</v>
      </c>
      <c r="B262" s="1" t="s">
        <v>44</v>
      </c>
      <c r="C262" s="1" t="s">
        <v>74</v>
      </c>
      <c r="D262" s="1" t="s">
        <v>47</v>
      </c>
      <c r="E262" s="1" t="s">
        <v>127</v>
      </c>
      <c r="F262" s="18">
        <v>12.02</v>
      </c>
      <c r="G262" s="1">
        <f t="shared" ca="1" si="4"/>
        <v>1.5</v>
      </c>
    </row>
    <row r="263" spans="1:7" x14ac:dyDescent="0.25">
      <c r="A263" s="13">
        <v>262</v>
      </c>
      <c r="B263" s="1" t="s">
        <v>47</v>
      </c>
      <c r="C263" s="1" t="s">
        <v>137</v>
      </c>
      <c r="D263" s="1" t="s">
        <v>47</v>
      </c>
      <c r="E263" s="1" t="s">
        <v>46</v>
      </c>
      <c r="F263" s="18">
        <v>6.18</v>
      </c>
      <c r="G263" s="1">
        <f t="shared" ca="1" si="4"/>
        <v>1</v>
      </c>
    </row>
    <row r="264" spans="1:7" x14ac:dyDescent="0.25">
      <c r="A264" s="13">
        <v>263</v>
      </c>
      <c r="B264" s="1" t="s">
        <v>47</v>
      </c>
      <c r="C264" s="1" t="s">
        <v>49</v>
      </c>
      <c r="D264" s="1" t="s">
        <v>47</v>
      </c>
      <c r="E264" s="1" t="s">
        <v>138</v>
      </c>
      <c r="F264" s="18">
        <v>1.96</v>
      </c>
      <c r="G264" s="1">
        <f t="shared" ca="1" si="4"/>
        <v>1</v>
      </c>
    </row>
    <row r="265" spans="1:7" x14ac:dyDescent="0.25">
      <c r="A265" s="13">
        <v>264</v>
      </c>
      <c r="B265" s="1" t="s">
        <v>47</v>
      </c>
      <c r="C265" s="1" t="s">
        <v>104</v>
      </c>
      <c r="D265" s="1" t="s">
        <v>47</v>
      </c>
      <c r="E265" s="1" t="s">
        <v>46</v>
      </c>
      <c r="F265" s="18">
        <v>1.36</v>
      </c>
      <c r="G265" s="1">
        <f t="shared" ca="1" si="4"/>
        <v>0.5</v>
      </c>
    </row>
    <row r="266" spans="1:7" x14ac:dyDescent="0.25">
      <c r="A266" s="13">
        <v>265</v>
      </c>
      <c r="B266" s="1" t="s">
        <v>47</v>
      </c>
      <c r="C266" s="1" t="s">
        <v>71</v>
      </c>
      <c r="D266" s="1" t="s">
        <v>47</v>
      </c>
      <c r="E266" s="1" t="s">
        <v>111</v>
      </c>
      <c r="F266" s="18">
        <v>8.1300000000000008</v>
      </c>
      <c r="G266" s="1">
        <f t="shared" ca="1" si="4"/>
        <v>1</v>
      </c>
    </row>
    <row r="267" spans="1:7" x14ac:dyDescent="0.25">
      <c r="A267" s="13">
        <v>266</v>
      </c>
      <c r="B267" s="1" t="s">
        <v>47</v>
      </c>
      <c r="C267" s="1" t="s">
        <v>97</v>
      </c>
      <c r="D267" s="1" t="s">
        <v>47</v>
      </c>
      <c r="E267" s="1" t="s">
        <v>62</v>
      </c>
      <c r="F267" s="18">
        <v>5.18</v>
      </c>
      <c r="G267" s="1">
        <f t="shared" ca="1" si="4"/>
        <v>1.5</v>
      </c>
    </row>
    <row r="268" spans="1:7" x14ac:dyDescent="0.25">
      <c r="A268" s="13">
        <v>267</v>
      </c>
      <c r="B268" s="1" t="s">
        <v>44</v>
      </c>
      <c r="C268" s="1" t="s">
        <v>62</v>
      </c>
      <c r="D268" s="1" t="s">
        <v>44</v>
      </c>
      <c r="E268" s="1" t="s">
        <v>62</v>
      </c>
      <c r="F268" s="18">
        <v>2.82</v>
      </c>
      <c r="G268" s="1">
        <f t="shared" ca="1" si="4"/>
        <v>1.5</v>
      </c>
    </row>
    <row r="269" spans="1:7" x14ac:dyDescent="0.25">
      <c r="A269" s="13">
        <v>268</v>
      </c>
      <c r="B269" s="1" t="s">
        <v>44</v>
      </c>
      <c r="C269" s="1" t="s">
        <v>91</v>
      </c>
      <c r="D269" s="1" t="s">
        <v>44</v>
      </c>
      <c r="E269" s="1" t="s">
        <v>46</v>
      </c>
      <c r="F269" s="18">
        <v>5.68</v>
      </c>
      <c r="G269" s="1">
        <f t="shared" ca="1" si="4"/>
        <v>0.5</v>
      </c>
    </row>
    <row r="270" spans="1:7" x14ac:dyDescent="0.25">
      <c r="A270" s="13">
        <v>269</v>
      </c>
      <c r="B270" s="1" t="s">
        <v>44</v>
      </c>
      <c r="C270" s="1" t="s">
        <v>74</v>
      </c>
      <c r="D270" s="1" t="s">
        <v>56</v>
      </c>
      <c r="E270" s="1" t="s">
        <v>46</v>
      </c>
      <c r="F270" s="18">
        <v>43.03</v>
      </c>
      <c r="G270" s="1">
        <f t="shared" ca="1" si="4"/>
        <v>2</v>
      </c>
    </row>
    <row r="271" spans="1:7" x14ac:dyDescent="0.25">
      <c r="A271" s="13">
        <v>270</v>
      </c>
      <c r="B271" s="1" t="s">
        <v>56</v>
      </c>
      <c r="C271" s="1" t="s">
        <v>139</v>
      </c>
      <c r="D271" s="1" t="s">
        <v>56</v>
      </c>
      <c r="E271" s="1" t="s">
        <v>140</v>
      </c>
      <c r="F271" s="18">
        <v>7.55</v>
      </c>
      <c r="G271" s="1">
        <f t="shared" ca="1" si="4"/>
        <v>1</v>
      </c>
    </row>
    <row r="272" spans="1:7" x14ac:dyDescent="0.25">
      <c r="A272" s="13">
        <v>271</v>
      </c>
      <c r="B272" s="1" t="s">
        <v>56</v>
      </c>
      <c r="C272" s="1" t="s">
        <v>140</v>
      </c>
      <c r="D272" s="1" t="s">
        <v>56</v>
      </c>
      <c r="E272" s="1" t="s">
        <v>141</v>
      </c>
      <c r="F272" s="18">
        <v>1.78</v>
      </c>
      <c r="G272" s="1">
        <f t="shared" ca="1" si="4"/>
        <v>1.5</v>
      </c>
    </row>
    <row r="273" spans="1:7" x14ac:dyDescent="0.25">
      <c r="A273" s="13">
        <v>272</v>
      </c>
      <c r="B273" s="1" t="s">
        <v>142</v>
      </c>
      <c r="C273" s="1" t="s">
        <v>56</v>
      </c>
      <c r="D273" s="1" t="s">
        <v>44</v>
      </c>
      <c r="E273" s="1" t="s">
        <v>93</v>
      </c>
      <c r="F273" s="18">
        <v>27.33</v>
      </c>
      <c r="G273" s="1">
        <f t="shared" ca="1" si="4"/>
        <v>0.5</v>
      </c>
    </row>
    <row r="274" spans="1:7" x14ac:dyDescent="0.25">
      <c r="A274" s="13">
        <v>273</v>
      </c>
      <c r="B274" s="1" t="s">
        <v>44</v>
      </c>
      <c r="C274" s="1" t="s">
        <v>93</v>
      </c>
      <c r="D274" s="1" t="s">
        <v>47</v>
      </c>
      <c r="E274" s="1" t="s">
        <v>52</v>
      </c>
      <c r="F274" s="18">
        <v>26.76</v>
      </c>
      <c r="G274" s="1">
        <f t="shared" ca="1" si="4"/>
        <v>1</v>
      </c>
    </row>
    <row r="275" spans="1:7" x14ac:dyDescent="0.25">
      <c r="A275" s="13">
        <v>274</v>
      </c>
      <c r="B275" s="1" t="s">
        <v>47</v>
      </c>
      <c r="C275" s="1" t="s">
        <v>143</v>
      </c>
      <c r="D275" s="1" t="s">
        <v>47</v>
      </c>
      <c r="E275" s="1" t="s">
        <v>51</v>
      </c>
      <c r="F275" s="18">
        <v>7.63</v>
      </c>
      <c r="G275" s="1">
        <f t="shared" ca="1" si="4"/>
        <v>0.5</v>
      </c>
    </row>
    <row r="276" spans="1:7" x14ac:dyDescent="0.25">
      <c r="A276" s="13">
        <v>275</v>
      </c>
      <c r="B276" s="1" t="s">
        <v>47</v>
      </c>
      <c r="C276" s="1" t="s">
        <v>51</v>
      </c>
      <c r="D276" s="1" t="s">
        <v>47</v>
      </c>
      <c r="E276" s="1" t="s">
        <v>51</v>
      </c>
      <c r="F276" s="18">
        <v>1.21</v>
      </c>
      <c r="G276" s="1">
        <f t="shared" ca="1" si="4"/>
        <v>1.5</v>
      </c>
    </row>
    <row r="277" spans="1:7" x14ac:dyDescent="0.25">
      <c r="A277" s="13">
        <v>276</v>
      </c>
      <c r="B277" s="1" t="s">
        <v>47</v>
      </c>
      <c r="C277" s="1" t="s">
        <v>117</v>
      </c>
      <c r="D277" s="1" t="s">
        <v>47</v>
      </c>
      <c r="E277" s="1" t="s">
        <v>54</v>
      </c>
      <c r="F277" s="18">
        <v>1.42</v>
      </c>
      <c r="G277" s="1">
        <f t="shared" ca="1" si="4"/>
        <v>1</v>
      </c>
    </row>
    <row r="278" spans="1:7" x14ac:dyDescent="0.25">
      <c r="A278" s="13">
        <v>277</v>
      </c>
      <c r="B278" s="1" t="s">
        <v>47</v>
      </c>
      <c r="C278" s="1" t="s">
        <v>59</v>
      </c>
      <c r="D278" s="1" t="s">
        <v>47</v>
      </c>
      <c r="E278" s="1" t="s">
        <v>58</v>
      </c>
      <c r="F278" s="18">
        <v>0.72</v>
      </c>
      <c r="G278" s="1">
        <f t="shared" ca="1" si="4"/>
        <v>0.5</v>
      </c>
    </row>
    <row r="279" spans="1:7" x14ac:dyDescent="0.25">
      <c r="A279" s="13">
        <v>278</v>
      </c>
      <c r="B279" s="1" t="s">
        <v>47</v>
      </c>
      <c r="C279" s="1" t="s">
        <v>58</v>
      </c>
      <c r="D279" s="1" t="s">
        <v>47</v>
      </c>
      <c r="E279" s="1" t="s">
        <v>58</v>
      </c>
      <c r="F279" s="18">
        <v>0.72</v>
      </c>
      <c r="G279" s="1">
        <f t="shared" ca="1" si="4"/>
        <v>1</v>
      </c>
    </row>
    <row r="280" spans="1:7" x14ac:dyDescent="0.25">
      <c r="A280" s="13">
        <v>279</v>
      </c>
      <c r="B280" s="1" t="s">
        <v>47</v>
      </c>
      <c r="C280" s="1" t="s">
        <v>137</v>
      </c>
      <c r="D280" s="1" t="s">
        <v>47</v>
      </c>
      <c r="E280" s="1" t="s">
        <v>51</v>
      </c>
      <c r="F280" s="18">
        <v>9.23</v>
      </c>
      <c r="G280" s="1">
        <f t="shared" ca="1" si="4"/>
        <v>0.5</v>
      </c>
    </row>
    <row r="281" spans="1:7" x14ac:dyDescent="0.25">
      <c r="A281" s="13">
        <v>280</v>
      </c>
      <c r="B281" s="1" t="s">
        <v>47</v>
      </c>
      <c r="C281" s="1" t="s">
        <v>81</v>
      </c>
      <c r="D281" s="1" t="s">
        <v>47</v>
      </c>
      <c r="E281" s="1" t="s">
        <v>63</v>
      </c>
      <c r="F281" s="18">
        <v>0.91</v>
      </c>
      <c r="G281" s="1">
        <f t="shared" ca="1" si="4"/>
        <v>2</v>
      </c>
    </row>
    <row r="282" spans="1:7" x14ac:dyDescent="0.25">
      <c r="A282" s="13">
        <v>281</v>
      </c>
      <c r="B282" s="1" t="s">
        <v>47</v>
      </c>
      <c r="C282" s="1" t="s">
        <v>73</v>
      </c>
      <c r="D282" s="1" t="s">
        <v>44</v>
      </c>
      <c r="E282" s="1" t="s">
        <v>46</v>
      </c>
      <c r="F282" s="18">
        <v>19.07</v>
      </c>
      <c r="G282" s="1">
        <f t="shared" ca="1" si="4"/>
        <v>2</v>
      </c>
    </row>
    <row r="283" spans="1:7" x14ac:dyDescent="0.25">
      <c r="A283" s="13">
        <v>282</v>
      </c>
      <c r="B283" s="1" t="s">
        <v>44</v>
      </c>
      <c r="C283" s="1" t="s">
        <v>46</v>
      </c>
      <c r="D283" s="1" t="s">
        <v>44</v>
      </c>
      <c r="E283" s="1" t="s">
        <v>91</v>
      </c>
      <c r="F283" s="18">
        <v>4.24</v>
      </c>
      <c r="G283" s="1">
        <f t="shared" ca="1" si="4"/>
        <v>1</v>
      </c>
    </row>
    <row r="284" spans="1:7" x14ac:dyDescent="0.25">
      <c r="A284" s="13">
        <v>283</v>
      </c>
      <c r="B284" s="1" t="s">
        <v>44</v>
      </c>
      <c r="C284" s="1" t="s">
        <v>91</v>
      </c>
      <c r="D284" s="1" t="s">
        <v>47</v>
      </c>
      <c r="E284" s="1" t="s">
        <v>68</v>
      </c>
      <c r="F284" s="18">
        <v>5</v>
      </c>
      <c r="G284" s="1">
        <f t="shared" ca="1" si="4"/>
        <v>1.5</v>
      </c>
    </row>
    <row r="285" spans="1:7" x14ac:dyDescent="0.25">
      <c r="A285" s="13">
        <v>284</v>
      </c>
      <c r="B285" s="1" t="s">
        <v>47</v>
      </c>
      <c r="C285" s="1" t="s">
        <v>127</v>
      </c>
      <c r="D285" s="1" t="s">
        <v>47</v>
      </c>
      <c r="E285" s="1" t="s">
        <v>46</v>
      </c>
      <c r="F285" s="18">
        <v>5.27</v>
      </c>
      <c r="G285" s="1">
        <f t="shared" ca="1" si="4"/>
        <v>1</v>
      </c>
    </row>
    <row r="286" spans="1:7" x14ac:dyDescent="0.25">
      <c r="A286" s="13">
        <v>285</v>
      </c>
      <c r="B286" s="1" t="s">
        <v>47</v>
      </c>
      <c r="C286" s="1" t="s">
        <v>46</v>
      </c>
      <c r="D286" s="1" t="s">
        <v>47</v>
      </c>
      <c r="E286" s="1" t="s">
        <v>58</v>
      </c>
      <c r="F286" s="18">
        <v>3.96</v>
      </c>
      <c r="G286" s="1">
        <f t="shared" ca="1" si="4"/>
        <v>1.5</v>
      </c>
    </row>
    <row r="287" spans="1:7" x14ac:dyDescent="0.25">
      <c r="A287" s="13">
        <v>286</v>
      </c>
      <c r="B287" s="1" t="s">
        <v>47</v>
      </c>
      <c r="C287" s="1" t="s">
        <v>122</v>
      </c>
      <c r="D287" s="1" t="s">
        <v>47</v>
      </c>
      <c r="E287" s="1" t="s">
        <v>59</v>
      </c>
      <c r="F287" s="18">
        <v>3.3</v>
      </c>
      <c r="G287" s="1">
        <f t="shared" ca="1" si="4"/>
        <v>0.5</v>
      </c>
    </row>
    <row r="288" spans="1:7" x14ac:dyDescent="0.25">
      <c r="A288" s="13">
        <v>287</v>
      </c>
      <c r="B288" s="1" t="s">
        <v>47</v>
      </c>
      <c r="C288" s="1" t="s">
        <v>59</v>
      </c>
      <c r="D288" s="1" t="s">
        <v>47</v>
      </c>
      <c r="E288" s="1" t="s">
        <v>59</v>
      </c>
      <c r="F288" s="18">
        <v>1.69</v>
      </c>
      <c r="G288" s="1">
        <f t="shared" ca="1" si="4"/>
        <v>1</v>
      </c>
    </row>
    <row r="289" spans="1:7" x14ac:dyDescent="0.25">
      <c r="A289" s="13">
        <v>288</v>
      </c>
      <c r="B289" s="1" t="s">
        <v>47</v>
      </c>
      <c r="C289" s="1" t="s">
        <v>54</v>
      </c>
      <c r="D289" s="1" t="s">
        <v>47</v>
      </c>
      <c r="E289" s="1" t="s">
        <v>92</v>
      </c>
      <c r="F289" s="18">
        <v>8.2799999999999994</v>
      </c>
      <c r="G289" s="1">
        <f t="shared" ca="1" si="4"/>
        <v>2</v>
      </c>
    </row>
    <row r="290" spans="1:7" x14ac:dyDescent="0.25">
      <c r="A290" s="13">
        <v>289</v>
      </c>
      <c r="B290" s="1" t="s">
        <v>47</v>
      </c>
      <c r="C290" s="1" t="s">
        <v>67</v>
      </c>
      <c r="D290" s="1" t="s">
        <v>44</v>
      </c>
      <c r="E290" s="1" t="s">
        <v>74</v>
      </c>
      <c r="F290" s="18">
        <v>12.18</v>
      </c>
      <c r="G290" s="1">
        <f t="shared" ca="1" si="4"/>
        <v>0.5</v>
      </c>
    </row>
    <row r="291" spans="1:7" x14ac:dyDescent="0.25">
      <c r="A291" s="13">
        <v>290</v>
      </c>
      <c r="B291" s="1" t="s">
        <v>44</v>
      </c>
      <c r="C291" s="1" t="s">
        <v>74</v>
      </c>
      <c r="D291" s="1" t="s">
        <v>44</v>
      </c>
      <c r="E291" s="1" t="s">
        <v>79</v>
      </c>
      <c r="F291" s="18">
        <v>7.18</v>
      </c>
      <c r="G291" s="1">
        <f t="shared" ca="1" si="4"/>
        <v>1</v>
      </c>
    </row>
    <row r="292" spans="1:7" x14ac:dyDescent="0.25">
      <c r="A292" s="13">
        <v>291</v>
      </c>
      <c r="B292" s="1" t="s">
        <v>44</v>
      </c>
      <c r="C292" s="1" t="s">
        <v>79</v>
      </c>
      <c r="D292" s="1" t="s">
        <v>44</v>
      </c>
      <c r="E292" s="1" t="s">
        <v>79</v>
      </c>
      <c r="F292" s="18">
        <v>2.72</v>
      </c>
      <c r="G292" s="1">
        <f t="shared" ca="1" si="4"/>
        <v>1.5</v>
      </c>
    </row>
    <row r="293" spans="1:7" x14ac:dyDescent="0.25">
      <c r="A293" s="13">
        <v>292</v>
      </c>
      <c r="B293" s="1" t="s">
        <v>47</v>
      </c>
      <c r="C293" s="1" t="s">
        <v>69</v>
      </c>
      <c r="D293" s="1" t="s">
        <v>47</v>
      </c>
      <c r="E293" s="1" t="s">
        <v>99</v>
      </c>
      <c r="F293" s="18">
        <v>3.85</v>
      </c>
      <c r="G293" s="1">
        <f t="shared" ca="1" si="4"/>
        <v>1</v>
      </c>
    </row>
    <row r="294" spans="1:7" x14ac:dyDescent="0.25">
      <c r="A294" s="13">
        <v>293</v>
      </c>
      <c r="B294" s="1" t="s">
        <v>47</v>
      </c>
      <c r="C294" s="1" t="s">
        <v>68</v>
      </c>
      <c r="D294" s="1" t="s">
        <v>44</v>
      </c>
      <c r="E294" s="1" t="s">
        <v>79</v>
      </c>
      <c r="F294" s="18">
        <v>3.7</v>
      </c>
      <c r="G294" s="1">
        <f t="shared" ca="1" si="4"/>
        <v>1.5</v>
      </c>
    </row>
    <row r="295" spans="1:7" x14ac:dyDescent="0.25">
      <c r="A295" s="13">
        <v>294</v>
      </c>
      <c r="B295" s="1" t="s">
        <v>47</v>
      </c>
      <c r="C295" s="1" t="s">
        <v>137</v>
      </c>
      <c r="D295" s="1" t="s">
        <v>47</v>
      </c>
      <c r="E295" s="1" t="s">
        <v>69</v>
      </c>
      <c r="F295" s="18">
        <v>2.1</v>
      </c>
      <c r="G295" s="1">
        <f t="shared" ca="1" si="4"/>
        <v>1.5</v>
      </c>
    </row>
    <row r="296" spans="1:7" x14ac:dyDescent="0.25">
      <c r="A296" s="13">
        <v>295</v>
      </c>
      <c r="B296" s="1" t="s">
        <v>47</v>
      </c>
      <c r="C296" s="1" t="s">
        <v>69</v>
      </c>
      <c r="D296" s="1" t="s">
        <v>47</v>
      </c>
      <c r="E296" s="1" t="s">
        <v>67</v>
      </c>
      <c r="F296" s="18">
        <v>2.4300000000000002</v>
      </c>
      <c r="G296" s="1">
        <f t="shared" ca="1" si="4"/>
        <v>2</v>
      </c>
    </row>
    <row r="297" spans="1:7" x14ac:dyDescent="0.25">
      <c r="A297" s="13">
        <v>296</v>
      </c>
      <c r="B297" s="1" t="s">
        <v>47</v>
      </c>
      <c r="C297" s="1" t="s">
        <v>67</v>
      </c>
      <c r="D297" s="1" t="s">
        <v>47</v>
      </c>
      <c r="E297" s="1" t="s">
        <v>54</v>
      </c>
      <c r="F297" s="18">
        <v>7.9</v>
      </c>
      <c r="G297" s="1">
        <f t="shared" ca="1" si="4"/>
        <v>0.5</v>
      </c>
    </row>
    <row r="298" spans="1:7" x14ac:dyDescent="0.25">
      <c r="A298" s="13">
        <v>297</v>
      </c>
      <c r="B298" s="1" t="s">
        <v>47</v>
      </c>
      <c r="C298" s="1" t="s">
        <v>54</v>
      </c>
      <c r="D298" s="1" t="s">
        <v>47</v>
      </c>
      <c r="E298" s="1" t="s">
        <v>54</v>
      </c>
      <c r="F298" s="18">
        <v>1</v>
      </c>
      <c r="G298" s="1">
        <f t="shared" ca="1" si="4"/>
        <v>0.5</v>
      </c>
    </row>
    <row r="299" spans="1:7" x14ac:dyDescent="0.25">
      <c r="A299" s="13">
        <v>298</v>
      </c>
      <c r="B299" s="1" t="s">
        <v>47</v>
      </c>
      <c r="C299" s="1" t="s">
        <v>97</v>
      </c>
      <c r="D299" s="1" t="s">
        <v>47</v>
      </c>
      <c r="E299" s="1" t="s">
        <v>97</v>
      </c>
      <c r="F299" s="18">
        <v>0.01</v>
      </c>
      <c r="G299" s="1">
        <f t="shared" ca="1" si="4"/>
        <v>1.5</v>
      </c>
    </row>
    <row r="300" spans="1:7" x14ac:dyDescent="0.25">
      <c r="A300" s="13">
        <v>299</v>
      </c>
      <c r="B300" s="1" t="s">
        <v>144</v>
      </c>
      <c r="C300" s="1" t="s">
        <v>145</v>
      </c>
      <c r="D300" s="1" t="s">
        <v>44</v>
      </c>
      <c r="E300" s="1" t="s">
        <v>46</v>
      </c>
      <c r="F300" s="18">
        <v>18.41</v>
      </c>
      <c r="G300" s="1">
        <f t="shared" ca="1" si="4"/>
        <v>1</v>
      </c>
    </row>
    <row r="301" spans="1:7" x14ac:dyDescent="0.25">
      <c r="A301" s="13">
        <v>300</v>
      </c>
      <c r="B301" s="1" t="s">
        <v>44</v>
      </c>
      <c r="C301" s="1" t="s">
        <v>86</v>
      </c>
      <c r="D301" s="1" t="s">
        <v>44</v>
      </c>
      <c r="E301" s="1" t="s">
        <v>46</v>
      </c>
      <c r="F301" s="18">
        <v>4.78</v>
      </c>
      <c r="G301" s="1">
        <f t="shared" ca="1" si="4"/>
        <v>0.5</v>
      </c>
    </row>
    <row r="302" spans="1:7" x14ac:dyDescent="0.25">
      <c r="A302" s="13">
        <v>301</v>
      </c>
      <c r="B302" s="1" t="s">
        <v>44</v>
      </c>
      <c r="C302" s="1" t="s">
        <v>46</v>
      </c>
      <c r="D302" s="1" t="s">
        <v>44</v>
      </c>
      <c r="E302" s="1" t="s">
        <v>120</v>
      </c>
      <c r="F302" s="18">
        <v>2.13</v>
      </c>
      <c r="G302" s="1">
        <f t="shared" ca="1" si="4"/>
        <v>0.5</v>
      </c>
    </row>
    <row r="303" spans="1:7" x14ac:dyDescent="0.25">
      <c r="A303" s="13">
        <v>302</v>
      </c>
      <c r="B303" s="1" t="s">
        <v>44</v>
      </c>
      <c r="C303" s="1" t="s">
        <v>62</v>
      </c>
      <c r="D303" s="1" t="s">
        <v>47</v>
      </c>
      <c r="E303" s="1" t="s">
        <v>59</v>
      </c>
      <c r="F303" s="18">
        <v>14.16</v>
      </c>
      <c r="G303" s="1">
        <f t="shared" ca="1" si="4"/>
        <v>1.5</v>
      </c>
    </row>
    <row r="304" spans="1:7" x14ac:dyDescent="0.25">
      <c r="A304" s="13">
        <v>303</v>
      </c>
      <c r="B304" s="1" t="s">
        <v>47</v>
      </c>
      <c r="C304" s="1" t="s">
        <v>59</v>
      </c>
      <c r="D304" s="1" t="s">
        <v>47</v>
      </c>
      <c r="E304" s="1" t="s">
        <v>111</v>
      </c>
      <c r="F304" s="18">
        <v>6.98</v>
      </c>
      <c r="G304" s="1">
        <f t="shared" ca="1" si="4"/>
        <v>1</v>
      </c>
    </row>
    <row r="305" spans="1:7" x14ac:dyDescent="0.25">
      <c r="A305" s="13">
        <v>304</v>
      </c>
      <c r="B305" s="1" t="s">
        <v>47</v>
      </c>
      <c r="C305" s="1" t="s">
        <v>146</v>
      </c>
      <c r="D305" s="1" t="s">
        <v>47</v>
      </c>
      <c r="E305" s="1" t="s">
        <v>59</v>
      </c>
      <c r="F305" s="18">
        <v>8.17</v>
      </c>
      <c r="G305" s="1">
        <f t="shared" ca="1" si="4"/>
        <v>0.5</v>
      </c>
    </row>
    <row r="306" spans="1:7" x14ac:dyDescent="0.25">
      <c r="A306" s="13">
        <v>305</v>
      </c>
      <c r="B306" s="1" t="s">
        <v>47</v>
      </c>
      <c r="C306" s="1" t="s">
        <v>97</v>
      </c>
      <c r="D306" s="1" t="s">
        <v>47</v>
      </c>
      <c r="E306" s="1" t="s">
        <v>51</v>
      </c>
      <c r="F306" s="18">
        <v>5.04</v>
      </c>
      <c r="G306" s="1">
        <f t="shared" ca="1" si="4"/>
        <v>1</v>
      </c>
    </row>
    <row r="307" spans="1:7" x14ac:dyDescent="0.25">
      <c r="A307" s="13">
        <v>306</v>
      </c>
      <c r="B307" s="1" t="s">
        <v>44</v>
      </c>
      <c r="C307" s="1" t="s">
        <v>147</v>
      </c>
      <c r="D307" s="1" t="s">
        <v>44</v>
      </c>
      <c r="E307" s="1" t="s">
        <v>46</v>
      </c>
      <c r="F307" s="18">
        <v>2.37</v>
      </c>
      <c r="G307" s="1">
        <f t="shared" ca="1" si="4"/>
        <v>1</v>
      </c>
    </row>
    <row r="308" spans="1:7" x14ac:dyDescent="0.25">
      <c r="A308" s="13">
        <v>307</v>
      </c>
      <c r="B308" s="1" t="s">
        <v>44</v>
      </c>
      <c r="C308" s="1" t="s">
        <v>46</v>
      </c>
      <c r="D308" s="1" t="s">
        <v>47</v>
      </c>
      <c r="E308" s="1" t="s">
        <v>75</v>
      </c>
      <c r="F308" s="18">
        <v>8.7100000000000009</v>
      </c>
      <c r="G308" s="1">
        <f t="shared" ca="1" si="4"/>
        <v>1.5</v>
      </c>
    </row>
    <row r="309" spans="1:7" x14ac:dyDescent="0.25">
      <c r="A309" s="13">
        <v>308</v>
      </c>
      <c r="B309" s="1" t="s">
        <v>44</v>
      </c>
      <c r="C309" s="1" t="s">
        <v>79</v>
      </c>
      <c r="D309" s="1" t="s">
        <v>47</v>
      </c>
      <c r="E309" s="1" t="s">
        <v>124</v>
      </c>
      <c r="F309" s="18">
        <v>7.3</v>
      </c>
      <c r="G309" s="1">
        <f t="shared" ca="1" si="4"/>
        <v>2</v>
      </c>
    </row>
    <row r="310" spans="1:7" x14ac:dyDescent="0.25">
      <c r="A310" s="13">
        <v>309</v>
      </c>
      <c r="B310" s="1" t="s">
        <v>47</v>
      </c>
      <c r="C310" s="1" t="s">
        <v>51</v>
      </c>
      <c r="D310" s="1" t="s">
        <v>47</v>
      </c>
      <c r="E310" s="1" t="s">
        <v>118</v>
      </c>
      <c r="F310" s="18">
        <v>1.62</v>
      </c>
      <c r="G310" s="1">
        <f t="shared" ca="1" si="4"/>
        <v>1</v>
      </c>
    </row>
    <row r="311" spans="1:7" x14ac:dyDescent="0.25">
      <c r="A311" s="13">
        <v>310</v>
      </c>
      <c r="B311" s="1" t="s">
        <v>47</v>
      </c>
      <c r="C311" s="1" t="s">
        <v>73</v>
      </c>
      <c r="D311" s="1" t="s">
        <v>47</v>
      </c>
      <c r="E311" s="1" t="s">
        <v>51</v>
      </c>
      <c r="F311" s="18">
        <v>1.19</v>
      </c>
      <c r="G311" s="1">
        <f t="shared" ca="1" si="4"/>
        <v>0.5</v>
      </c>
    </row>
    <row r="312" spans="1:7" x14ac:dyDescent="0.25">
      <c r="A312" s="13">
        <v>311</v>
      </c>
      <c r="B312" s="1" t="s">
        <v>47</v>
      </c>
      <c r="C312" s="1" t="s">
        <v>73</v>
      </c>
      <c r="D312" s="1" t="s">
        <v>47</v>
      </c>
      <c r="E312" s="1" t="s">
        <v>97</v>
      </c>
      <c r="F312" s="18">
        <v>7.43</v>
      </c>
      <c r="G312" s="1">
        <f t="shared" ca="1" si="4"/>
        <v>0.5</v>
      </c>
    </row>
    <row r="313" spans="1:7" x14ac:dyDescent="0.25">
      <c r="A313" s="13">
        <v>312</v>
      </c>
      <c r="B313" s="1" t="s">
        <v>47</v>
      </c>
      <c r="C313" s="1" t="s">
        <v>97</v>
      </c>
      <c r="D313" s="1" t="s">
        <v>44</v>
      </c>
      <c r="E313" s="1" t="s">
        <v>46</v>
      </c>
      <c r="F313" s="18">
        <v>13</v>
      </c>
      <c r="G313" s="1">
        <f t="shared" ca="1" si="4"/>
        <v>0.5</v>
      </c>
    </row>
    <row r="314" spans="1:7" x14ac:dyDescent="0.25">
      <c r="A314" s="13">
        <v>313</v>
      </c>
      <c r="B314" s="1" t="s">
        <v>44</v>
      </c>
      <c r="C314" s="1" t="s">
        <v>148</v>
      </c>
      <c r="D314" s="1" t="s">
        <v>44</v>
      </c>
      <c r="E314" s="1" t="s">
        <v>74</v>
      </c>
      <c r="F314" s="18">
        <v>3.57</v>
      </c>
      <c r="G314" s="1">
        <f t="shared" ca="1" si="4"/>
        <v>2</v>
      </c>
    </row>
    <row r="315" spans="1:7" x14ac:dyDescent="0.25">
      <c r="A315" s="13">
        <v>314</v>
      </c>
      <c r="B315" s="1" t="s">
        <v>44</v>
      </c>
      <c r="C315" s="1" t="s">
        <v>74</v>
      </c>
      <c r="D315" s="1" t="s">
        <v>44</v>
      </c>
      <c r="E315" s="1" t="s">
        <v>98</v>
      </c>
      <c r="F315" s="18">
        <v>6.18</v>
      </c>
      <c r="G315" s="1">
        <f t="shared" ca="1" si="4"/>
        <v>2</v>
      </c>
    </row>
    <row r="316" spans="1:7" x14ac:dyDescent="0.25">
      <c r="A316" s="13">
        <v>315</v>
      </c>
      <c r="B316" s="1" t="s">
        <v>44</v>
      </c>
      <c r="C316" s="1" t="s">
        <v>46</v>
      </c>
      <c r="D316" s="1" t="s">
        <v>44</v>
      </c>
      <c r="E316" s="1" t="s">
        <v>79</v>
      </c>
      <c r="F316" s="18">
        <v>5.28</v>
      </c>
      <c r="G316" s="1">
        <f t="shared" ca="1" si="4"/>
        <v>2</v>
      </c>
    </row>
    <row r="317" spans="1:7" x14ac:dyDescent="0.25">
      <c r="A317" s="13">
        <v>316</v>
      </c>
      <c r="B317" s="1" t="s">
        <v>44</v>
      </c>
      <c r="C317" s="1" t="s">
        <v>128</v>
      </c>
      <c r="D317" s="1" t="s">
        <v>44</v>
      </c>
      <c r="E317" s="1" t="s">
        <v>149</v>
      </c>
      <c r="F317" s="18">
        <v>22.09</v>
      </c>
      <c r="G317" s="1">
        <f t="shared" ca="1" si="4"/>
        <v>0.5</v>
      </c>
    </row>
    <row r="318" spans="1:7" x14ac:dyDescent="0.25">
      <c r="A318" s="13">
        <v>317</v>
      </c>
      <c r="B318" s="1" t="s">
        <v>47</v>
      </c>
      <c r="C318" s="1" t="s">
        <v>73</v>
      </c>
      <c r="D318" s="1" t="s">
        <v>47</v>
      </c>
      <c r="E318" s="1" t="s">
        <v>109</v>
      </c>
      <c r="F318" s="18">
        <v>4.16</v>
      </c>
      <c r="G318" s="1">
        <f t="shared" ca="1" si="4"/>
        <v>1</v>
      </c>
    </row>
    <row r="319" spans="1:7" x14ac:dyDescent="0.25">
      <c r="A319" s="13">
        <v>318</v>
      </c>
      <c r="B319" s="1" t="s">
        <v>47</v>
      </c>
      <c r="C319" s="1" t="s">
        <v>85</v>
      </c>
      <c r="D319" s="1" t="s">
        <v>44</v>
      </c>
      <c r="E319" s="1" t="s">
        <v>72</v>
      </c>
      <c r="F319" s="18">
        <v>22.77</v>
      </c>
      <c r="G319" s="1">
        <f t="shared" ca="1" si="4"/>
        <v>1.5</v>
      </c>
    </row>
    <row r="320" spans="1:7" x14ac:dyDescent="0.25">
      <c r="A320" s="13">
        <v>319</v>
      </c>
      <c r="B320" s="1" t="s">
        <v>44</v>
      </c>
      <c r="C320" s="1" t="s">
        <v>72</v>
      </c>
      <c r="D320" s="1" t="s">
        <v>47</v>
      </c>
      <c r="E320" s="1" t="s">
        <v>54</v>
      </c>
      <c r="F320" s="18">
        <v>15.85</v>
      </c>
      <c r="G320" s="1">
        <f t="shared" ca="1" si="4"/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B981-960C-4AF4-8290-0129BF74FE5C}">
  <dimension ref="A1:M320"/>
  <sheetViews>
    <sheetView tabSelected="1" workbookViewId="0">
      <pane ySplit="1" topLeftCell="A313" activePane="bottomLeft" state="frozen"/>
      <selection pane="bottomLeft" activeCell="C321" sqref="C321"/>
    </sheetView>
  </sheetViews>
  <sheetFormatPr defaultRowHeight="15" x14ac:dyDescent="0.25"/>
  <cols>
    <col min="1" max="1" width="8.5703125" style="13" bestFit="1" customWidth="1"/>
    <col min="2" max="2" width="10.7109375" style="13" bestFit="1" customWidth="1"/>
    <col min="3" max="3" width="15.28515625" style="15" bestFit="1" customWidth="1"/>
    <col min="4" max="4" width="7.140625" style="15" bestFit="1" customWidth="1"/>
    <col min="5" max="5" width="16.5703125" style="15" bestFit="1" customWidth="1"/>
    <col min="6" max="6" width="9.5703125" style="15" bestFit="1" customWidth="1"/>
    <col min="7" max="7" width="10.28515625" style="15" bestFit="1" customWidth="1"/>
    <col min="8" max="8" width="10.28515625" style="15" customWidth="1"/>
    <col min="9" max="9" width="12.85546875" style="15" bestFit="1" customWidth="1"/>
    <col min="10" max="10" width="11.42578125" style="15" bestFit="1" customWidth="1"/>
    <col min="11" max="11" width="14.42578125" style="15" bestFit="1" customWidth="1"/>
    <col min="12" max="12" width="9.85546875" style="15" bestFit="1" customWidth="1"/>
    <col min="13" max="13" width="13.140625" style="21" bestFit="1" customWidth="1"/>
    <col min="14" max="16384" width="9.140625" style="13"/>
  </cols>
  <sheetData>
    <row r="1" spans="1:13" s="10" customFormat="1" ht="15.75" customHeight="1" x14ac:dyDescent="0.25">
      <c r="A1" s="11" t="s">
        <v>5</v>
      </c>
      <c r="B1" s="11" t="s">
        <v>1</v>
      </c>
      <c r="C1" s="11" t="s">
        <v>17</v>
      </c>
      <c r="D1" s="16" t="s">
        <v>18</v>
      </c>
      <c r="E1" s="16" t="s">
        <v>90</v>
      </c>
      <c r="F1" s="16" t="s">
        <v>88</v>
      </c>
      <c r="G1" s="16" t="s">
        <v>89</v>
      </c>
      <c r="H1" s="16" t="s">
        <v>119</v>
      </c>
      <c r="I1" s="16" t="s">
        <v>130</v>
      </c>
      <c r="J1" s="16" t="s">
        <v>19</v>
      </c>
      <c r="K1" s="16" t="s">
        <v>20</v>
      </c>
      <c r="L1" s="11" t="s">
        <v>45</v>
      </c>
      <c r="M1" s="22" t="s">
        <v>55</v>
      </c>
    </row>
    <row r="2" spans="1:13" x14ac:dyDescent="0.25">
      <c r="A2" s="13">
        <v>1</v>
      </c>
      <c r="B2" s="14">
        <v>45871</v>
      </c>
      <c r="C2" s="15">
        <v>0</v>
      </c>
      <c r="D2" s="15">
        <v>0</v>
      </c>
      <c r="E2" s="15">
        <v>1.7</v>
      </c>
      <c r="I2" s="15">
        <v>6.3</v>
      </c>
      <c r="J2" s="15">
        <v>9.6</v>
      </c>
      <c r="K2" s="15">
        <v>0</v>
      </c>
      <c r="L2" s="15">
        <f t="shared" ref="L2:L33" si="0">((C2+D2+E2+F2+G2+I2)-(J2-K2))</f>
        <v>-1.5999999999999996</v>
      </c>
      <c r="M2" s="21">
        <f t="shared" ref="M2:M65" si="1">ABS(L2/(J2-K2))</f>
        <v>0.16666666666666663</v>
      </c>
    </row>
    <row r="3" spans="1:13" x14ac:dyDescent="0.25">
      <c r="A3" s="13">
        <v>2</v>
      </c>
      <c r="B3" s="14">
        <v>45911</v>
      </c>
      <c r="C3" s="15">
        <v>0</v>
      </c>
      <c r="D3" s="15">
        <v>0</v>
      </c>
      <c r="E3" s="15">
        <v>2</v>
      </c>
      <c r="I3" s="15">
        <v>5</v>
      </c>
      <c r="J3" s="15">
        <v>8.1999999999999993</v>
      </c>
      <c r="K3" s="15">
        <v>0</v>
      </c>
      <c r="L3" s="15">
        <f t="shared" si="0"/>
        <v>-1.1999999999999993</v>
      </c>
      <c r="M3" s="21">
        <f t="shared" si="1"/>
        <v>0.14634146341463408</v>
      </c>
    </row>
    <row r="4" spans="1:13" x14ac:dyDescent="0.25">
      <c r="A4" s="13">
        <v>3</v>
      </c>
      <c r="B4" s="14">
        <v>45913</v>
      </c>
      <c r="C4" s="15">
        <v>0</v>
      </c>
      <c r="D4" s="15">
        <v>0</v>
      </c>
      <c r="E4" s="15">
        <v>3.6</v>
      </c>
      <c r="I4" s="15">
        <v>6.5</v>
      </c>
      <c r="J4" s="15">
        <v>8.5</v>
      </c>
      <c r="K4" s="15">
        <v>0</v>
      </c>
      <c r="L4" s="15">
        <f t="shared" si="0"/>
        <v>1.5999999999999996</v>
      </c>
      <c r="M4" s="21">
        <f t="shared" si="1"/>
        <v>0.18823529411764703</v>
      </c>
    </row>
    <row r="5" spans="1:13" x14ac:dyDescent="0.25">
      <c r="A5" s="13">
        <v>4</v>
      </c>
      <c r="B5" s="14">
        <v>46278</v>
      </c>
      <c r="C5" s="15">
        <v>3.7</v>
      </c>
      <c r="D5" s="15">
        <v>0</v>
      </c>
      <c r="E5" s="15">
        <v>1.3</v>
      </c>
      <c r="I5" s="15">
        <v>7.7</v>
      </c>
      <c r="J5" s="15">
        <v>12.7</v>
      </c>
      <c r="K5" s="15">
        <v>0</v>
      </c>
      <c r="L5" s="15">
        <f t="shared" si="0"/>
        <v>0</v>
      </c>
      <c r="M5" s="21">
        <f t="shared" si="1"/>
        <v>0</v>
      </c>
    </row>
    <row r="6" spans="1:13" x14ac:dyDescent="0.25">
      <c r="A6" s="13">
        <v>5</v>
      </c>
      <c r="B6" s="14">
        <v>46278</v>
      </c>
      <c r="C6" s="15">
        <v>3.2</v>
      </c>
      <c r="D6" s="15">
        <v>0</v>
      </c>
      <c r="E6" s="15">
        <v>2.2000000000000002</v>
      </c>
      <c r="I6" s="15">
        <v>9.1999999999999993</v>
      </c>
      <c r="J6" s="15">
        <v>14.6</v>
      </c>
      <c r="K6" s="15">
        <v>0</v>
      </c>
      <c r="L6" s="15">
        <f t="shared" si="0"/>
        <v>0</v>
      </c>
      <c r="M6" s="21">
        <f t="shared" si="1"/>
        <v>0</v>
      </c>
    </row>
    <row r="7" spans="1:13" x14ac:dyDescent="0.25">
      <c r="A7" s="13">
        <v>6</v>
      </c>
      <c r="B7" s="14">
        <v>46278</v>
      </c>
      <c r="C7" s="15">
        <v>0</v>
      </c>
      <c r="D7" s="15">
        <v>0</v>
      </c>
      <c r="E7" s="15">
        <v>0</v>
      </c>
      <c r="I7" s="15">
        <v>2</v>
      </c>
      <c r="J7" s="15">
        <v>0</v>
      </c>
      <c r="K7" s="15">
        <v>0</v>
      </c>
      <c r="L7" s="15">
        <f t="shared" si="0"/>
        <v>2</v>
      </c>
      <c r="M7" s="21" t="e">
        <f t="shared" si="1"/>
        <v>#DIV/0!</v>
      </c>
    </row>
    <row r="8" spans="1:13" x14ac:dyDescent="0.25">
      <c r="A8" s="13">
        <v>7</v>
      </c>
      <c r="B8" s="14">
        <v>46278</v>
      </c>
      <c r="C8" s="15">
        <v>2.4</v>
      </c>
      <c r="D8" s="15">
        <v>0</v>
      </c>
      <c r="E8" s="15">
        <v>4.9000000000000004</v>
      </c>
      <c r="I8" s="15">
        <v>6.3</v>
      </c>
      <c r="J8" s="15">
        <v>13.6</v>
      </c>
      <c r="K8" s="15">
        <v>0</v>
      </c>
      <c r="L8" s="15">
        <f t="shared" si="0"/>
        <v>1.7763568394002505E-15</v>
      </c>
      <c r="M8" s="21">
        <f t="shared" si="1"/>
        <v>1.3061447348531254E-16</v>
      </c>
    </row>
    <row r="9" spans="1:13" x14ac:dyDescent="0.25">
      <c r="A9" s="13">
        <v>8</v>
      </c>
      <c r="B9" s="14">
        <v>46278</v>
      </c>
      <c r="C9" s="15">
        <v>0</v>
      </c>
      <c r="D9" s="15">
        <v>0</v>
      </c>
      <c r="E9" s="15">
        <v>0</v>
      </c>
      <c r="I9" s="15">
        <v>7.92</v>
      </c>
      <c r="J9" s="15">
        <v>0</v>
      </c>
      <c r="K9" s="15">
        <v>0</v>
      </c>
      <c r="L9" s="15">
        <f t="shared" si="0"/>
        <v>7.92</v>
      </c>
      <c r="M9" s="21" t="e">
        <f t="shared" si="1"/>
        <v>#DIV/0!</v>
      </c>
    </row>
    <row r="10" spans="1:13" x14ac:dyDescent="0.25">
      <c r="A10" s="13">
        <v>9</v>
      </c>
      <c r="B10" s="14">
        <v>46278</v>
      </c>
      <c r="C10" s="15">
        <v>1.1000000000000001</v>
      </c>
      <c r="D10" s="15">
        <v>0</v>
      </c>
      <c r="E10" s="15">
        <v>5.8</v>
      </c>
      <c r="I10" s="15">
        <v>9.6</v>
      </c>
      <c r="J10" s="15">
        <v>16.5</v>
      </c>
      <c r="K10" s="15">
        <v>0</v>
      </c>
      <c r="L10" s="15">
        <f t="shared" si="0"/>
        <v>0</v>
      </c>
      <c r="M10" s="21">
        <f t="shared" si="1"/>
        <v>0</v>
      </c>
    </row>
    <row r="11" spans="1:13" x14ac:dyDescent="0.25">
      <c r="A11" s="13">
        <v>10</v>
      </c>
      <c r="B11" s="14">
        <v>45929</v>
      </c>
      <c r="C11" s="15">
        <v>0</v>
      </c>
      <c r="D11" s="15">
        <v>0</v>
      </c>
      <c r="E11" s="15">
        <v>3.6</v>
      </c>
      <c r="I11" s="15">
        <v>5.0999999999999996</v>
      </c>
      <c r="J11" s="15">
        <v>12.3</v>
      </c>
      <c r="K11" s="15">
        <v>1.85</v>
      </c>
      <c r="L11" s="15">
        <f t="shared" si="0"/>
        <v>-1.7500000000000018</v>
      </c>
      <c r="M11" s="21">
        <f t="shared" si="1"/>
        <v>0.16746411483253604</v>
      </c>
    </row>
    <row r="12" spans="1:13" x14ac:dyDescent="0.25">
      <c r="A12" s="13">
        <v>11</v>
      </c>
      <c r="B12" s="14">
        <v>45929</v>
      </c>
      <c r="C12" s="15">
        <v>0</v>
      </c>
      <c r="D12" s="15">
        <v>0</v>
      </c>
      <c r="E12" s="15">
        <v>0</v>
      </c>
      <c r="I12" s="15">
        <v>10.45</v>
      </c>
      <c r="J12" s="15">
        <v>0</v>
      </c>
      <c r="K12" s="15">
        <v>0</v>
      </c>
      <c r="L12" s="15">
        <f t="shared" si="0"/>
        <v>10.45</v>
      </c>
      <c r="M12" s="21" t="e">
        <f t="shared" si="1"/>
        <v>#DIV/0!</v>
      </c>
    </row>
    <row r="13" spans="1:13" x14ac:dyDescent="0.25">
      <c r="A13" s="13">
        <v>12</v>
      </c>
      <c r="B13" s="14">
        <v>45932</v>
      </c>
      <c r="C13" s="15">
        <v>1</v>
      </c>
      <c r="D13" s="15">
        <v>0</v>
      </c>
      <c r="E13" s="15">
        <v>2</v>
      </c>
      <c r="I13" s="15">
        <v>7.9</v>
      </c>
      <c r="J13" s="15">
        <v>12.9</v>
      </c>
      <c r="K13" s="15">
        <v>0</v>
      </c>
      <c r="L13" s="15">
        <f t="shared" si="0"/>
        <v>-2</v>
      </c>
      <c r="M13" s="21">
        <f t="shared" si="1"/>
        <v>0.15503875968992248</v>
      </c>
    </row>
    <row r="14" spans="1:13" x14ac:dyDescent="0.25">
      <c r="A14" s="13">
        <v>13</v>
      </c>
      <c r="B14" s="14">
        <v>45932</v>
      </c>
      <c r="C14" s="15">
        <v>0.8</v>
      </c>
      <c r="D14" s="15">
        <v>0</v>
      </c>
      <c r="E14" s="15">
        <v>1</v>
      </c>
      <c r="I14" s="15">
        <v>5.7</v>
      </c>
      <c r="J14" s="15">
        <v>9.6</v>
      </c>
      <c r="K14" s="15">
        <v>0</v>
      </c>
      <c r="L14" s="15">
        <f t="shared" si="0"/>
        <v>-2.0999999999999996</v>
      </c>
      <c r="M14" s="21">
        <f t="shared" si="1"/>
        <v>0.21874999999999997</v>
      </c>
    </row>
    <row r="15" spans="1:13" x14ac:dyDescent="0.25">
      <c r="A15" s="13">
        <v>14</v>
      </c>
      <c r="B15" s="14">
        <v>45932</v>
      </c>
      <c r="C15" s="15">
        <v>3</v>
      </c>
      <c r="D15" s="15">
        <v>0</v>
      </c>
      <c r="E15" s="15">
        <v>1</v>
      </c>
      <c r="I15" s="15">
        <v>27.9</v>
      </c>
      <c r="J15" s="15">
        <v>31.4</v>
      </c>
      <c r="K15" s="15">
        <v>4.71</v>
      </c>
      <c r="L15" s="15">
        <f t="shared" si="0"/>
        <v>5.2100000000000009</v>
      </c>
      <c r="M15" s="21">
        <f t="shared" si="1"/>
        <v>0.19520419632821287</v>
      </c>
    </row>
    <row r="16" spans="1:13" x14ac:dyDescent="0.25">
      <c r="A16" s="13">
        <v>15</v>
      </c>
      <c r="B16" s="14">
        <v>45932</v>
      </c>
      <c r="C16" s="15">
        <v>9.1</v>
      </c>
      <c r="D16" s="15">
        <v>0</v>
      </c>
      <c r="E16" s="15">
        <v>1</v>
      </c>
      <c r="I16" s="15">
        <v>13.2</v>
      </c>
      <c r="J16" s="15">
        <v>19.5</v>
      </c>
      <c r="K16" s="15">
        <v>0</v>
      </c>
      <c r="L16" s="15">
        <f t="shared" si="0"/>
        <v>3.7999999999999972</v>
      </c>
      <c r="M16" s="21">
        <f t="shared" si="1"/>
        <v>0.19487179487179473</v>
      </c>
    </row>
    <row r="17" spans="1:13" x14ac:dyDescent="0.25">
      <c r="A17" s="13">
        <v>16</v>
      </c>
      <c r="B17" s="14">
        <v>45932</v>
      </c>
      <c r="C17" s="15">
        <v>0</v>
      </c>
      <c r="D17" s="15">
        <v>0</v>
      </c>
      <c r="E17" s="15">
        <v>1.4</v>
      </c>
      <c r="I17" s="15">
        <v>5.7</v>
      </c>
      <c r="J17" s="15">
        <v>9</v>
      </c>
      <c r="K17" s="15">
        <v>3.6</v>
      </c>
      <c r="L17" s="15">
        <f t="shared" si="0"/>
        <v>1.6999999999999993</v>
      </c>
      <c r="M17" s="21">
        <f t="shared" si="1"/>
        <v>0.31481481481481466</v>
      </c>
    </row>
    <row r="18" spans="1:13" x14ac:dyDescent="0.25">
      <c r="A18" s="13">
        <v>17</v>
      </c>
      <c r="B18" s="14">
        <v>45932</v>
      </c>
      <c r="C18" s="15">
        <v>0</v>
      </c>
      <c r="D18" s="15">
        <v>0</v>
      </c>
      <c r="E18" s="15">
        <v>5</v>
      </c>
      <c r="I18" s="15">
        <v>6</v>
      </c>
      <c r="J18" s="15">
        <v>9.4</v>
      </c>
      <c r="K18" s="15">
        <v>0</v>
      </c>
      <c r="L18" s="15">
        <f t="shared" si="0"/>
        <v>1.5999999999999996</v>
      </c>
      <c r="M18" s="21">
        <f t="shared" si="1"/>
        <v>0.17021276595744678</v>
      </c>
    </row>
    <row r="19" spans="1:13" x14ac:dyDescent="0.25">
      <c r="A19" s="13">
        <v>18</v>
      </c>
      <c r="B19" s="14">
        <v>45932</v>
      </c>
      <c r="C19" s="15">
        <v>0</v>
      </c>
      <c r="D19" s="15">
        <v>0</v>
      </c>
      <c r="E19" s="15">
        <v>0</v>
      </c>
      <c r="I19" s="15">
        <v>2.2999999999999998</v>
      </c>
      <c r="J19" s="15">
        <v>0</v>
      </c>
      <c r="K19" s="15">
        <v>0</v>
      </c>
      <c r="L19" s="15">
        <f t="shared" si="0"/>
        <v>2.2999999999999998</v>
      </c>
      <c r="M19" s="21" t="e">
        <f t="shared" si="1"/>
        <v>#DIV/0!</v>
      </c>
    </row>
    <row r="20" spans="1:13" x14ac:dyDescent="0.25">
      <c r="A20" s="13">
        <v>19</v>
      </c>
      <c r="B20" s="14">
        <v>45933</v>
      </c>
      <c r="C20" s="15">
        <v>2.1</v>
      </c>
      <c r="D20" s="15">
        <v>5.74</v>
      </c>
      <c r="E20" s="15">
        <v>3.2</v>
      </c>
      <c r="I20" s="15">
        <v>18.899999999999999</v>
      </c>
      <c r="J20" s="15">
        <v>24.84</v>
      </c>
      <c r="K20" s="15">
        <v>0</v>
      </c>
      <c r="L20" s="15">
        <f t="shared" si="0"/>
        <v>5.0999999999999979</v>
      </c>
      <c r="M20" s="21">
        <f t="shared" si="1"/>
        <v>0.20531400966183566</v>
      </c>
    </row>
    <row r="21" spans="1:13" x14ac:dyDescent="0.25">
      <c r="A21" s="13">
        <v>20</v>
      </c>
      <c r="B21" s="14">
        <v>45933</v>
      </c>
      <c r="C21" s="15">
        <v>0</v>
      </c>
      <c r="D21" s="15">
        <v>0</v>
      </c>
      <c r="E21" s="15">
        <v>1.6</v>
      </c>
      <c r="I21" s="15">
        <v>5.5</v>
      </c>
      <c r="J21" s="15">
        <v>8.4</v>
      </c>
      <c r="K21" s="15">
        <v>0</v>
      </c>
      <c r="L21" s="15">
        <f t="shared" si="0"/>
        <v>-1.3000000000000007</v>
      </c>
      <c r="M21" s="21">
        <f t="shared" si="1"/>
        <v>0.15476190476190485</v>
      </c>
    </row>
    <row r="22" spans="1:13" x14ac:dyDescent="0.25">
      <c r="A22" s="13">
        <v>21</v>
      </c>
      <c r="B22" s="14">
        <v>45933</v>
      </c>
      <c r="C22" s="15">
        <v>0</v>
      </c>
      <c r="D22" s="15">
        <v>0</v>
      </c>
      <c r="E22" s="15">
        <v>1.6</v>
      </c>
      <c r="I22" s="15">
        <v>5.5</v>
      </c>
      <c r="J22" s="15">
        <v>8.5</v>
      </c>
      <c r="K22" s="15">
        <v>0</v>
      </c>
      <c r="L22" s="15">
        <f t="shared" si="0"/>
        <v>-1.4000000000000004</v>
      </c>
      <c r="M22" s="21">
        <f t="shared" si="1"/>
        <v>0.16470588235294123</v>
      </c>
    </row>
    <row r="23" spans="1:13" x14ac:dyDescent="0.25">
      <c r="A23" s="13">
        <v>22</v>
      </c>
      <c r="B23" s="14">
        <v>45933</v>
      </c>
      <c r="C23" s="15">
        <v>1.5</v>
      </c>
      <c r="D23" s="15">
        <v>0</v>
      </c>
      <c r="E23" s="15">
        <v>1.2</v>
      </c>
      <c r="I23" s="15">
        <v>5.7</v>
      </c>
      <c r="J23" s="15">
        <v>11.8</v>
      </c>
      <c r="K23" s="15">
        <v>1.77</v>
      </c>
      <c r="L23" s="15">
        <f t="shared" si="0"/>
        <v>-1.6300000000000008</v>
      </c>
      <c r="M23" s="21">
        <f t="shared" si="1"/>
        <v>0.16251246261216357</v>
      </c>
    </row>
    <row r="24" spans="1:13" x14ac:dyDescent="0.25">
      <c r="A24" s="13">
        <v>23</v>
      </c>
      <c r="B24" s="14">
        <v>45936</v>
      </c>
      <c r="C24" s="15">
        <v>4.9000000000000004</v>
      </c>
      <c r="D24" s="15">
        <v>0</v>
      </c>
      <c r="E24" s="15">
        <v>1</v>
      </c>
      <c r="I24" s="15">
        <v>5</v>
      </c>
      <c r="J24" s="15">
        <v>10.3</v>
      </c>
      <c r="K24" s="15">
        <v>0</v>
      </c>
      <c r="L24" s="15">
        <f t="shared" si="0"/>
        <v>0.59999999999999964</v>
      </c>
      <c r="M24" s="21">
        <f t="shared" si="1"/>
        <v>5.825242718446598E-2</v>
      </c>
    </row>
    <row r="25" spans="1:13" x14ac:dyDescent="0.25">
      <c r="A25" s="13">
        <v>24</v>
      </c>
      <c r="B25" s="14">
        <v>45936</v>
      </c>
      <c r="C25" s="15">
        <v>0</v>
      </c>
      <c r="D25" s="15">
        <v>1.94</v>
      </c>
      <c r="E25" s="15">
        <v>3.9</v>
      </c>
      <c r="I25" s="15">
        <v>7.3</v>
      </c>
      <c r="J25" s="15">
        <v>14.87</v>
      </c>
      <c r="K25" s="15">
        <v>0</v>
      </c>
      <c r="L25" s="15">
        <f t="shared" si="0"/>
        <v>-1.7299999999999986</v>
      </c>
      <c r="M25" s="21">
        <f t="shared" si="1"/>
        <v>0.11634162743779414</v>
      </c>
    </row>
    <row r="26" spans="1:13" x14ac:dyDescent="0.25">
      <c r="A26" s="13">
        <v>25</v>
      </c>
      <c r="B26" s="14">
        <v>45937</v>
      </c>
      <c r="C26" s="15">
        <v>3.1</v>
      </c>
      <c r="D26" s="15">
        <v>0</v>
      </c>
      <c r="E26" s="15">
        <v>4</v>
      </c>
      <c r="I26" s="15">
        <v>4.4000000000000004</v>
      </c>
      <c r="J26" s="15">
        <v>11.3</v>
      </c>
      <c r="K26" s="15">
        <v>1.7</v>
      </c>
      <c r="L26" s="15">
        <f t="shared" si="0"/>
        <v>1.8999999999999986</v>
      </c>
      <c r="M26" s="21">
        <f t="shared" si="1"/>
        <v>0.19791666666666649</v>
      </c>
    </row>
    <row r="27" spans="1:13" x14ac:dyDescent="0.25">
      <c r="A27" s="13">
        <v>26</v>
      </c>
      <c r="B27" s="14">
        <v>45937</v>
      </c>
      <c r="C27" s="15">
        <v>13.9</v>
      </c>
      <c r="D27" s="15">
        <v>0</v>
      </c>
      <c r="E27" s="15">
        <v>1</v>
      </c>
      <c r="I27" s="15">
        <v>25.7</v>
      </c>
      <c r="J27" s="15">
        <v>42.2</v>
      </c>
      <c r="K27" s="15">
        <v>6.33</v>
      </c>
      <c r="L27" s="15">
        <f t="shared" si="0"/>
        <v>4.7299999999999969</v>
      </c>
      <c r="M27" s="21">
        <f t="shared" si="1"/>
        <v>0.13186506830220229</v>
      </c>
    </row>
    <row r="28" spans="1:13" x14ac:dyDescent="0.25">
      <c r="A28" s="13">
        <v>27</v>
      </c>
      <c r="B28" s="14">
        <v>45937</v>
      </c>
      <c r="C28" s="15">
        <v>6</v>
      </c>
      <c r="D28" s="15">
        <v>2.9</v>
      </c>
      <c r="E28" s="15">
        <v>4.4000000000000004</v>
      </c>
      <c r="I28" s="15">
        <v>6.5</v>
      </c>
      <c r="J28" s="15">
        <v>19.079999999999998</v>
      </c>
      <c r="K28" s="15">
        <v>0</v>
      </c>
      <c r="L28" s="15">
        <f t="shared" si="0"/>
        <v>0.72000000000000242</v>
      </c>
      <c r="M28" s="21">
        <f t="shared" si="1"/>
        <v>3.7735849056603904E-2</v>
      </c>
    </row>
    <row r="29" spans="1:13" x14ac:dyDescent="0.25">
      <c r="A29" s="13">
        <v>28</v>
      </c>
      <c r="B29" s="14">
        <v>45937</v>
      </c>
      <c r="C29" s="15">
        <v>5</v>
      </c>
      <c r="D29" s="15">
        <v>0</v>
      </c>
      <c r="E29" s="15">
        <v>1</v>
      </c>
      <c r="I29" s="15">
        <v>4.2</v>
      </c>
      <c r="J29" s="15">
        <v>12.5</v>
      </c>
      <c r="K29" s="15">
        <v>1.88</v>
      </c>
      <c r="L29" s="15">
        <f t="shared" si="0"/>
        <v>-0.42000000000000171</v>
      </c>
      <c r="M29" s="21">
        <f t="shared" si="1"/>
        <v>3.9548022598870212E-2</v>
      </c>
    </row>
    <row r="30" spans="1:13" x14ac:dyDescent="0.25">
      <c r="A30" s="13">
        <v>29</v>
      </c>
      <c r="B30" s="14">
        <v>45937</v>
      </c>
      <c r="C30" s="15">
        <v>6.7</v>
      </c>
      <c r="D30" s="15">
        <v>0</v>
      </c>
      <c r="E30" s="15">
        <v>1.5</v>
      </c>
      <c r="I30" s="15">
        <v>4.5999999999999996</v>
      </c>
      <c r="J30" s="15">
        <v>12.8</v>
      </c>
      <c r="K30" s="15">
        <v>0</v>
      </c>
      <c r="L30" s="15">
        <f t="shared" si="0"/>
        <v>-1.7763568394002505E-15</v>
      </c>
      <c r="M30" s="21">
        <f t="shared" si="1"/>
        <v>1.3877787807814457E-16</v>
      </c>
    </row>
    <row r="31" spans="1:13" x14ac:dyDescent="0.25">
      <c r="A31" s="13">
        <v>30</v>
      </c>
      <c r="B31" s="14">
        <v>45937</v>
      </c>
      <c r="C31" s="15">
        <v>8.4</v>
      </c>
      <c r="D31" s="15">
        <v>0</v>
      </c>
      <c r="E31" s="15">
        <v>1</v>
      </c>
      <c r="I31" s="15">
        <v>5</v>
      </c>
      <c r="J31" s="15">
        <v>19.399999999999999</v>
      </c>
      <c r="K31" s="15">
        <v>0</v>
      </c>
      <c r="L31" s="15">
        <f t="shared" si="0"/>
        <v>-4.9999999999999982</v>
      </c>
      <c r="M31" s="21">
        <f t="shared" si="1"/>
        <v>0.25773195876288651</v>
      </c>
    </row>
    <row r="32" spans="1:13" x14ac:dyDescent="0.25">
      <c r="A32" s="13">
        <v>31</v>
      </c>
      <c r="B32" s="14">
        <v>45937</v>
      </c>
      <c r="C32" s="15">
        <v>11.1</v>
      </c>
      <c r="D32" s="15">
        <v>0</v>
      </c>
      <c r="E32" s="15">
        <v>1</v>
      </c>
      <c r="I32" s="15">
        <v>16.5</v>
      </c>
      <c r="J32" s="15">
        <v>27.9</v>
      </c>
      <c r="K32" s="15">
        <v>0</v>
      </c>
      <c r="L32" s="15">
        <f t="shared" si="0"/>
        <v>0.70000000000000284</v>
      </c>
      <c r="M32" s="21">
        <f t="shared" si="1"/>
        <v>2.5089605734767127E-2</v>
      </c>
    </row>
    <row r="33" spans="1:13" x14ac:dyDescent="0.25">
      <c r="A33" s="13">
        <v>32</v>
      </c>
      <c r="B33" s="14">
        <v>45937</v>
      </c>
      <c r="C33" s="15">
        <v>1.6</v>
      </c>
      <c r="D33" s="15">
        <v>0</v>
      </c>
      <c r="E33" s="15">
        <v>1</v>
      </c>
      <c r="I33" s="15">
        <v>14</v>
      </c>
      <c r="J33" s="15">
        <v>20.100000000000001</v>
      </c>
      <c r="K33" s="15">
        <v>0</v>
      </c>
      <c r="L33" s="15">
        <f t="shared" si="0"/>
        <v>-3.5</v>
      </c>
      <c r="M33" s="21">
        <f t="shared" si="1"/>
        <v>0.17412935323383083</v>
      </c>
    </row>
    <row r="34" spans="1:13" x14ac:dyDescent="0.25">
      <c r="A34" s="13">
        <v>33</v>
      </c>
      <c r="B34" s="14">
        <v>45937</v>
      </c>
      <c r="C34" s="15">
        <v>5.5</v>
      </c>
      <c r="D34" s="15">
        <v>0</v>
      </c>
      <c r="E34" s="15">
        <v>2.6</v>
      </c>
      <c r="I34" s="15">
        <v>9.1</v>
      </c>
      <c r="J34" s="15">
        <v>16.3</v>
      </c>
      <c r="K34" s="15">
        <v>5</v>
      </c>
      <c r="L34" s="15">
        <f t="shared" ref="L34:L65" si="2">((C34+D34+E34+F34+G34+I34)-(J34-K34))</f>
        <v>5.8999999999999986</v>
      </c>
      <c r="M34" s="21">
        <f t="shared" si="1"/>
        <v>0.52212389380530955</v>
      </c>
    </row>
    <row r="35" spans="1:13" x14ac:dyDescent="0.25">
      <c r="A35" s="13">
        <v>34</v>
      </c>
      <c r="B35" s="14">
        <v>45937</v>
      </c>
      <c r="C35" s="15">
        <v>4.5</v>
      </c>
      <c r="D35" s="15">
        <v>3.02</v>
      </c>
      <c r="E35" s="15">
        <v>1</v>
      </c>
      <c r="I35" s="15">
        <v>6.9</v>
      </c>
      <c r="J35" s="15">
        <v>17.989999999999998</v>
      </c>
      <c r="K35" s="15">
        <v>0</v>
      </c>
      <c r="L35" s="15">
        <f t="shared" si="2"/>
        <v>-2.5699999999999985</v>
      </c>
      <c r="M35" s="21">
        <f t="shared" si="1"/>
        <v>0.14285714285714279</v>
      </c>
    </row>
    <row r="36" spans="1:13" x14ac:dyDescent="0.25">
      <c r="A36" s="13">
        <v>35</v>
      </c>
      <c r="B36" s="14">
        <v>45937</v>
      </c>
      <c r="C36" s="15">
        <v>10</v>
      </c>
      <c r="D36" s="15">
        <v>0</v>
      </c>
      <c r="E36" s="15">
        <v>1</v>
      </c>
      <c r="I36" s="15">
        <v>23.1</v>
      </c>
      <c r="J36" s="15">
        <v>38.4</v>
      </c>
      <c r="K36" s="15">
        <v>5.76</v>
      </c>
      <c r="L36" s="15">
        <f t="shared" si="2"/>
        <v>1.4600000000000009</v>
      </c>
      <c r="M36" s="21">
        <f t="shared" si="1"/>
        <v>4.4730392156862774E-2</v>
      </c>
    </row>
    <row r="37" spans="1:13" x14ac:dyDescent="0.25">
      <c r="A37" s="13">
        <v>36</v>
      </c>
      <c r="B37" s="14">
        <v>45944</v>
      </c>
      <c r="C37" s="15">
        <v>6</v>
      </c>
      <c r="D37" s="15">
        <v>0</v>
      </c>
      <c r="E37" s="15">
        <v>3.4</v>
      </c>
      <c r="I37" s="15">
        <v>4.8</v>
      </c>
      <c r="J37" s="15">
        <v>10.199999999999999</v>
      </c>
      <c r="K37" s="15">
        <v>0</v>
      </c>
      <c r="L37" s="15">
        <f t="shared" si="2"/>
        <v>4</v>
      </c>
      <c r="M37" s="21">
        <f t="shared" si="1"/>
        <v>0.39215686274509809</v>
      </c>
    </row>
    <row r="38" spans="1:13" x14ac:dyDescent="0.25">
      <c r="A38" s="13">
        <v>37</v>
      </c>
      <c r="B38" s="14">
        <v>45944</v>
      </c>
      <c r="C38" s="15">
        <v>5.7</v>
      </c>
      <c r="D38" s="15">
        <v>0</v>
      </c>
      <c r="E38" s="15">
        <v>2.8</v>
      </c>
      <c r="I38" s="15">
        <v>9.3000000000000007</v>
      </c>
      <c r="J38" s="15">
        <v>17.899999999999999</v>
      </c>
      <c r="K38" s="15">
        <v>0</v>
      </c>
      <c r="L38" s="15">
        <f t="shared" si="2"/>
        <v>-9.9999999999997868E-2</v>
      </c>
      <c r="M38" s="21">
        <f t="shared" si="1"/>
        <v>5.5865921787708311E-3</v>
      </c>
    </row>
    <row r="39" spans="1:13" x14ac:dyDescent="0.25">
      <c r="A39" s="13">
        <v>38</v>
      </c>
      <c r="B39" s="14">
        <v>45944</v>
      </c>
      <c r="C39" s="15">
        <v>7.5</v>
      </c>
      <c r="D39" s="15">
        <v>0</v>
      </c>
      <c r="E39" s="15">
        <v>1</v>
      </c>
      <c r="I39" s="15">
        <v>35.700000000000003</v>
      </c>
      <c r="J39" s="15">
        <v>57.7</v>
      </c>
      <c r="K39" s="15">
        <v>10</v>
      </c>
      <c r="L39" s="15">
        <f t="shared" si="2"/>
        <v>-3.5</v>
      </c>
      <c r="M39" s="21">
        <f t="shared" si="1"/>
        <v>7.337526205450734E-2</v>
      </c>
    </row>
    <row r="40" spans="1:13" x14ac:dyDescent="0.25">
      <c r="A40" s="13">
        <v>39</v>
      </c>
      <c r="B40" s="14">
        <v>45944</v>
      </c>
      <c r="C40" s="15">
        <v>0.8</v>
      </c>
      <c r="D40" s="15">
        <v>0</v>
      </c>
      <c r="E40" s="15">
        <v>4</v>
      </c>
      <c r="I40" s="15">
        <v>5.9</v>
      </c>
      <c r="J40" s="15">
        <v>9.1</v>
      </c>
      <c r="K40" s="15">
        <v>1.37</v>
      </c>
      <c r="L40" s="15">
        <f t="shared" si="2"/>
        <v>2.9699999999999998</v>
      </c>
      <c r="M40" s="21">
        <f t="shared" si="1"/>
        <v>0.38421733505821476</v>
      </c>
    </row>
    <row r="41" spans="1:13" x14ac:dyDescent="0.25">
      <c r="A41" s="13">
        <v>40</v>
      </c>
      <c r="B41" s="14">
        <v>45944</v>
      </c>
      <c r="C41" s="15">
        <v>3.2</v>
      </c>
      <c r="D41" s="15">
        <v>0</v>
      </c>
      <c r="E41" s="15">
        <v>1</v>
      </c>
      <c r="I41" s="15">
        <v>30</v>
      </c>
      <c r="J41" s="15">
        <v>36</v>
      </c>
      <c r="K41" s="15">
        <v>0</v>
      </c>
      <c r="L41" s="15">
        <f t="shared" si="2"/>
        <v>-1.7999999999999972</v>
      </c>
      <c r="M41" s="21">
        <f t="shared" si="1"/>
        <v>4.999999999999992E-2</v>
      </c>
    </row>
    <row r="42" spans="1:13" x14ac:dyDescent="0.25">
      <c r="A42" s="13">
        <v>41</v>
      </c>
      <c r="B42" s="14">
        <v>45944</v>
      </c>
      <c r="C42" s="15">
        <v>2.2000000000000002</v>
      </c>
      <c r="D42" s="15">
        <v>0</v>
      </c>
      <c r="E42" s="15">
        <v>1</v>
      </c>
      <c r="I42" s="15">
        <v>5.5</v>
      </c>
      <c r="J42" s="15">
        <v>9.1</v>
      </c>
      <c r="K42" s="15">
        <v>0.91</v>
      </c>
      <c r="L42" s="15">
        <f t="shared" si="2"/>
        <v>0.50999999999999979</v>
      </c>
      <c r="M42" s="21">
        <f t="shared" si="1"/>
        <v>6.2271062271062251E-2</v>
      </c>
    </row>
    <row r="43" spans="1:13" x14ac:dyDescent="0.25">
      <c r="A43" s="13">
        <v>42</v>
      </c>
      <c r="B43" s="14">
        <v>45944</v>
      </c>
      <c r="C43" s="15">
        <v>0</v>
      </c>
      <c r="D43" s="15">
        <v>0</v>
      </c>
      <c r="E43" s="15">
        <v>0</v>
      </c>
      <c r="I43" s="15">
        <v>2.6</v>
      </c>
      <c r="J43" s="15">
        <v>0</v>
      </c>
      <c r="K43" s="15">
        <v>0</v>
      </c>
      <c r="L43" s="15">
        <f t="shared" si="2"/>
        <v>2.6</v>
      </c>
      <c r="M43" s="21" t="e">
        <f t="shared" si="1"/>
        <v>#DIV/0!</v>
      </c>
    </row>
    <row r="44" spans="1:13" x14ac:dyDescent="0.25">
      <c r="A44" s="13">
        <v>43</v>
      </c>
      <c r="B44" s="14">
        <v>45944</v>
      </c>
      <c r="C44" s="15">
        <v>1.4</v>
      </c>
      <c r="D44" s="15">
        <v>0</v>
      </c>
      <c r="E44" s="15">
        <v>1</v>
      </c>
      <c r="F44" s="15">
        <v>3.76</v>
      </c>
      <c r="G44" s="15">
        <v>1</v>
      </c>
      <c r="H44" s="15">
        <v>0</v>
      </c>
      <c r="I44" s="15">
        <v>11.6</v>
      </c>
      <c r="J44" s="15">
        <v>20.78</v>
      </c>
      <c r="K44" s="15">
        <v>0</v>
      </c>
      <c r="L44" s="15">
        <f t="shared" si="2"/>
        <v>-2.0200000000000031</v>
      </c>
      <c r="M44" s="21">
        <f t="shared" si="1"/>
        <v>9.7208854667950095E-2</v>
      </c>
    </row>
    <row r="45" spans="1:13" x14ac:dyDescent="0.25">
      <c r="A45" s="13">
        <v>44</v>
      </c>
      <c r="B45" s="14">
        <v>45944</v>
      </c>
      <c r="C45" s="15">
        <v>1.2</v>
      </c>
      <c r="D45" s="15">
        <v>0</v>
      </c>
      <c r="E45" s="15">
        <v>1</v>
      </c>
      <c r="F45" s="15">
        <v>0</v>
      </c>
      <c r="G45" s="15">
        <v>0</v>
      </c>
      <c r="H45" s="15">
        <v>0</v>
      </c>
      <c r="I45" s="15">
        <v>9.6999999999999993</v>
      </c>
      <c r="J45" s="15">
        <v>14.6</v>
      </c>
      <c r="K45" s="15">
        <v>0</v>
      </c>
      <c r="L45" s="15">
        <f t="shared" si="2"/>
        <v>-2.7000000000000011</v>
      </c>
      <c r="M45" s="21">
        <f t="shared" si="1"/>
        <v>0.18493150684931514</v>
      </c>
    </row>
    <row r="46" spans="1:13" x14ac:dyDescent="0.25">
      <c r="A46" s="13">
        <v>45</v>
      </c>
      <c r="B46" s="14">
        <v>45944</v>
      </c>
      <c r="C46" s="15">
        <v>2.8</v>
      </c>
      <c r="D46" s="15">
        <v>0</v>
      </c>
      <c r="E46" s="15">
        <v>4.2</v>
      </c>
      <c r="F46" s="15">
        <v>0</v>
      </c>
      <c r="G46" s="15">
        <v>0</v>
      </c>
      <c r="H46" s="15">
        <v>0</v>
      </c>
      <c r="I46" s="15">
        <v>5</v>
      </c>
      <c r="J46" s="15">
        <v>11.2</v>
      </c>
      <c r="K46" s="15">
        <v>0</v>
      </c>
      <c r="L46" s="15">
        <f t="shared" si="2"/>
        <v>0.80000000000000071</v>
      </c>
      <c r="M46" s="21">
        <f t="shared" si="1"/>
        <v>7.1428571428571494E-2</v>
      </c>
    </row>
    <row r="47" spans="1:13" x14ac:dyDescent="0.25">
      <c r="A47" s="13">
        <v>46</v>
      </c>
      <c r="B47" s="14">
        <v>45944</v>
      </c>
      <c r="C47" s="15">
        <v>1.3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11</v>
      </c>
      <c r="J47" s="15">
        <v>14.4</v>
      </c>
      <c r="K47" s="15">
        <v>2.16</v>
      </c>
      <c r="L47" s="15">
        <f t="shared" si="2"/>
        <v>1.0600000000000005</v>
      </c>
      <c r="M47" s="21">
        <f t="shared" si="1"/>
        <v>8.6601307189542523E-2</v>
      </c>
    </row>
    <row r="48" spans="1:13" x14ac:dyDescent="0.25">
      <c r="A48" s="13">
        <v>47</v>
      </c>
      <c r="B48" s="14">
        <v>45944</v>
      </c>
      <c r="C48" s="15">
        <v>0</v>
      </c>
      <c r="D48" s="15">
        <v>0</v>
      </c>
      <c r="E48" s="15">
        <v>4.4000000000000004</v>
      </c>
      <c r="F48" s="15">
        <v>0</v>
      </c>
      <c r="G48" s="15">
        <v>0</v>
      </c>
      <c r="H48" s="15">
        <v>0</v>
      </c>
      <c r="I48" s="15">
        <v>5</v>
      </c>
      <c r="J48" s="15">
        <v>8.8000000000000007</v>
      </c>
      <c r="K48" s="15">
        <v>1.32</v>
      </c>
      <c r="L48" s="15">
        <f t="shared" si="2"/>
        <v>1.92</v>
      </c>
      <c r="M48" s="21">
        <f t="shared" si="1"/>
        <v>0.2566844919786096</v>
      </c>
    </row>
    <row r="49" spans="1:13" x14ac:dyDescent="0.25">
      <c r="A49" s="13">
        <v>48</v>
      </c>
      <c r="B49" s="14">
        <v>45945</v>
      </c>
      <c r="C49" s="15">
        <v>0</v>
      </c>
      <c r="D49" s="15">
        <v>0</v>
      </c>
      <c r="E49" s="15">
        <v>1</v>
      </c>
      <c r="F49" s="15">
        <v>11.3</v>
      </c>
      <c r="G49" s="15">
        <v>0</v>
      </c>
      <c r="H49" s="15">
        <v>0</v>
      </c>
      <c r="I49" s="15">
        <v>30.3</v>
      </c>
      <c r="J49" s="15">
        <v>35.42</v>
      </c>
      <c r="K49" s="15">
        <v>0</v>
      </c>
      <c r="L49" s="15">
        <f t="shared" si="2"/>
        <v>7.18</v>
      </c>
      <c r="M49" s="21">
        <f t="shared" si="1"/>
        <v>0.20271033314511575</v>
      </c>
    </row>
    <row r="50" spans="1:13" x14ac:dyDescent="0.25">
      <c r="A50" s="13">
        <v>49</v>
      </c>
      <c r="B50" s="14">
        <v>45946</v>
      </c>
      <c r="C50" s="15">
        <v>0</v>
      </c>
      <c r="D50" s="15">
        <v>0</v>
      </c>
      <c r="E50" s="15">
        <v>1.8</v>
      </c>
      <c r="F50" s="15">
        <v>0.74</v>
      </c>
      <c r="G50" s="15">
        <v>0</v>
      </c>
      <c r="H50" s="15">
        <v>0</v>
      </c>
      <c r="I50" s="15">
        <v>5.4</v>
      </c>
      <c r="J50" s="15">
        <v>11.49</v>
      </c>
      <c r="K50" s="15">
        <v>0</v>
      </c>
      <c r="L50" s="15">
        <f t="shared" si="2"/>
        <v>-3.55</v>
      </c>
      <c r="M50" s="21">
        <f t="shared" si="1"/>
        <v>0.30896431679721492</v>
      </c>
    </row>
    <row r="51" spans="1:13" x14ac:dyDescent="0.25">
      <c r="A51" s="13">
        <v>50</v>
      </c>
      <c r="B51" s="14">
        <v>45946</v>
      </c>
      <c r="C51" s="15">
        <v>0</v>
      </c>
      <c r="D51" s="15">
        <v>0</v>
      </c>
      <c r="E51" s="15">
        <v>2</v>
      </c>
      <c r="F51" s="15">
        <v>0.7</v>
      </c>
      <c r="G51" s="15">
        <v>0.5</v>
      </c>
      <c r="H51" s="15">
        <v>0</v>
      </c>
      <c r="I51" s="15">
        <v>5</v>
      </c>
      <c r="J51" s="15">
        <v>9.6300000000000008</v>
      </c>
      <c r="K51" s="15">
        <v>2.41</v>
      </c>
      <c r="L51" s="15">
        <f t="shared" si="2"/>
        <v>0.97999999999999865</v>
      </c>
      <c r="M51" s="21">
        <f t="shared" si="1"/>
        <v>0.13573407202216048</v>
      </c>
    </row>
    <row r="52" spans="1:13" x14ac:dyDescent="0.25">
      <c r="A52" s="13">
        <v>51</v>
      </c>
      <c r="B52" s="14">
        <v>45946</v>
      </c>
      <c r="C52" s="15">
        <v>0</v>
      </c>
      <c r="D52" s="15">
        <v>0</v>
      </c>
      <c r="E52" s="15">
        <v>2.4</v>
      </c>
      <c r="F52" s="15">
        <v>0</v>
      </c>
      <c r="G52" s="15">
        <v>0</v>
      </c>
      <c r="H52" s="15">
        <v>0</v>
      </c>
      <c r="I52" s="15">
        <v>7.5</v>
      </c>
      <c r="J52" s="15">
        <v>11.6</v>
      </c>
      <c r="K52" s="15">
        <v>1.74</v>
      </c>
      <c r="L52" s="15">
        <f t="shared" si="2"/>
        <v>4.0000000000000924E-2</v>
      </c>
      <c r="M52" s="21">
        <f t="shared" si="1"/>
        <v>4.0567951318459354E-3</v>
      </c>
    </row>
    <row r="53" spans="1:13" x14ac:dyDescent="0.25">
      <c r="A53" s="13">
        <v>52</v>
      </c>
      <c r="B53" s="14">
        <v>45946</v>
      </c>
      <c r="C53" s="15">
        <v>0</v>
      </c>
      <c r="D53" s="15">
        <v>0</v>
      </c>
      <c r="E53" s="15">
        <v>1</v>
      </c>
      <c r="F53" s="15">
        <v>0</v>
      </c>
      <c r="G53" s="15">
        <v>0</v>
      </c>
      <c r="H53" s="15">
        <v>0</v>
      </c>
      <c r="I53" s="15">
        <v>11.8</v>
      </c>
      <c r="J53" s="15">
        <v>15</v>
      </c>
      <c r="K53" s="15">
        <v>0</v>
      </c>
      <c r="L53" s="15">
        <f t="shared" si="2"/>
        <v>-2.1999999999999993</v>
      </c>
      <c r="M53" s="21">
        <f t="shared" si="1"/>
        <v>0.14666666666666661</v>
      </c>
    </row>
    <row r="54" spans="1:13" x14ac:dyDescent="0.25">
      <c r="A54" s="13">
        <v>53</v>
      </c>
      <c r="B54" s="14">
        <v>45946</v>
      </c>
      <c r="C54" s="15">
        <v>9.4</v>
      </c>
      <c r="D54" s="15">
        <v>0</v>
      </c>
      <c r="E54" s="15">
        <v>1</v>
      </c>
      <c r="F54" s="15">
        <v>0</v>
      </c>
      <c r="G54" s="15">
        <v>0</v>
      </c>
      <c r="H54" s="15">
        <v>0</v>
      </c>
      <c r="I54" s="15">
        <v>16.899999999999999</v>
      </c>
      <c r="J54" s="15">
        <v>36.9</v>
      </c>
      <c r="K54" s="15">
        <v>0</v>
      </c>
      <c r="L54" s="15">
        <f t="shared" si="2"/>
        <v>-9.6000000000000014</v>
      </c>
      <c r="M54" s="21">
        <f t="shared" si="1"/>
        <v>0.26016260162601629</v>
      </c>
    </row>
    <row r="55" spans="1:13" x14ac:dyDescent="0.25">
      <c r="A55" s="13">
        <v>54</v>
      </c>
      <c r="B55" s="14">
        <v>45947</v>
      </c>
      <c r="C55" s="15">
        <v>0</v>
      </c>
      <c r="D55" s="15">
        <v>0</v>
      </c>
      <c r="E55" s="15">
        <v>5</v>
      </c>
      <c r="F55" s="15">
        <v>0</v>
      </c>
      <c r="G55" s="15">
        <v>0</v>
      </c>
      <c r="H55" s="15">
        <v>0</v>
      </c>
      <c r="I55" s="15">
        <v>5.7</v>
      </c>
      <c r="J55" s="15">
        <v>10.7</v>
      </c>
      <c r="K55" s="15">
        <v>0</v>
      </c>
      <c r="L55" s="15">
        <f t="shared" si="2"/>
        <v>0</v>
      </c>
      <c r="M55" s="21">
        <f t="shared" si="1"/>
        <v>0</v>
      </c>
    </row>
    <row r="56" spans="1:13" x14ac:dyDescent="0.25">
      <c r="A56" s="13">
        <v>55</v>
      </c>
      <c r="B56" s="14">
        <v>45947</v>
      </c>
      <c r="C56" s="15">
        <v>0</v>
      </c>
      <c r="D56" s="15">
        <v>0</v>
      </c>
      <c r="E56" s="15">
        <v>2.4</v>
      </c>
      <c r="F56" s="15">
        <v>0</v>
      </c>
      <c r="G56" s="15">
        <v>0</v>
      </c>
      <c r="H56" s="15">
        <v>0</v>
      </c>
      <c r="I56" s="15">
        <v>19</v>
      </c>
      <c r="J56" s="15">
        <v>26.6</v>
      </c>
      <c r="K56" s="15">
        <v>0</v>
      </c>
      <c r="L56" s="15">
        <f t="shared" si="2"/>
        <v>-5.2000000000000028</v>
      </c>
      <c r="M56" s="21">
        <f t="shared" si="1"/>
        <v>0.19548872180451138</v>
      </c>
    </row>
    <row r="57" spans="1:13" x14ac:dyDescent="0.25">
      <c r="A57" s="13">
        <v>56</v>
      </c>
      <c r="B57" s="14">
        <v>45947</v>
      </c>
      <c r="C57" s="15">
        <v>0</v>
      </c>
      <c r="D57" s="15">
        <v>0</v>
      </c>
      <c r="E57" s="15">
        <v>1.8</v>
      </c>
      <c r="F57" s="15">
        <v>0</v>
      </c>
      <c r="G57" s="15">
        <v>0.5</v>
      </c>
      <c r="H57" s="15">
        <v>0</v>
      </c>
      <c r="I57" s="15">
        <v>5.3</v>
      </c>
      <c r="J57" s="15">
        <v>7.6</v>
      </c>
      <c r="K57" s="15">
        <v>0</v>
      </c>
      <c r="L57" s="15">
        <f t="shared" si="2"/>
        <v>0</v>
      </c>
      <c r="M57" s="21">
        <f t="shared" si="1"/>
        <v>0</v>
      </c>
    </row>
    <row r="58" spans="1:13" x14ac:dyDescent="0.25">
      <c r="A58" s="13">
        <v>57</v>
      </c>
      <c r="B58" s="14">
        <v>45947</v>
      </c>
      <c r="C58" s="15">
        <v>0</v>
      </c>
      <c r="D58" s="15">
        <v>0</v>
      </c>
      <c r="E58" s="15">
        <v>1.8</v>
      </c>
      <c r="F58" s="15">
        <v>0</v>
      </c>
      <c r="G58" s="15">
        <v>0</v>
      </c>
      <c r="H58" s="15">
        <v>0</v>
      </c>
      <c r="I58" s="15">
        <v>5.2</v>
      </c>
      <c r="J58" s="15">
        <v>7.5</v>
      </c>
      <c r="K58" s="15">
        <v>0.75</v>
      </c>
      <c r="L58" s="15">
        <f t="shared" si="2"/>
        <v>0.25</v>
      </c>
      <c r="M58" s="21">
        <f t="shared" si="1"/>
        <v>3.7037037037037035E-2</v>
      </c>
    </row>
    <row r="59" spans="1:13" x14ac:dyDescent="0.25">
      <c r="A59" s="13">
        <v>58</v>
      </c>
      <c r="B59" s="14">
        <v>45947</v>
      </c>
      <c r="C59" s="15">
        <v>0</v>
      </c>
      <c r="D59" s="15">
        <v>0</v>
      </c>
      <c r="E59" s="15">
        <v>3.4</v>
      </c>
      <c r="F59" s="15">
        <v>0</v>
      </c>
      <c r="G59" s="15">
        <v>0</v>
      </c>
      <c r="H59" s="15">
        <v>0</v>
      </c>
      <c r="I59" s="15">
        <v>7.9</v>
      </c>
      <c r="J59" s="15">
        <v>13</v>
      </c>
      <c r="K59" s="15">
        <v>1.3</v>
      </c>
      <c r="L59" s="15">
        <f t="shared" si="2"/>
        <v>-0.39999999999999858</v>
      </c>
      <c r="M59" s="21">
        <f t="shared" si="1"/>
        <v>3.4188034188034067E-2</v>
      </c>
    </row>
    <row r="60" spans="1:13" x14ac:dyDescent="0.25">
      <c r="A60" s="13">
        <v>59</v>
      </c>
      <c r="B60" s="14">
        <v>45947</v>
      </c>
      <c r="C60" s="15">
        <v>7.1</v>
      </c>
      <c r="D60" s="15">
        <v>0</v>
      </c>
      <c r="E60" s="15">
        <v>1</v>
      </c>
      <c r="F60" s="15">
        <v>0</v>
      </c>
      <c r="G60" s="15">
        <v>0</v>
      </c>
      <c r="H60" s="15">
        <v>0</v>
      </c>
      <c r="I60" s="15">
        <v>12.2</v>
      </c>
      <c r="J60" s="15">
        <v>23.3</v>
      </c>
      <c r="K60" s="15">
        <v>0</v>
      </c>
      <c r="L60" s="15">
        <f t="shared" si="2"/>
        <v>-3.0000000000000036</v>
      </c>
      <c r="M60" s="21">
        <f t="shared" si="1"/>
        <v>0.12875536480686711</v>
      </c>
    </row>
    <row r="61" spans="1:13" x14ac:dyDescent="0.25">
      <c r="A61" s="13">
        <v>60</v>
      </c>
      <c r="B61" s="14">
        <v>45947</v>
      </c>
      <c r="C61" s="15">
        <v>3.1</v>
      </c>
      <c r="D61" s="15">
        <v>0</v>
      </c>
      <c r="E61" s="15">
        <v>1</v>
      </c>
      <c r="F61" s="15">
        <v>0</v>
      </c>
      <c r="G61" s="15">
        <v>0</v>
      </c>
      <c r="H61" s="15">
        <v>0</v>
      </c>
      <c r="I61" s="15">
        <v>5.7</v>
      </c>
      <c r="J61" s="15">
        <v>13.7</v>
      </c>
      <c r="K61" s="15">
        <v>0</v>
      </c>
      <c r="L61" s="15">
        <f t="shared" si="2"/>
        <v>-3.8999999999999986</v>
      </c>
      <c r="M61" s="21">
        <f t="shared" si="1"/>
        <v>0.28467153284671526</v>
      </c>
    </row>
    <row r="62" spans="1:13" x14ac:dyDescent="0.25">
      <c r="A62" s="13">
        <v>61</v>
      </c>
      <c r="B62" s="14">
        <v>45947</v>
      </c>
      <c r="C62" s="15">
        <v>3.4</v>
      </c>
      <c r="D62" s="15">
        <v>0</v>
      </c>
      <c r="E62" s="15">
        <v>1</v>
      </c>
      <c r="F62" s="15">
        <v>0</v>
      </c>
      <c r="G62" s="15">
        <v>0</v>
      </c>
      <c r="H62" s="15">
        <v>0</v>
      </c>
      <c r="I62" s="15">
        <v>6.5</v>
      </c>
      <c r="J62" s="15">
        <v>11.8</v>
      </c>
      <c r="K62" s="15">
        <v>0</v>
      </c>
      <c r="L62" s="15">
        <f t="shared" si="2"/>
        <v>-0.90000000000000036</v>
      </c>
      <c r="M62" s="21">
        <f t="shared" si="1"/>
        <v>7.6271186440677985E-2</v>
      </c>
    </row>
    <row r="63" spans="1:13" x14ac:dyDescent="0.25">
      <c r="A63" s="13">
        <v>62</v>
      </c>
      <c r="B63" s="14">
        <v>45947</v>
      </c>
      <c r="C63" s="15">
        <v>5.2</v>
      </c>
      <c r="D63" s="15">
        <v>0</v>
      </c>
      <c r="E63" s="15">
        <v>1</v>
      </c>
      <c r="F63" s="15">
        <v>0</v>
      </c>
      <c r="G63" s="15">
        <v>0</v>
      </c>
      <c r="H63" s="15">
        <v>0</v>
      </c>
      <c r="I63" s="15">
        <v>5.5</v>
      </c>
      <c r="J63" s="15">
        <v>12.8</v>
      </c>
      <c r="K63" s="15">
        <v>0</v>
      </c>
      <c r="L63" s="15">
        <f t="shared" si="2"/>
        <v>-1.1000000000000014</v>
      </c>
      <c r="M63" s="21">
        <f t="shared" si="1"/>
        <v>8.5937500000000111E-2</v>
      </c>
    </row>
    <row r="64" spans="1:13" x14ac:dyDescent="0.25">
      <c r="A64" s="13">
        <v>63</v>
      </c>
      <c r="B64" s="14">
        <v>45948</v>
      </c>
      <c r="C64" s="15">
        <v>0</v>
      </c>
      <c r="D64" s="15">
        <v>0</v>
      </c>
      <c r="E64" s="15">
        <v>1.5</v>
      </c>
      <c r="F64" s="15">
        <v>0</v>
      </c>
      <c r="G64" s="15">
        <v>0</v>
      </c>
      <c r="H64" s="15">
        <v>0</v>
      </c>
      <c r="I64" s="15">
        <v>7.3</v>
      </c>
      <c r="J64" s="15">
        <v>12.4</v>
      </c>
      <c r="K64" s="15">
        <v>0</v>
      </c>
      <c r="L64" s="15">
        <f t="shared" si="2"/>
        <v>-3.5999999999999996</v>
      </c>
      <c r="M64" s="21">
        <f t="shared" si="1"/>
        <v>0.29032258064516125</v>
      </c>
    </row>
    <row r="65" spans="1:13" x14ac:dyDescent="0.25">
      <c r="A65" s="13">
        <v>64</v>
      </c>
      <c r="B65" s="14">
        <v>45948</v>
      </c>
      <c r="C65" s="15">
        <v>1.6</v>
      </c>
      <c r="D65" s="15">
        <v>0</v>
      </c>
      <c r="E65" s="15">
        <v>1.2</v>
      </c>
      <c r="F65" s="15">
        <v>0</v>
      </c>
      <c r="G65" s="15">
        <v>0</v>
      </c>
      <c r="H65" s="15">
        <v>0</v>
      </c>
      <c r="I65" s="15">
        <v>14.3</v>
      </c>
      <c r="J65" s="15">
        <v>22.9</v>
      </c>
      <c r="K65" s="15">
        <v>0</v>
      </c>
      <c r="L65" s="15">
        <f t="shared" si="2"/>
        <v>-5.7999999999999972</v>
      </c>
      <c r="M65" s="21">
        <f t="shared" si="1"/>
        <v>0.25327510917030555</v>
      </c>
    </row>
    <row r="66" spans="1:13" x14ac:dyDescent="0.25">
      <c r="A66" s="13">
        <v>65</v>
      </c>
      <c r="B66" s="14">
        <v>45948</v>
      </c>
      <c r="C66" s="15">
        <v>0.8</v>
      </c>
      <c r="D66" s="15">
        <v>0</v>
      </c>
      <c r="E66" s="15">
        <v>1.4</v>
      </c>
      <c r="F66" s="15">
        <v>0</v>
      </c>
      <c r="G66" s="15">
        <v>0</v>
      </c>
      <c r="H66" s="15">
        <v>0</v>
      </c>
      <c r="I66" s="15">
        <v>7</v>
      </c>
      <c r="J66" s="15">
        <v>8.6999999999999993</v>
      </c>
      <c r="K66" s="15">
        <v>0</v>
      </c>
      <c r="L66" s="15">
        <f t="shared" ref="L66:L97" si="3">((C66+D66+E66+F66+G66+I66)-(J66-K66))</f>
        <v>0.5</v>
      </c>
      <c r="M66" s="21">
        <f t="shared" ref="M66:M93" si="4">ABS(L66/(J66-K66))</f>
        <v>5.7471264367816098E-2</v>
      </c>
    </row>
    <row r="67" spans="1:13" x14ac:dyDescent="0.25">
      <c r="A67" s="13">
        <v>66</v>
      </c>
      <c r="B67" s="14">
        <v>45948</v>
      </c>
      <c r="C67" s="15">
        <v>0</v>
      </c>
      <c r="D67" s="15">
        <v>0</v>
      </c>
      <c r="E67" s="15">
        <v>2</v>
      </c>
      <c r="F67" s="15">
        <v>0</v>
      </c>
      <c r="G67" s="15">
        <v>0.5</v>
      </c>
      <c r="H67" s="15">
        <v>0</v>
      </c>
      <c r="I67" s="15">
        <v>7.1</v>
      </c>
      <c r="J67" s="15">
        <v>12.8</v>
      </c>
      <c r="K67" s="15">
        <v>0</v>
      </c>
      <c r="L67" s="15">
        <f t="shared" si="3"/>
        <v>-3.2000000000000011</v>
      </c>
      <c r="M67" s="21">
        <f t="shared" si="4"/>
        <v>0.25000000000000006</v>
      </c>
    </row>
    <row r="68" spans="1:13" x14ac:dyDescent="0.25">
      <c r="A68" s="13">
        <v>67</v>
      </c>
      <c r="B68" s="14">
        <v>45948</v>
      </c>
      <c r="C68" s="15">
        <v>6</v>
      </c>
      <c r="D68" s="15">
        <v>0</v>
      </c>
      <c r="E68" s="15">
        <v>1.2</v>
      </c>
      <c r="F68" s="15">
        <v>0</v>
      </c>
      <c r="G68" s="15">
        <v>0</v>
      </c>
      <c r="H68" s="15">
        <v>0</v>
      </c>
      <c r="I68" s="15">
        <v>13.3</v>
      </c>
      <c r="J68" s="15">
        <v>25.4</v>
      </c>
      <c r="K68" s="15">
        <v>3.81</v>
      </c>
      <c r="L68" s="15">
        <f t="shared" si="3"/>
        <v>-1.0899999999999999</v>
      </c>
      <c r="M68" s="21">
        <f t="shared" si="4"/>
        <v>5.0486336266790173E-2</v>
      </c>
    </row>
    <row r="69" spans="1:13" x14ac:dyDescent="0.25">
      <c r="A69" s="13">
        <v>68</v>
      </c>
      <c r="B69" s="14">
        <v>45949</v>
      </c>
      <c r="C69" s="15">
        <v>3.6</v>
      </c>
      <c r="D69" s="15">
        <v>0</v>
      </c>
      <c r="E69" s="15">
        <v>1.1000000000000001</v>
      </c>
      <c r="F69" s="15">
        <v>0</v>
      </c>
      <c r="G69" s="15">
        <v>0</v>
      </c>
      <c r="H69" s="15">
        <v>0</v>
      </c>
      <c r="I69" s="15">
        <v>10.4</v>
      </c>
      <c r="J69" s="15">
        <v>15.4</v>
      </c>
      <c r="K69" s="15">
        <v>0</v>
      </c>
      <c r="L69" s="15">
        <f t="shared" si="3"/>
        <v>-0.29999999999999893</v>
      </c>
      <c r="M69" s="21">
        <f t="shared" si="4"/>
        <v>1.9480519480519411E-2</v>
      </c>
    </row>
    <row r="70" spans="1:13" x14ac:dyDescent="0.25">
      <c r="A70" s="13">
        <v>69</v>
      </c>
      <c r="B70" s="14">
        <v>45949</v>
      </c>
      <c r="C70" s="15">
        <v>0.8</v>
      </c>
      <c r="D70" s="15">
        <v>0</v>
      </c>
      <c r="E70" s="15">
        <v>1.2</v>
      </c>
      <c r="F70" s="15">
        <v>0.88</v>
      </c>
      <c r="G70" s="15">
        <v>0</v>
      </c>
      <c r="H70" s="15">
        <v>0</v>
      </c>
      <c r="I70" s="15">
        <v>6.3</v>
      </c>
      <c r="J70" s="15">
        <v>12.5</v>
      </c>
      <c r="K70" s="15">
        <v>0</v>
      </c>
      <c r="L70" s="15">
        <f t="shared" si="3"/>
        <v>-3.3200000000000003</v>
      </c>
      <c r="M70" s="21">
        <f t="shared" si="4"/>
        <v>0.2656</v>
      </c>
    </row>
    <row r="71" spans="1:13" x14ac:dyDescent="0.25">
      <c r="A71" s="13">
        <v>70</v>
      </c>
      <c r="B71" s="14">
        <v>45949</v>
      </c>
      <c r="C71" s="15">
        <v>0</v>
      </c>
      <c r="D71" s="15">
        <v>0</v>
      </c>
      <c r="E71" s="15">
        <v>4.8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f t="shared" si="3"/>
        <v>4.8</v>
      </c>
      <c r="M71" s="21" t="e">
        <f t="shared" si="4"/>
        <v>#DIV/0!</v>
      </c>
    </row>
    <row r="72" spans="1:13" x14ac:dyDescent="0.25">
      <c r="A72" s="13">
        <v>71</v>
      </c>
      <c r="B72" s="14">
        <v>45949</v>
      </c>
      <c r="C72" s="15">
        <v>5.3</v>
      </c>
      <c r="D72" s="15">
        <v>0</v>
      </c>
      <c r="E72" s="15">
        <v>1.2</v>
      </c>
      <c r="F72" s="15">
        <v>0</v>
      </c>
      <c r="G72" s="15">
        <v>0.68</v>
      </c>
      <c r="H72" s="15">
        <v>0</v>
      </c>
      <c r="I72" s="15">
        <v>9</v>
      </c>
      <c r="J72" s="15">
        <v>22.9</v>
      </c>
      <c r="K72" s="15">
        <v>0</v>
      </c>
      <c r="L72" s="15">
        <f t="shared" si="3"/>
        <v>-6.7199999999999989</v>
      </c>
      <c r="M72" s="21">
        <f t="shared" si="4"/>
        <v>0.29344978165938862</v>
      </c>
    </row>
    <row r="73" spans="1:13" x14ac:dyDescent="0.25">
      <c r="A73" s="13">
        <v>72</v>
      </c>
      <c r="B73" s="14">
        <v>45949</v>
      </c>
      <c r="C73" s="15">
        <v>4</v>
      </c>
      <c r="D73" s="15">
        <v>0</v>
      </c>
      <c r="E73" s="15">
        <v>1.1000000000000001</v>
      </c>
      <c r="F73" s="15">
        <v>0</v>
      </c>
      <c r="G73" s="15">
        <v>0</v>
      </c>
      <c r="H73" s="15">
        <v>0</v>
      </c>
      <c r="I73" s="15">
        <v>6.4</v>
      </c>
      <c r="J73" s="15">
        <v>16</v>
      </c>
      <c r="K73" s="15">
        <v>0</v>
      </c>
      <c r="L73" s="15">
        <f t="shared" si="3"/>
        <v>-4.5</v>
      </c>
      <c r="M73" s="21">
        <f t="shared" si="4"/>
        <v>0.28125</v>
      </c>
    </row>
    <row r="74" spans="1:13" x14ac:dyDescent="0.25">
      <c r="A74" s="13">
        <v>73</v>
      </c>
      <c r="B74" s="14">
        <v>45949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  <c r="I74" s="15">
        <v>7.69</v>
      </c>
      <c r="J74" s="15">
        <v>0</v>
      </c>
      <c r="K74" s="15">
        <v>0</v>
      </c>
      <c r="L74" s="15">
        <f t="shared" si="3"/>
        <v>7.69</v>
      </c>
      <c r="M74" s="21" t="e">
        <f t="shared" si="4"/>
        <v>#DIV/0!</v>
      </c>
    </row>
    <row r="75" spans="1:13" x14ac:dyDescent="0.25">
      <c r="A75" s="13">
        <v>74</v>
      </c>
      <c r="B75" s="14">
        <v>45951</v>
      </c>
      <c r="C75" s="15">
        <v>1</v>
      </c>
      <c r="D75" s="15">
        <v>0</v>
      </c>
      <c r="E75" s="15">
        <v>1.6</v>
      </c>
      <c r="F75" s="15">
        <v>0</v>
      </c>
      <c r="G75" s="15">
        <v>0</v>
      </c>
      <c r="H75" s="15">
        <v>0</v>
      </c>
      <c r="I75" s="15">
        <v>7.6</v>
      </c>
      <c r="J75" s="15">
        <v>14.5</v>
      </c>
      <c r="K75" s="15">
        <v>2.1800000000000002</v>
      </c>
      <c r="L75" s="15">
        <f t="shared" si="3"/>
        <v>-2.120000000000001</v>
      </c>
      <c r="M75" s="21">
        <f t="shared" si="4"/>
        <v>0.17207792207792216</v>
      </c>
    </row>
    <row r="76" spans="1:13" x14ac:dyDescent="0.25">
      <c r="A76" s="13">
        <v>75</v>
      </c>
      <c r="B76" s="14">
        <v>45951</v>
      </c>
      <c r="C76" s="15">
        <v>7.1</v>
      </c>
      <c r="D76" s="15">
        <v>0</v>
      </c>
      <c r="E76" s="15">
        <v>1</v>
      </c>
      <c r="F76" s="15">
        <v>4.26</v>
      </c>
      <c r="G76" s="15">
        <v>0</v>
      </c>
      <c r="H76" s="15">
        <v>0</v>
      </c>
      <c r="I76" s="15">
        <v>12.2</v>
      </c>
      <c r="J76" s="15">
        <v>23.57</v>
      </c>
      <c r="K76" s="15">
        <v>0</v>
      </c>
      <c r="L76" s="15">
        <f t="shared" si="3"/>
        <v>0.98999999999999844</v>
      </c>
      <c r="M76" s="21">
        <f t="shared" si="4"/>
        <v>4.2002545608824708E-2</v>
      </c>
    </row>
    <row r="77" spans="1:13" x14ac:dyDescent="0.25">
      <c r="A77" s="13">
        <v>76</v>
      </c>
      <c r="B77" s="14">
        <v>45951</v>
      </c>
      <c r="C77" s="15">
        <v>0</v>
      </c>
      <c r="D77" s="15">
        <v>0</v>
      </c>
      <c r="E77" s="15">
        <v>4</v>
      </c>
      <c r="F77" s="15">
        <v>0</v>
      </c>
      <c r="G77" s="15">
        <v>0</v>
      </c>
      <c r="H77" s="15">
        <v>0</v>
      </c>
      <c r="I77" s="15">
        <v>5</v>
      </c>
      <c r="J77" s="15">
        <v>10.3</v>
      </c>
      <c r="K77" s="15">
        <v>0</v>
      </c>
      <c r="L77" s="15">
        <f t="shared" si="3"/>
        <v>-1.3000000000000007</v>
      </c>
      <c r="M77" s="21">
        <f t="shared" si="4"/>
        <v>0.12621359223300976</v>
      </c>
    </row>
    <row r="78" spans="1:13" x14ac:dyDescent="0.25">
      <c r="A78" s="13">
        <v>77</v>
      </c>
      <c r="B78" s="14">
        <v>45951</v>
      </c>
      <c r="C78" s="15">
        <v>0</v>
      </c>
      <c r="D78" s="15">
        <v>0</v>
      </c>
      <c r="E78" s="15">
        <v>1</v>
      </c>
      <c r="F78" s="15">
        <v>0</v>
      </c>
      <c r="G78" s="15">
        <v>0</v>
      </c>
      <c r="H78" s="15">
        <v>0</v>
      </c>
      <c r="I78" s="15">
        <v>17</v>
      </c>
      <c r="J78" s="15">
        <v>23.6</v>
      </c>
      <c r="K78" s="15">
        <v>0</v>
      </c>
      <c r="L78" s="15">
        <f t="shared" si="3"/>
        <v>-5.6000000000000014</v>
      </c>
      <c r="M78" s="21">
        <f t="shared" si="4"/>
        <v>0.23728813559322037</v>
      </c>
    </row>
    <row r="79" spans="1:13" x14ac:dyDescent="0.25">
      <c r="A79" s="13">
        <v>78</v>
      </c>
      <c r="B79" s="14">
        <v>45951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3.7</v>
      </c>
      <c r="J79" s="15">
        <v>0</v>
      </c>
      <c r="K79" s="15">
        <v>0</v>
      </c>
      <c r="L79" s="15">
        <f t="shared" si="3"/>
        <v>3.7</v>
      </c>
      <c r="M79" s="21" t="e">
        <f t="shared" si="4"/>
        <v>#DIV/0!</v>
      </c>
    </row>
    <row r="80" spans="1:13" x14ac:dyDescent="0.25">
      <c r="A80" s="13">
        <v>79</v>
      </c>
      <c r="B80" s="14">
        <v>45952</v>
      </c>
      <c r="C80" s="15">
        <v>0</v>
      </c>
      <c r="D80" s="15">
        <v>0</v>
      </c>
      <c r="E80" s="15">
        <v>2.8</v>
      </c>
      <c r="F80" s="15">
        <v>0</v>
      </c>
      <c r="G80" s="15">
        <v>0</v>
      </c>
      <c r="H80" s="15">
        <v>0</v>
      </c>
      <c r="I80" s="15">
        <v>5.7</v>
      </c>
      <c r="J80" s="15">
        <v>9.9</v>
      </c>
      <c r="K80" s="15">
        <v>0</v>
      </c>
      <c r="L80" s="15">
        <f t="shared" si="3"/>
        <v>-1.4000000000000004</v>
      </c>
      <c r="M80" s="21">
        <f t="shared" si="4"/>
        <v>0.14141414141414144</v>
      </c>
    </row>
    <row r="81" spans="1:13" x14ac:dyDescent="0.25">
      <c r="A81" s="13">
        <v>80</v>
      </c>
      <c r="B81" s="14">
        <v>45952</v>
      </c>
      <c r="C81" s="15">
        <v>0</v>
      </c>
      <c r="D81" s="15">
        <v>0</v>
      </c>
      <c r="E81" s="15">
        <v>1.6</v>
      </c>
      <c r="F81" s="15">
        <v>0</v>
      </c>
      <c r="G81" s="15">
        <v>0</v>
      </c>
      <c r="H81" s="15">
        <v>0</v>
      </c>
      <c r="I81" s="15">
        <v>5.4</v>
      </c>
      <c r="J81" s="15">
        <v>8.1999999999999993</v>
      </c>
      <c r="K81" s="15">
        <v>0</v>
      </c>
      <c r="L81" s="15">
        <f t="shared" si="3"/>
        <v>-1.1999999999999993</v>
      </c>
      <c r="M81" s="21">
        <f t="shared" si="4"/>
        <v>0.14634146341463408</v>
      </c>
    </row>
    <row r="82" spans="1:13" x14ac:dyDescent="0.25">
      <c r="A82" s="13">
        <v>81</v>
      </c>
      <c r="B82" s="14">
        <v>45871</v>
      </c>
      <c r="C82" s="15">
        <v>0</v>
      </c>
      <c r="D82" s="15">
        <v>0</v>
      </c>
      <c r="E82" s="15">
        <v>0</v>
      </c>
      <c r="F82" s="15">
        <v>0</v>
      </c>
      <c r="G82" s="15">
        <v>0</v>
      </c>
      <c r="H82" s="15">
        <v>0</v>
      </c>
      <c r="I82" s="15">
        <v>25.9</v>
      </c>
      <c r="J82" s="15">
        <v>33.94</v>
      </c>
      <c r="K82" s="15">
        <v>2.77</v>
      </c>
      <c r="L82" s="15">
        <f t="shared" si="3"/>
        <v>-5.27</v>
      </c>
      <c r="M82" s="21">
        <f t="shared" si="4"/>
        <v>0.16907282643567534</v>
      </c>
    </row>
    <row r="83" spans="1:13" x14ac:dyDescent="0.25">
      <c r="A83" s="13">
        <v>82</v>
      </c>
      <c r="B83" s="14">
        <v>45871</v>
      </c>
      <c r="C83" s="15">
        <v>0</v>
      </c>
      <c r="D83" s="15">
        <v>0</v>
      </c>
      <c r="E83" s="15">
        <v>0</v>
      </c>
      <c r="F83" s="15">
        <v>0</v>
      </c>
      <c r="G83" s="15">
        <v>7.0000000000000007E-2</v>
      </c>
      <c r="H83" s="15">
        <v>0</v>
      </c>
      <c r="I83" s="15">
        <v>7.18</v>
      </c>
      <c r="J83" s="15">
        <v>12.05</v>
      </c>
      <c r="K83" s="15">
        <v>0</v>
      </c>
      <c r="L83" s="15">
        <f t="shared" si="3"/>
        <v>-4.8000000000000007</v>
      </c>
      <c r="M83" s="21">
        <f t="shared" si="4"/>
        <v>0.39834024896265563</v>
      </c>
    </row>
    <row r="84" spans="1:13" x14ac:dyDescent="0.25">
      <c r="A84" s="13">
        <v>83</v>
      </c>
      <c r="B84" s="14">
        <v>45871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6.99</v>
      </c>
      <c r="J84" s="15">
        <v>8.9700000000000006</v>
      </c>
      <c r="K84" s="15">
        <v>0</v>
      </c>
      <c r="L84" s="15">
        <f t="shared" si="3"/>
        <v>-1.9800000000000004</v>
      </c>
      <c r="M84" s="21">
        <f t="shared" si="4"/>
        <v>0.22073578595317728</v>
      </c>
    </row>
    <row r="85" spans="1:13" x14ac:dyDescent="0.25">
      <c r="A85" s="13">
        <v>84</v>
      </c>
      <c r="B85" s="14">
        <v>45871</v>
      </c>
      <c r="C85" s="15">
        <v>0</v>
      </c>
      <c r="D85" s="15">
        <v>0</v>
      </c>
      <c r="E85" s="15">
        <v>0</v>
      </c>
      <c r="F85" s="15">
        <v>0</v>
      </c>
      <c r="G85" s="15">
        <v>0.11</v>
      </c>
      <c r="H85" s="15">
        <v>0</v>
      </c>
      <c r="I85" s="15">
        <v>6.99</v>
      </c>
      <c r="J85" s="15">
        <v>10.039999999999999</v>
      </c>
      <c r="K85" s="15">
        <v>2.0099999999999998</v>
      </c>
      <c r="L85" s="15">
        <f t="shared" si="3"/>
        <v>-0.92999999999999883</v>
      </c>
      <c r="M85" s="21">
        <f t="shared" si="4"/>
        <v>0.11581569115815678</v>
      </c>
    </row>
    <row r="86" spans="1:13" x14ac:dyDescent="0.25">
      <c r="A86" s="13">
        <v>85</v>
      </c>
      <c r="B86" s="14">
        <v>45871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0</v>
      </c>
      <c r="I86" s="15">
        <v>9.43</v>
      </c>
      <c r="J86" s="15">
        <v>13.98</v>
      </c>
      <c r="K86" s="15">
        <v>0</v>
      </c>
      <c r="L86" s="15">
        <f t="shared" si="3"/>
        <v>-4.5500000000000007</v>
      </c>
      <c r="M86" s="21">
        <f t="shared" si="4"/>
        <v>0.3254649499284693</v>
      </c>
    </row>
    <row r="87" spans="1:13" x14ac:dyDescent="0.25">
      <c r="A87" s="13">
        <v>86</v>
      </c>
      <c r="B87" s="14">
        <v>45871</v>
      </c>
      <c r="C87" s="15">
        <v>0</v>
      </c>
      <c r="D87" s="15">
        <v>0</v>
      </c>
      <c r="E87" s="15">
        <v>0</v>
      </c>
      <c r="F87" s="15">
        <v>0</v>
      </c>
      <c r="G87" s="15">
        <v>0</v>
      </c>
      <c r="H87" s="15">
        <v>0</v>
      </c>
      <c r="I87" s="15">
        <v>8.98</v>
      </c>
      <c r="J87" s="15">
        <v>14.96</v>
      </c>
      <c r="K87" s="15">
        <v>0</v>
      </c>
      <c r="L87" s="15">
        <f t="shared" si="3"/>
        <v>-5.98</v>
      </c>
      <c r="M87" s="21">
        <f t="shared" si="4"/>
        <v>0.3997326203208556</v>
      </c>
    </row>
    <row r="88" spans="1:13" x14ac:dyDescent="0.25">
      <c r="A88" s="13">
        <v>87</v>
      </c>
      <c r="B88" s="14">
        <v>45871</v>
      </c>
      <c r="C88" s="15">
        <v>0</v>
      </c>
      <c r="D88" s="15">
        <v>0</v>
      </c>
      <c r="E88" s="15">
        <v>0</v>
      </c>
      <c r="F88" s="15">
        <v>0</v>
      </c>
      <c r="G88" s="15">
        <v>0.05</v>
      </c>
      <c r="H88" s="15">
        <v>0</v>
      </c>
      <c r="I88" s="15">
        <v>6.99</v>
      </c>
      <c r="J88" s="15">
        <v>11.97</v>
      </c>
      <c r="K88" s="15">
        <v>1.2</v>
      </c>
      <c r="L88" s="15">
        <f t="shared" si="3"/>
        <v>-3.7300000000000013</v>
      </c>
      <c r="M88" s="21">
        <f t="shared" si="4"/>
        <v>0.34633240482822664</v>
      </c>
    </row>
    <row r="89" spans="1:13" x14ac:dyDescent="0.25">
      <c r="A89" s="13">
        <v>88</v>
      </c>
      <c r="B89" s="14">
        <v>45871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6.99</v>
      </c>
      <c r="J89" s="15">
        <v>10.91</v>
      </c>
      <c r="K89" s="15">
        <v>0</v>
      </c>
      <c r="L89" s="15">
        <f t="shared" si="3"/>
        <v>-3.92</v>
      </c>
      <c r="M89" s="21">
        <f t="shared" si="4"/>
        <v>0.35930339138405132</v>
      </c>
    </row>
    <row r="90" spans="1:13" x14ac:dyDescent="0.25">
      <c r="A90" s="13">
        <v>89</v>
      </c>
      <c r="B90" s="14">
        <v>45871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20.329999999999998</v>
      </c>
      <c r="J90" s="15">
        <v>29.93</v>
      </c>
      <c r="K90" s="15">
        <v>0</v>
      </c>
      <c r="L90" s="15">
        <f t="shared" si="3"/>
        <v>-9.6000000000000014</v>
      </c>
      <c r="M90" s="21">
        <f t="shared" si="4"/>
        <v>0.32074841296358175</v>
      </c>
    </row>
    <row r="91" spans="1:13" x14ac:dyDescent="0.25">
      <c r="A91" s="13">
        <v>90</v>
      </c>
      <c r="B91" s="14">
        <v>45871</v>
      </c>
      <c r="C91" s="15">
        <v>1</v>
      </c>
      <c r="D91" s="15">
        <v>0</v>
      </c>
      <c r="E91" s="15">
        <v>0</v>
      </c>
      <c r="F91" s="15">
        <v>3.66</v>
      </c>
      <c r="G91" s="15">
        <v>0</v>
      </c>
      <c r="H91" s="15">
        <v>0</v>
      </c>
      <c r="I91" s="15">
        <v>14.84</v>
      </c>
      <c r="J91" s="15">
        <v>24.96</v>
      </c>
      <c r="K91" s="15">
        <v>0</v>
      </c>
      <c r="L91" s="15">
        <f t="shared" si="3"/>
        <v>-5.4600000000000009</v>
      </c>
      <c r="M91" s="21">
        <f t="shared" si="4"/>
        <v>0.21875000000000003</v>
      </c>
    </row>
    <row r="92" spans="1:13" x14ac:dyDescent="0.25">
      <c r="A92" s="13">
        <v>91</v>
      </c>
      <c r="B92" s="14">
        <v>45871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15.59</v>
      </c>
      <c r="J92" s="15">
        <v>18.95</v>
      </c>
      <c r="K92" s="15">
        <v>0</v>
      </c>
      <c r="L92" s="15">
        <f t="shared" si="3"/>
        <v>-3.3599999999999994</v>
      </c>
      <c r="M92" s="21">
        <f t="shared" si="4"/>
        <v>0.17730870712401053</v>
      </c>
    </row>
    <row r="93" spans="1:13" x14ac:dyDescent="0.25">
      <c r="A93" s="13">
        <v>92</v>
      </c>
      <c r="B93" s="14">
        <v>45871</v>
      </c>
      <c r="C93" s="15">
        <v>10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9.4499999999999993</v>
      </c>
      <c r="J93" s="15">
        <v>21.1</v>
      </c>
      <c r="K93" s="15">
        <v>10.14</v>
      </c>
      <c r="L93" s="15">
        <f t="shared" si="3"/>
        <v>8.4899999999999984</v>
      </c>
      <c r="M93" s="21">
        <f t="shared" si="4"/>
        <v>0.77463503649635013</v>
      </c>
    </row>
    <row r="94" spans="1:13" x14ac:dyDescent="0.25">
      <c r="A94" s="13">
        <v>93</v>
      </c>
      <c r="B94" s="14">
        <v>45871</v>
      </c>
      <c r="C94" s="15">
        <v>2.25</v>
      </c>
      <c r="D94" s="15">
        <v>0</v>
      </c>
      <c r="E94" s="15">
        <v>0</v>
      </c>
      <c r="F94" s="15">
        <v>0</v>
      </c>
      <c r="G94" s="15">
        <v>7.0000000000000007E-2</v>
      </c>
      <c r="H94" s="15">
        <v>0</v>
      </c>
      <c r="I94" s="15">
        <v>29.12</v>
      </c>
      <c r="J94" s="15">
        <v>45.04</v>
      </c>
      <c r="K94" s="15">
        <v>0</v>
      </c>
      <c r="L94" s="15">
        <f t="shared" si="3"/>
        <v>-13.599999999999998</v>
      </c>
      <c r="M94" s="21">
        <f t="shared" ref="M94:M147" si="5">ABS(L94/(J94-K94))</f>
        <v>0.30195381882770866</v>
      </c>
    </row>
    <row r="95" spans="1:13" x14ac:dyDescent="0.25">
      <c r="A95" s="13">
        <v>94</v>
      </c>
      <c r="B95" s="14">
        <v>45871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10.029999999999999</v>
      </c>
      <c r="J95" s="15">
        <v>11.93</v>
      </c>
      <c r="K95" s="15">
        <v>7.16</v>
      </c>
      <c r="L95" s="15">
        <f t="shared" si="3"/>
        <v>5.26</v>
      </c>
      <c r="M95" s="21">
        <f t="shared" si="5"/>
        <v>1.1027253668763104</v>
      </c>
    </row>
    <row r="96" spans="1:13" x14ac:dyDescent="0.25">
      <c r="A96" s="13">
        <v>95</v>
      </c>
      <c r="B96" s="14">
        <v>45871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4.57</v>
      </c>
      <c r="J96" s="15">
        <v>5.25</v>
      </c>
      <c r="K96" s="15">
        <v>0</v>
      </c>
      <c r="L96" s="15">
        <f t="shared" si="3"/>
        <v>-0.67999999999999972</v>
      </c>
      <c r="M96" s="21">
        <f t="shared" si="5"/>
        <v>0.12952380952380946</v>
      </c>
    </row>
    <row r="97" spans="1:13" x14ac:dyDescent="0.25">
      <c r="A97" s="13">
        <v>96</v>
      </c>
      <c r="B97" s="14">
        <v>45871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6.99</v>
      </c>
      <c r="J97" s="15">
        <v>8.9499999999999993</v>
      </c>
      <c r="K97" s="15">
        <v>0</v>
      </c>
      <c r="L97" s="15">
        <f t="shared" si="3"/>
        <v>-1.9599999999999991</v>
      </c>
      <c r="M97" s="21">
        <f t="shared" si="5"/>
        <v>0.21899441340782114</v>
      </c>
    </row>
    <row r="98" spans="1:13" x14ac:dyDescent="0.25">
      <c r="A98" s="13">
        <v>97</v>
      </c>
      <c r="B98" s="14">
        <v>45871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9.0299999999999994</v>
      </c>
      <c r="J98" s="15">
        <v>11.93</v>
      </c>
      <c r="K98" s="15">
        <v>0.97</v>
      </c>
      <c r="L98" s="15">
        <f t="shared" ref="L98:L129" si="6">((C98+D98+E98+F98+G98+I98)-(J98-K98))</f>
        <v>-1.9299999999999997</v>
      </c>
      <c r="M98" s="21">
        <f t="shared" si="5"/>
        <v>0.1760948905109489</v>
      </c>
    </row>
    <row r="99" spans="1:13" x14ac:dyDescent="0.25">
      <c r="A99" s="13">
        <v>98</v>
      </c>
      <c r="B99" s="14">
        <v>45871</v>
      </c>
      <c r="C99" s="15">
        <v>1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9.65</v>
      </c>
      <c r="J99" s="15">
        <v>12.07</v>
      </c>
      <c r="K99" s="15">
        <v>3.15</v>
      </c>
      <c r="L99" s="15">
        <f t="shared" si="6"/>
        <v>1.7300000000000004</v>
      </c>
      <c r="M99" s="21">
        <f t="shared" si="5"/>
        <v>0.19394618834080724</v>
      </c>
    </row>
    <row r="100" spans="1:13" x14ac:dyDescent="0.25">
      <c r="A100" s="13">
        <v>99</v>
      </c>
      <c r="B100" s="14">
        <v>45875</v>
      </c>
      <c r="C100" s="15">
        <v>3.75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6.99</v>
      </c>
      <c r="J100" s="15">
        <v>12.2</v>
      </c>
      <c r="K100" s="15">
        <v>3.26</v>
      </c>
      <c r="L100" s="15">
        <f t="shared" si="6"/>
        <v>1.8000000000000007</v>
      </c>
      <c r="M100" s="21">
        <f t="shared" si="5"/>
        <v>0.20134228187919473</v>
      </c>
    </row>
    <row r="101" spans="1:13" x14ac:dyDescent="0.25">
      <c r="A101" s="13">
        <v>100</v>
      </c>
      <c r="B101" s="14">
        <v>45875</v>
      </c>
      <c r="C101" s="15">
        <v>4.25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8.76</v>
      </c>
      <c r="J101" s="15">
        <v>14.69</v>
      </c>
      <c r="K101" s="15">
        <v>5.72</v>
      </c>
      <c r="L101" s="15">
        <f t="shared" si="6"/>
        <v>4.0400000000000009</v>
      </c>
      <c r="M101" s="21">
        <f t="shared" si="5"/>
        <v>0.45039018952062448</v>
      </c>
    </row>
    <row r="102" spans="1:13" x14ac:dyDescent="0.25">
      <c r="A102" s="13">
        <v>101</v>
      </c>
      <c r="B102" s="14">
        <v>45875</v>
      </c>
      <c r="C102" s="15">
        <v>3.25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8.98</v>
      </c>
      <c r="J102" s="15">
        <v>14.21</v>
      </c>
      <c r="K102" s="15">
        <v>0.3</v>
      </c>
      <c r="L102" s="15">
        <f t="shared" si="6"/>
        <v>-1.6799999999999997</v>
      </c>
      <c r="M102" s="21">
        <f t="shared" si="5"/>
        <v>0.12077641984184039</v>
      </c>
    </row>
    <row r="103" spans="1:13" x14ac:dyDescent="0.25">
      <c r="A103" s="13">
        <v>102</v>
      </c>
      <c r="B103" s="14">
        <v>45875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19.02</v>
      </c>
      <c r="J103" s="15">
        <v>22.95</v>
      </c>
      <c r="K103" s="15">
        <v>0</v>
      </c>
      <c r="L103" s="15">
        <f t="shared" si="6"/>
        <v>-3.9299999999999997</v>
      </c>
      <c r="M103" s="21">
        <f t="shared" si="5"/>
        <v>0.17124183006535948</v>
      </c>
    </row>
    <row r="104" spans="1:13" x14ac:dyDescent="0.25">
      <c r="A104" s="13">
        <v>103</v>
      </c>
      <c r="B104" s="14">
        <v>45875</v>
      </c>
      <c r="C104" s="15">
        <v>3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16.29</v>
      </c>
      <c r="J104" s="15">
        <v>21.58</v>
      </c>
      <c r="K104" s="15">
        <v>2.62</v>
      </c>
      <c r="L104" s="15">
        <f t="shared" si="6"/>
        <v>0.33000000000000185</v>
      </c>
      <c r="M104" s="21">
        <f t="shared" si="5"/>
        <v>1.740506329113934E-2</v>
      </c>
    </row>
    <row r="105" spans="1:13" x14ac:dyDescent="0.25">
      <c r="A105" s="13">
        <v>104</v>
      </c>
      <c r="B105" s="14">
        <v>45875</v>
      </c>
      <c r="C105" s="15">
        <v>3</v>
      </c>
      <c r="D105" s="15">
        <v>0</v>
      </c>
      <c r="E105" s="15">
        <v>0</v>
      </c>
      <c r="F105" s="15">
        <v>0</v>
      </c>
      <c r="G105" s="15">
        <v>0.34</v>
      </c>
      <c r="H105" s="15">
        <v>0</v>
      </c>
      <c r="I105" s="15">
        <v>6.99</v>
      </c>
      <c r="J105" s="15">
        <v>12.35</v>
      </c>
      <c r="K105" s="15">
        <v>1.71</v>
      </c>
      <c r="L105" s="15">
        <f t="shared" si="6"/>
        <v>-0.3100000000000005</v>
      </c>
      <c r="M105" s="21">
        <f t="shared" si="5"/>
        <v>2.9135338345864705E-2</v>
      </c>
    </row>
    <row r="106" spans="1:13" x14ac:dyDescent="0.25">
      <c r="A106" s="13">
        <v>105</v>
      </c>
      <c r="B106" s="14">
        <v>45876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4.57</v>
      </c>
      <c r="J106" s="15">
        <v>0</v>
      </c>
      <c r="K106" s="15">
        <v>0</v>
      </c>
      <c r="L106" s="15">
        <f t="shared" si="6"/>
        <v>4.57</v>
      </c>
      <c r="M106" s="21">
        <v>0</v>
      </c>
    </row>
    <row r="107" spans="1:13" x14ac:dyDescent="0.25">
      <c r="A107" s="13">
        <v>106</v>
      </c>
      <c r="B107" s="14">
        <v>45876</v>
      </c>
      <c r="C107" s="15">
        <v>1.5</v>
      </c>
      <c r="D107" s="15">
        <v>0</v>
      </c>
      <c r="E107" s="15">
        <v>0</v>
      </c>
      <c r="F107" s="15">
        <v>3.66</v>
      </c>
      <c r="G107" s="15">
        <v>0</v>
      </c>
      <c r="H107" s="15">
        <v>0</v>
      </c>
      <c r="I107" s="15">
        <v>8.17</v>
      </c>
      <c r="J107" s="15">
        <v>18.13</v>
      </c>
      <c r="K107" s="15">
        <v>0</v>
      </c>
      <c r="L107" s="15">
        <f t="shared" si="6"/>
        <v>-4.7999999999999989</v>
      </c>
      <c r="M107" s="21">
        <f t="shared" si="5"/>
        <v>0.26475455046883611</v>
      </c>
    </row>
    <row r="108" spans="1:13" x14ac:dyDescent="0.25">
      <c r="A108" s="13">
        <v>107</v>
      </c>
      <c r="B108" s="14">
        <v>45876</v>
      </c>
      <c r="C108" s="15">
        <v>3.5</v>
      </c>
      <c r="D108" s="15">
        <v>0</v>
      </c>
      <c r="E108" s="15">
        <v>0</v>
      </c>
      <c r="F108" s="15">
        <v>0</v>
      </c>
      <c r="G108" s="15">
        <v>0.14000000000000001</v>
      </c>
      <c r="H108" s="15">
        <v>0</v>
      </c>
      <c r="I108" s="15">
        <v>9.4700000000000006</v>
      </c>
      <c r="J108" s="15">
        <v>14.85</v>
      </c>
      <c r="K108" s="15">
        <v>1.76</v>
      </c>
      <c r="L108" s="15">
        <f t="shared" si="6"/>
        <v>2.000000000000135E-2</v>
      </c>
      <c r="M108" s="21">
        <f t="shared" si="5"/>
        <v>1.5278838808251605E-3</v>
      </c>
    </row>
    <row r="109" spans="1:13" x14ac:dyDescent="0.25">
      <c r="A109" s="13">
        <v>108</v>
      </c>
      <c r="B109" s="14">
        <v>45876</v>
      </c>
      <c r="C109" s="15">
        <v>1.5</v>
      </c>
      <c r="D109" s="15">
        <v>0</v>
      </c>
      <c r="E109" s="15">
        <v>0</v>
      </c>
      <c r="F109" s="15">
        <v>3.66</v>
      </c>
      <c r="G109" s="15">
        <v>0</v>
      </c>
      <c r="H109" s="15">
        <v>0</v>
      </c>
      <c r="I109" s="15">
        <v>9.0299999999999994</v>
      </c>
      <c r="J109" s="15">
        <v>17.05</v>
      </c>
      <c r="K109" s="15">
        <v>0</v>
      </c>
      <c r="L109" s="15">
        <f t="shared" si="6"/>
        <v>-2.8600000000000012</v>
      </c>
      <c r="M109" s="21">
        <f t="shared" si="5"/>
        <v>0.16774193548387104</v>
      </c>
    </row>
    <row r="110" spans="1:13" x14ac:dyDescent="0.25">
      <c r="A110" s="13">
        <v>109</v>
      </c>
      <c r="B110" s="14">
        <v>45876</v>
      </c>
      <c r="C110" s="15">
        <v>1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6.99</v>
      </c>
      <c r="J110" s="15">
        <v>9.36</v>
      </c>
      <c r="K110" s="15">
        <v>1.42</v>
      </c>
      <c r="L110" s="15">
        <f t="shared" si="6"/>
        <v>5.0000000000000711E-2</v>
      </c>
      <c r="M110" s="21">
        <f t="shared" si="5"/>
        <v>6.2972292191436664E-3</v>
      </c>
    </row>
    <row r="111" spans="1:13" x14ac:dyDescent="0.25">
      <c r="A111" s="13">
        <v>110</v>
      </c>
      <c r="B111" s="14">
        <v>45876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1.86</v>
      </c>
      <c r="J111" s="15">
        <v>2.13</v>
      </c>
      <c r="K111" s="15">
        <v>0</v>
      </c>
      <c r="L111" s="15">
        <f t="shared" si="6"/>
        <v>-0.2699999999999998</v>
      </c>
      <c r="M111" s="21">
        <f t="shared" si="5"/>
        <v>0.1267605633802816</v>
      </c>
    </row>
    <row r="112" spans="1:13" x14ac:dyDescent="0.25">
      <c r="A112" s="13">
        <v>111</v>
      </c>
      <c r="B112" s="14">
        <v>45876</v>
      </c>
      <c r="C112" s="15">
        <v>1.5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18.559999999999999</v>
      </c>
      <c r="J112" s="15">
        <v>22.28</v>
      </c>
      <c r="K112" s="15">
        <v>2.33</v>
      </c>
      <c r="L112" s="15">
        <f t="shared" si="6"/>
        <v>0.10999999999999588</v>
      </c>
      <c r="M112" s="21">
        <f t="shared" si="5"/>
        <v>5.5137844611526749E-3</v>
      </c>
    </row>
    <row r="113" spans="1:13" x14ac:dyDescent="0.25">
      <c r="A113" s="13">
        <v>112</v>
      </c>
      <c r="B113" s="14">
        <v>45876</v>
      </c>
      <c r="C113" s="15">
        <v>2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12.17</v>
      </c>
      <c r="J113" s="15">
        <v>18.96</v>
      </c>
      <c r="K113" s="15">
        <v>4.38</v>
      </c>
      <c r="L113" s="15">
        <f t="shared" si="6"/>
        <v>-0.41000000000000192</v>
      </c>
      <c r="M113" s="21">
        <f t="shared" si="5"/>
        <v>2.8120713305898618E-2</v>
      </c>
    </row>
    <row r="114" spans="1:13" x14ac:dyDescent="0.25">
      <c r="A114" s="13">
        <v>113</v>
      </c>
      <c r="B114" s="14">
        <v>45878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27.65</v>
      </c>
      <c r="J114" s="15">
        <v>31.97</v>
      </c>
      <c r="K114" s="15">
        <v>7.99</v>
      </c>
      <c r="L114" s="15">
        <f t="shared" si="6"/>
        <v>3.6700000000000017</v>
      </c>
      <c r="M114" s="21">
        <f t="shared" si="5"/>
        <v>0.1530442035029192</v>
      </c>
    </row>
    <row r="115" spans="1:13" x14ac:dyDescent="0.25">
      <c r="A115" s="13">
        <v>114</v>
      </c>
      <c r="B115" s="14">
        <v>45878</v>
      </c>
      <c r="C115" s="15">
        <v>1.5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24.25</v>
      </c>
      <c r="J115" s="15">
        <v>38.94</v>
      </c>
      <c r="K115" s="15">
        <v>0</v>
      </c>
      <c r="L115" s="15">
        <f t="shared" si="6"/>
        <v>-13.189999999999998</v>
      </c>
      <c r="M115" s="21">
        <f t="shared" si="5"/>
        <v>0.33872624550590646</v>
      </c>
    </row>
    <row r="116" spans="1:13" x14ac:dyDescent="0.25">
      <c r="A116" s="13">
        <v>115</v>
      </c>
      <c r="B116" s="14">
        <v>45878</v>
      </c>
      <c r="C116" s="15">
        <v>2.25</v>
      </c>
      <c r="D116" s="15">
        <v>0</v>
      </c>
      <c r="E116" s="15">
        <v>0</v>
      </c>
      <c r="F116" s="15">
        <v>3.66</v>
      </c>
      <c r="G116" s="15">
        <v>0</v>
      </c>
      <c r="H116" s="15">
        <v>0</v>
      </c>
      <c r="I116" s="15">
        <v>10.16</v>
      </c>
      <c r="J116" s="15">
        <v>20.43</v>
      </c>
      <c r="K116" s="15">
        <v>0</v>
      </c>
      <c r="L116" s="15">
        <f t="shared" si="6"/>
        <v>-4.3599999999999994</v>
      </c>
      <c r="M116" s="21">
        <f t="shared" si="5"/>
        <v>0.21341164953499753</v>
      </c>
    </row>
    <row r="117" spans="1:13" x14ac:dyDescent="0.25">
      <c r="A117" s="13">
        <v>116</v>
      </c>
      <c r="B117" s="14">
        <v>45878</v>
      </c>
      <c r="C117" s="15">
        <v>0</v>
      </c>
      <c r="D117" s="15">
        <v>0</v>
      </c>
      <c r="E117" s="15">
        <v>0</v>
      </c>
      <c r="F117" s="15">
        <v>3.66</v>
      </c>
      <c r="G117" s="15">
        <v>0</v>
      </c>
      <c r="H117" s="15">
        <v>0</v>
      </c>
      <c r="I117" s="15">
        <v>6.99</v>
      </c>
      <c r="J117" s="15">
        <v>13.92</v>
      </c>
      <c r="K117" s="15">
        <v>0.7</v>
      </c>
      <c r="L117" s="15">
        <f t="shared" si="6"/>
        <v>-2.5700000000000003</v>
      </c>
      <c r="M117" s="21">
        <f t="shared" si="5"/>
        <v>0.19440242057488655</v>
      </c>
    </row>
    <row r="118" spans="1:13" x14ac:dyDescent="0.25">
      <c r="A118" s="13">
        <v>117</v>
      </c>
      <c r="B118" s="14">
        <v>45878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8.57</v>
      </c>
      <c r="J118" s="15">
        <v>10.01</v>
      </c>
      <c r="K118" s="15">
        <v>0.06</v>
      </c>
      <c r="L118" s="15">
        <f t="shared" si="6"/>
        <v>-1.379999999999999</v>
      </c>
      <c r="M118" s="21">
        <f t="shared" si="5"/>
        <v>0.13869346733668333</v>
      </c>
    </row>
    <row r="119" spans="1:13" x14ac:dyDescent="0.25">
      <c r="A119" s="13">
        <v>118</v>
      </c>
      <c r="B119" s="14">
        <v>45878</v>
      </c>
      <c r="C119" s="15">
        <v>0</v>
      </c>
      <c r="D119" s="15">
        <v>0</v>
      </c>
      <c r="E119" s="15">
        <v>0</v>
      </c>
      <c r="F119" s="15">
        <v>3.66</v>
      </c>
      <c r="G119" s="15">
        <v>0</v>
      </c>
      <c r="H119" s="15">
        <v>0</v>
      </c>
      <c r="I119" s="15">
        <v>22.02</v>
      </c>
      <c r="J119" s="15">
        <v>31.5</v>
      </c>
      <c r="K119" s="15">
        <v>0</v>
      </c>
      <c r="L119" s="15">
        <f t="shared" si="6"/>
        <v>-5.82</v>
      </c>
      <c r="M119" s="21">
        <f t="shared" si="5"/>
        <v>0.18476190476190477</v>
      </c>
    </row>
    <row r="120" spans="1:13" x14ac:dyDescent="0.25">
      <c r="A120" s="13">
        <v>119</v>
      </c>
      <c r="B120" s="14">
        <v>45878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3</v>
      </c>
      <c r="I120" s="15">
        <v>17.32</v>
      </c>
      <c r="J120" s="15">
        <v>19.920000000000002</v>
      </c>
      <c r="K120" s="15">
        <v>6.97</v>
      </c>
      <c r="L120" s="15">
        <f t="shared" si="6"/>
        <v>4.3699999999999974</v>
      </c>
      <c r="M120" s="21">
        <f t="shared" si="5"/>
        <v>0.33745173745173718</v>
      </c>
    </row>
    <row r="121" spans="1:13" x14ac:dyDescent="0.25">
      <c r="A121" s="13">
        <v>120</v>
      </c>
      <c r="B121" s="14">
        <v>45878</v>
      </c>
      <c r="C121" s="15">
        <v>0</v>
      </c>
      <c r="D121" s="15">
        <v>0</v>
      </c>
      <c r="E121" s="15">
        <v>0</v>
      </c>
      <c r="F121" s="15">
        <v>0</v>
      </c>
      <c r="G121" s="15">
        <v>0.51</v>
      </c>
      <c r="H121" s="15">
        <v>0</v>
      </c>
      <c r="I121" s="15">
        <v>33.03</v>
      </c>
      <c r="J121" s="15">
        <v>38.159999999999997</v>
      </c>
      <c r="K121" s="15">
        <v>3.6</v>
      </c>
      <c r="L121" s="15">
        <f t="shared" si="6"/>
        <v>-1.019999999999996</v>
      </c>
      <c r="M121" s="21">
        <f t="shared" si="5"/>
        <v>2.9513888888888777E-2</v>
      </c>
    </row>
    <row r="122" spans="1:13" x14ac:dyDescent="0.25">
      <c r="A122" s="13">
        <v>121</v>
      </c>
      <c r="B122" s="14">
        <v>45878</v>
      </c>
      <c r="C122" s="15">
        <v>3.75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21.24</v>
      </c>
      <c r="J122" s="15">
        <v>28.39</v>
      </c>
      <c r="K122" s="15">
        <v>1.84</v>
      </c>
      <c r="L122" s="15">
        <f t="shared" si="6"/>
        <v>-1.5600000000000023</v>
      </c>
      <c r="M122" s="21">
        <f t="shared" si="5"/>
        <v>5.875706214689274E-2</v>
      </c>
    </row>
    <row r="123" spans="1:13" x14ac:dyDescent="0.25">
      <c r="A123" s="13">
        <v>122</v>
      </c>
      <c r="B123" s="14">
        <v>45878</v>
      </c>
      <c r="C123" s="15">
        <v>1.75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7.61</v>
      </c>
      <c r="J123" s="15">
        <v>11.01</v>
      </c>
      <c r="K123" s="15">
        <v>0.05</v>
      </c>
      <c r="L123" s="15">
        <f t="shared" si="6"/>
        <v>-1.5999999999999996</v>
      </c>
      <c r="M123" s="21">
        <f t="shared" si="5"/>
        <v>0.145985401459854</v>
      </c>
    </row>
    <row r="124" spans="1:13" x14ac:dyDescent="0.25">
      <c r="A124" s="13">
        <v>123</v>
      </c>
      <c r="B124" s="14">
        <v>45878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8.25</v>
      </c>
      <c r="J124" s="15">
        <v>9.65</v>
      </c>
      <c r="K124" s="15">
        <v>1.73</v>
      </c>
      <c r="L124" s="15">
        <f t="shared" si="6"/>
        <v>0.33000000000000007</v>
      </c>
      <c r="M124" s="21">
        <f t="shared" si="5"/>
        <v>4.1666666666666678E-2</v>
      </c>
    </row>
    <row r="125" spans="1:13" x14ac:dyDescent="0.25">
      <c r="A125" s="13">
        <v>124</v>
      </c>
      <c r="B125" s="14">
        <v>45880</v>
      </c>
      <c r="C125" s="15">
        <v>3.75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14.74</v>
      </c>
      <c r="J125" s="15">
        <v>20.74</v>
      </c>
      <c r="K125" s="15">
        <v>1.81</v>
      </c>
      <c r="L125" s="15">
        <f t="shared" si="6"/>
        <v>-0.43999999999999773</v>
      </c>
      <c r="M125" s="21">
        <f t="shared" si="5"/>
        <v>2.3243528790279858E-2</v>
      </c>
    </row>
    <row r="126" spans="1:13" x14ac:dyDescent="0.25">
      <c r="A126" s="13">
        <v>125</v>
      </c>
      <c r="B126" s="14">
        <v>45880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10.45</v>
      </c>
      <c r="J126" s="15">
        <v>12.2</v>
      </c>
      <c r="K126" s="15">
        <v>1.27</v>
      </c>
      <c r="L126" s="15">
        <f t="shared" si="6"/>
        <v>-0.48000000000000043</v>
      </c>
      <c r="M126" s="21">
        <f t="shared" si="5"/>
        <v>4.391582799634039E-2</v>
      </c>
    </row>
    <row r="127" spans="1:13" x14ac:dyDescent="0.25">
      <c r="A127" s="13">
        <v>126</v>
      </c>
      <c r="B127" s="14">
        <v>45880</v>
      </c>
      <c r="C127" s="15">
        <v>0</v>
      </c>
      <c r="D127" s="15">
        <v>0</v>
      </c>
      <c r="E127" s="15">
        <v>0</v>
      </c>
      <c r="F127" s="15">
        <v>0</v>
      </c>
      <c r="G127" s="15">
        <v>0.17</v>
      </c>
      <c r="H127" s="15">
        <v>0</v>
      </c>
      <c r="I127" s="15">
        <v>8.64</v>
      </c>
      <c r="J127" s="15">
        <v>11.11</v>
      </c>
      <c r="K127" s="15">
        <v>0</v>
      </c>
      <c r="L127" s="15">
        <f t="shared" si="6"/>
        <v>-2.2999999999999989</v>
      </c>
      <c r="M127" s="21">
        <f t="shared" si="5"/>
        <v>0.20702070207020692</v>
      </c>
    </row>
    <row r="128" spans="1:13" x14ac:dyDescent="0.25">
      <c r="A128" s="13">
        <v>127</v>
      </c>
      <c r="B128" s="14">
        <v>45880</v>
      </c>
      <c r="C128" s="15">
        <v>0</v>
      </c>
      <c r="D128" s="15">
        <v>0</v>
      </c>
      <c r="E128" s="15">
        <v>0</v>
      </c>
      <c r="F128" s="15">
        <v>0</v>
      </c>
      <c r="G128" s="15">
        <v>0.69</v>
      </c>
      <c r="H128" s="15">
        <v>0</v>
      </c>
      <c r="I128" s="15">
        <v>11.28</v>
      </c>
      <c r="J128" s="15">
        <v>13.83</v>
      </c>
      <c r="K128" s="15">
        <v>0.11</v>
      </c>
      <c r="L128" s="15">
        <f t="shared" si="6"/>
        <v>-1.7500000000000018</v>
      </c>
      <c r="M128" s="21">
        <f t="shared" si="5"/>
        <v>0.12755102040816338</v>
      </c>
    </row>
    <row r="129" spans="1:13" x14ac:dyDescent="0.25">
      <c r="A129" s="13">
        <v>128</v>
      </c>
      <c r="B129" s="14">
        <v>45891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15.76</v>
      </c>
      <c r="J129" s="15">
        <v>17.82</v>
      </c>
      <c r="K129" s="15">
        <v>3.45</v>
      </c>
      <c r="L129" s="15">
        <f t="shared" si="6"/>
        <v>1.3899999999999988</v>
      </c>
      <c r="M129" s="21">
        <f t="shared" si="5"/>
        <v>9.6729297146833593E-2</v>
      </c>
    </row>
    <row r="130" spans="1:13" x14ac:dyDescent="0.25">
      <c r="A130" s="13">
        <v>129</v>
      </c>
      <c r="B130" s="14">
        <v>45891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14.92</v>
      </c>
      <c r="J130" s="15">
        <v>16.72</v>
      </c>
      <c r="K130" s="15">
        <v>3.78</v>
      </c>
      <c r="L130" s="15">
        <f t="shared" ref="L130:L147" si="7">((C130+D130+E130+F130+G130+I130)-(J130-K130))</f>
        <v>1.9800000000000004</v>
      </c>
      <c r="M130" s="21">
        <f t="shared" si="5"/>
        <v>0.15301391035548689</v>
      </c>
    </row>
    <row r="131" spans="1:13" x14ac:dyDescent="0.25">
      <c r="A131" s="13">
        <v>130</v>
      </c>
      <c r="B131" s="14">
        <v>45891</v>
      </c>
      <c r="C131" s="15">
        <v>0</v>
      </c>
      <c r="D131" s="15">
        <v>0</v>
      </c>
      <c r="E131" s="15">
        <v>0</v>
      </c>
      <c r="F131" s="15">
        <v>0</v>
      </c>
      <c r="G131" s="15">
        <v>0.56000000000000005</v>
      </c>
      <c r="H131" s="15">
        <v>0</v>
      </c>
      <c r="I131" s="15">
        <v>10.44</v>
      </c>
      <c r="J131" s="15">
        <v>12.53</v>
      </c>
      <c r="K131" s="15">
        <v>1.91</v>
      </c>
      <c r="L131" s="15">
        <f t="shared" si="7"/>
        <v>0.38000000000000078</v>
      </c>
      <c r="M131" s="21">
        <f t="shared" si="5"/>
        <v>3.5781544256120602E-2</v>
      </c>
    </row>
    <row r="132" spans="1:13" x14ac:dyDescent="0.25">
      <c r="A132" s="13">
        <v>131</v>
      </c>
      <c r="B132" s="14">
        <v>45892</v>
      </c>
      <c r="C132" s="15">
        <v>3.25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8.8000000000000007</v>
      </c>
      <c r="J132" s="15">
        <v>13.86</v>
      </c>
      <c r="K132" s="15">
        <v>4.3499999999999996</v>
      </c>
      <c r="L132" s="15">
        <f t="shared" si="7"/>
        <v>2.5400000000000009</v>
      </c>
      <c r="M132" s="21">
        <f t="shared" si="5"/>
        <v>0.26708727655099906</v>
      </c>
    </row>
    <row r="133" spans="1:13" x14ac:dyDescent="0.25">
      <c r="A133" s="13">
        <v>132</v>
      </c>
      <c r="B133" s="14">
        <v>45892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4.57</v>
      </c>
      <c r="J133" s="15">
        <v>5.25</v>
      </c>
      <c r="K133" s="15">
        <v>0</v>
      </c>
      <c r="L133" s="15">
        <f t="shared" si="7"/>
        <v>-0.67999999999999972</v>
      </c>
      <c r="M133" s="21">
        <f t="shared" si="5"/>
        <v>0.12952380952380946</v>
      </c>
    </row>
    <row r="134" spans="1:13" x14ac:dyDescent="0.25">
      <c r="A134" s="13">
        <v>133</v>
      </c>
      <c r="B134" s="14">
        <v>45892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7.76</v>
      </c>
      <c r="J134" s="15">
        <v>12.94</v>
      </c>
      <c r="K134" s="15">
        <v>0</v>
      </c>
      <c r="L134" s="15">
        <f t="shared" si="7"/>
        <v>-5.18</v>
      </c>
      <c r="M134" s="21">
        <f t="shared" si="5"/>
        <v>0.40030911901081917</v>
      </c>
    </row>
    <row r="135" spans="1:13" x14ac:dyDescent="0.25">
      <c r="A135" s="13">
        <v>134</v>
      </c>
      <c r="B135" s="14">
        <v>45892</v>
      </c>
      <c r="C135" s="15">
        <v>1.5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6.99</v>
      </c>
      <c r="J135" s="15">
        <v>11.98</v>
      </c>
      <c r="K135" s="15">
        <v>0</v>
      </c>
      <c r="L135" s="15">
        <f t="shared" si="7"/>
        <v>-3.49</v>
      </c>
      <c r="M135" s="21">
        <f t="shared" si="5"/>
        <v>0.29131886477462438</v>
      </c>
    </row>
    <row r="136" spans="1:13" x14ac:dyDescent="0.25">
      <c r="A136" s="13">
        <v>135</v>
      </c>
      <c r="B136" s="14">
        <v>45892</v>
      </c>
      <c r="C136" s="15">
        <v>2.5</v>
      </c>
      <c r="D136" s="15">
        <v>0</v>
      </c>
      <c r="E136" s="15">
        <v>0</v>
      </c>
      <c r="F136" s="15">
        <v>3.66</v>
      </c>
      <c r="G136" s="15">
        <v>0</v>
      </c>
      <c r="H136" s="15">
        <v>0</v>
      </c>
      <c r="I136" s="15">
        <v>22.26</v>
      </c>
      <c r="J136" s="15">
        <v>32.299999999999997</v>
      </c>
      <c r="K136" s="15">
        <v>0</v>
      </c>
      <c r="L136" s="15">
        <f t="shared" si="7"/>
        <v>-3.8799999999999955</v>
      </c>
      <c r="M136" s="21">
        <f t="shared" si="5"/>
        <v>0.12012383900928779</v>
      </c>
    </row>
    <row r="137" spans="1:13" x14ac:dyDescent="0.25">
      <c r="A137" s="13">
        <v>136</v>
      </c>
      <c r="B137" s="14">
        <v>45892</v>
      </c>
      <c r="C137" s="15">
        <v>2.25</v>
      </c>
      <c r="D137" s="15">
        <v>0</v>
      </c>
      <c r="E137" s="15">
        <v>0</v>
      </c>
      <c r="F137" s="15">
        <v>0</v>
      </c>
      <c r="G137" s="15">
        <v>1.79</v>
      </c>
      <c r="H137" s="15">
        <v>0</v>
      </c>
      <c r="I137" s="15">
        <v>20.91</v>
      </c>
      <c r="J137" s="15">
        <v>37.94</v>
      </c>
      <c r="K137" s="15">
        <v>0</v>
      </c>
      <c r="L137" s="15">
        <f t="shared" si="7"/>
        <v>-12.989999999999998</v>
      </c>
      <c r="M137" s="21">
        <f t="shared" si="5"/>
        <v>0.34238270954138111</v>
      </c>
    </row>
    <row r="138" spans="1:13" x14ac:dyDescent="0.25">
      <c r="A138" s="13">
        <v>137</v>
      </c>
      <c r="B138" s="14">
        <v>45892</v>
      </c>
      <c r="C138" s="15">
        <v>1.75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7.21</v>
      </c>
      <c r="J138" s="15">
        <v>14.94</v>
      </c>
      <c r="K138" s="15">
        <v>0</v>
      </c>
      <c r="L138" s="15">
        <f t="shared" si="7"/>
        <v>-5.9799999999999986</v>
      </c>
      <c r="M138" s="21">
        <f t="shared" si="5"/>
        <v>0.40026773761713513</v>
      </c>
    </row>
    <row r="139" spans="1:13" x14ac:dyDescent="0.25">
      <c r="A139" s="13">
        <v>138</v>
      </c>
      <c r="B139" s="14">
        <v>45892</v>
      </c>
      <c r="C139" s="15">
        <v>9.25</v>
      </c>
      <c r="D139" s="15">
        <v>0</v>
      </c>
      <c r="E139" s="15">
        <v>0</v>
      </c>
      <c r="F139" s="15">
        <v>0</v>
      </c>
      <c r="G139" s="15">
        <v>0</v>
      </c>
      <c r="H139" s="15">
        <v>0</v>
      </c>
      <c r="I139" s="15">
        <v>9.56</v>
      </c>
      <c r="J139" s="15">
        <v>20.7</v>
      </c>
      <c r="K139" s="15">
        <v>6.78</v>
      </c>
      <c r="L139" s="15">
        <f t="shared" si="7"/>
        <v>4.8900000000000041</v>
      </c>
      <c r="M139" s="21">
        <f t="shared" si="5"/>
        <v>0.35129310344827619</v>
      </c>
    </row>
    <row r="140" spans="1:13" x14ac:dyDescent="0.25">
      <c r="A140" s="13">
        <v>139</v>
      </c>
      <c r="B140" s="14">
        <v>45892</v>
      </c>
      <c r="C140" s="15">
        <v>1.25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8.02</v>
      </c>
      <c r="J140" s="15">
        <v>10.87</v>
      </c>
      <c r="K140" s="15">
        <v>0.97</v>
      </c>
      <c r="L140" s="15">
        <f t="shared" si="7"/>
        <v>-0.62999999999999901</v>
      </c>
      <c r="M140" s="21">
        <f t="shared" si="5"/>
        <v>6.3636363636363547E-2</v>
      </c>
    </row>
    <row r="141" spans="1:13" x14ac:dyDescent="0.25">
      <c r="A141" s="13">
        <v>140</v>
      </c>
      <c r="B141" s="14">
        <v>45892</v>
      </c>
      <c r="C141" s="15">
        <v>0</v>
      </c>
      <c r="D141" s="15">
        <v>0</v>
      </c>
      <c r="E141" s="15">
        <v>0</v>
      </c>
      <c r="F141" s="15">
        <v>0</v>
      </c>
      <c r="G141" s="15">
        <v>0</v>
      </c>
      <c r="H141" s="15">
        <v>0</v>
      </c>
      <c r="I141" s="15">
        <v>20.81</v>
      </c>
      <c r="J141" s="15">
        <v>27.9</v>
      </c>
      <c r="K141" s="15">
        <v>0</v>
      </c>
      <c r="L141" s="15">
        <f t="shared" si="7"/>
        <v>-7.09</v>
      </c>
      <c r="M141" s="21">
        <f t="shared" si="5"/>
        <v>0.25412186379928314</v>
      </c>
    </row>
    <row r="142" spans="1:13" x14ac:dyDescent="0.25">
      <c r="A142" s="13">
        <v>141</v>
      </c>
      <c r="B142" s="14">
        <v>45900</v>
      </c>
      <c r="C142" s="15">
        <v>0</v>
      </c>
      <c r="D142" s="15">
        <v>0</v>
      </c>
      <c r="E142" s="15">
        <v>0</v>
      </c>
      <c r="F142" s="15">
        <v>3.66</v>
      </c>
      <c r="G142" s="15">
        <v>0.6</v>
      </c>
      <c r="H142" s="15">
        <v>0</v>
      </c>
      <c r="I142" s="15">
        <v>7.65</v>
      </c>
      <c r="J142" s="15">
        <v>15.42</v>
      </c>
      <c r="K142" s="15">
        <v>0</v>
      </c>
      <c r="L142" s="15">
        <f t="shared" si="7"/>
        <v>-3.51</v>
      </c>
      <c r="M142" s="21">
        <f t="shared" si="5"/>
        <v>0.22762645914396887</v>
      </c>
    </row>
    <row r="143" spans="1:13" x14ac:dyDescent="0.25">
      <c r="A143" s="13">
        <v>142</v>
      </c>
      <c r="B143" s="14">
        <v>45900</v>
      </c>
      <c r="C143" s="15">
        <v>2.5</v>
      </c>
      <c r="D143" s="15">
        <v>0</v>
      </c>
      <c r="E143" s="15">
        <v>0</v>
      </c>
      <c r="F143" s="15">
        <v>0</v>
      </c>
      <c r="G143" s="15">
        <v>0.43</v>
      </c>
      <c r="H143" s="15">
        <v>0</v>
      </c>
      <c r="I143" s="15">
        <v>11.86</v>
      </c>
      <c r="J143" s="15">
        <v>18.47</v>
      </c>
      <c r="K143" s="15">
        <v>0</v>
      </c>
      <c r="L143" s="15">
        <f t="shared" si="7"/>
        <v>-3.6799999999999997</v>
      </c>
      <c r="M143" s="21">
        <f t="shared" si="5"/>
        <v>0.19924201407688141</v>
      </c>
    </row>
    <row r="144" spans="1:13" x14ac:dyDescent="0.25">
      <c r="A144" s="13">
        <v>143</v>
      </c>
      <c r="B144" s="14">
        <v>45900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8.82</v>
      </c>
      <c r="J144" s="15">
        <v>12.91</v>
      </c>
      <c r="K144" s="15">
        <v>0</v>
      </c>
      <c r="L144" s="15">
        <f t="shared" si="7"/>
        <v>-4.09</v>
      </c>
      <c r="M144" s="21">
        <f t="shared" si="5"/>
        <v>0.31680867544539115</v>
      </c>
    </row>
    <row r="145" spans="1:13" x14ac:dyDescent="0.25">
      <c r="A145" s="13">
        <v>144</v>
      </c>
      <c r="B145" s="14">
        <v>45900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10.23</v>
      </c>
      <c r="J145" s="15">
        <v>12.92</v>
      </c>
      <c r="K145" s="15">
        <v>0</v>
      </c>
      <c r="L145" s="15">
        <f t="shared" si="7"/>
        <v>-2.6899999999999995</v>
      </c>
      <c r="M145" s="21">
        <f t="shared" si="5"/>
        <v>0.20820433436532504</v>
      </c>
    </row>
    <row r="146" spans="1:13" x14ac:dyDescent="0.25">
      <c r="A146" s="13">
        <v>145</v>
      </c>
      <c r="B146" s="14">
        <v>45900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4.57</v>
      </c>
      <c r="J146" s="15">
        <v>5.25</v>
      </c>
      <c r="K146" s="15">
        <v>0</v>
      </c>
      <c r="L146" s="15">
        <f t="shared" si="7"/>
        <v>-0.67999999999999972</v>
      </c>
      <c r="M146" s="21">
        <f t="shared" si="5"/>
        <v>0.12952380952380946</v>
      </c>
    </row>
    <row r="147" spans="1:13" x14ac:dyDescent="0.25">
      <c r="A147" s="13">
        <v>146</v>
      </c>
      <c r="B147" s="14">
        <v>45900</v>
      </c>
      <c r="C147" s="15">
        <v>1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6.99</v>
      </c>
      <c r="J147" s="15">
        <v>11.94</v>
      </c>
      <c r="K147" s="15">
        <v>0</v>
      </c>
      <c r="L147" s="15">
        <f t="shared" si="7"/>
        <v>-3.9499999999999993</v>
      </c>
      <c r="M147" s="21">
        <f t="shared" si="5"/>
        <v>0.33082077051926295</v>
      </c>
    </row>
    <row r="148" spans="1:13" x14ac:dyDescent="0.25">
      <c r="A148" s="13">
        <v>147</v>
      </c>
      <c r="B148" s="14">
        <v>45900</v>
      </c>
      <c r="C148" s="15">
        <v>1.25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24.67</v>
      </c>
      <c r="J148" s="15">
        <v>28.76</v>
      </c>
      <c r="K148" s="15">
        <v>12.32</v>
      </c>
      <c r="L148" s="15">
        <f t="shared" ref="L148:L153" si="8">((C148+D148+E148+F148+G148+I148)-(J148-K148))</f>
        <v>9.48</v>
      </c>
      <c r="M148" s="21">
        <f t="shared" ref="M148:M320" si="9">ABS(L148/(J148-K148))</f>
        <v>0.57664233576642332</v>
      </c>
    </row>
    <row r="149" spans="1:13" x14ac:dyDescent="0.25">
      <c r="A149" s="13">
        <v>148</v>
      </c>
      <c r="B149" s="14">
        <v>45900</v>
      </c>
      <c r="C149" s="15">
        <v>0</v>
      </c>
      <c r="D149" s="15">
        <v>0</v>
      </c>
      <c r="E149" s="15">
        <v>0</v>
      </c>
      <c r="F149" s="15">
        <v>3.66</v>
      </c>
      <c r="G149" s="15">
        <v>0</v>
      </c>
      <c r="H149" s="15">
        <v>0</v>
      </c>
      <c r="I149" s="15">
        <v>17.239999999999998</v>
      </c>
      <c r="J149" s="15">
        <v>30.2</v>
      </c>
      <c r="K149" s="15">
        <v>0</v>
      </c>
      <c r="L149" s="15">
        <f t="shared" si="8"/>
        <v>-9.3000000000000007</v>
      </c>
      <c r="M149" s="21">
        <f t="shared" si="9"/>
        <v>0.30794701986754969</v>
      </c>
    </row>
    <row r="150" spans="1:13" x14ac:dyDescent="0.25">
      <c r="A150" s="13">
        <v>149</v>
      </c>
      <c r="B150" s="14">
        <v>45900</v>
      </c>
      <c r="C150" s="15">
        <v>3.25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13.12</v>
      </c>
      <c r="J150" s="15">
        <v>19.96</v>
      </c>
      <c r="K150" s="15">
        <v>0</v>
      </c>
      <c r="L150" s="15">
        <f t="shared" si="8"/>
        <v>-3.5900000000000034</v>
      </c>
      <c r="M150" s="21">
        <f t="shared" si="9"/>
        <v>0.17985971943887791</v>
      </c>
    </row>
    <row r="151" spans="1:13" x14ac:dyDescent="0.25">
      <c r="A151" s="13">
        <v>150</v>
      </c>
      <c r="B151" s="14">
        <v>45901</v>
      </c>
      <c r="C151" s="15">
        <v>0</v>
      </c>
      <c r="D151" s="15">
        <v>0</v>
      </c>
      <c r="E151" s="15">
        <v>0</v>
      </c>
      <c r="F151" s="15">
        <v>3.66</v>
      </c>
      <c r="G151" s="15">
        <v>0</v>
      </c>
      <c r="H151" s="15">
        <v>0</v>
      </c>
      <c r="I151" s="15">
        <v>6.99</v>
      </c>
      <c r="J151" s="15">
        <v>12.57</v>
      </c>
      <c r="K151" s="15">
        <v>0</v>
      </c>
      <c r="L151" s="15">
        <f t="shared" si="8"/>
        <v>-1.92</v>
      </c>
      <c r="M151" s="21">
        <f t="shared" si="9"/>
        <v>0.15274463007159902</v>
      </c>
    </row>
    <row r="152" spans="1:13" x14ac:dyDescent="0.25">
      <c r="A152" s="13">
        <v>151</v>
      </c>
      <c r="B152" s="14">
        <v>45901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6.99</v>
      </c>
      <c r="J152" s="15">
        <v>9.9700000000000006</v>
      </c>
      <c r="K152" s="15">
        <v>0</v>
      </c>
      <c r="L152" s="15">
        <f t="shared" si="8"/>
        <v>-2.9800000000000004</v>
      </c>
      <c r="M152" s="21">
        <f t="shared" si="9"/>
        <v>0.29889669007021064</v>
      </c>
    </row>
    <row r="153" spans="1:13" x14ac:dyDescent="0.25">
      <c r="A153" s="13">
        <v>152</v>
      </c>
      <c r="B153" s="14">
        <v>45901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3.7</v>
      </c>
      <c r="J153" s="15">
        <v>0</v>
      </c>
      <c r="K153" s="15">
        <v>0</v>
      </c>
      <c r="L153" s="15">
        <f t="shared" si="8"/>
        <v>3.7</v>
      </c>
      <c r="M153" s="21">
        <v>0</v>
      </c>
    </row>
    <row r="154" spans="1:13" x14ac:dyDescent="0.25">
      <c r="A154" s="13">
        <v>153</v>
      </c>
      <c r="B154" s="14">
        <v>45901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12.15</v>
      </c>
      <c r="J154" s="15">
        <v>13.9</v>
      </c>
      <c r="K154" s="15">
        <v>1.96</v>
      </c>
      <c r="L154" s="15">
        <f t="shared" ref="L154:L166" si="10">((C154+D154+E154+F154+G154+I154)-(J154-K154))</f>
        <v>0.20999999999999908</v>
      </c>
      <c r="M154" s="21">
        <f t="shared" si="9"/>
        <v>1.7587939698492382E-2</v>
      </c>
    </row>
    <row r="155" spans="1:13" x14ac:dyDescent="0.25">
      <c r="A155" s="13">
        <v>154</v>
      </c>
      <c r="B155" s="14">
        <v>45901</v>
      </c>
      <c r="C155" s="15">
        <v>1.25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9.5500000000000007</v>
      </c>
      <c r="J155" s="15">
        <v>13.92</v>
      </c>
      <c r="K155" s="15">
        <v>0</v>
      </c>
      <c r="L155" s="15">
        <f t="shared" si="10"/>
        <v>-3.1199999999999992</v>
      </c>
      <c r="M155" s="21">
        <f t="shared" si="9"/>
        <v>0.22413793103448271</v>
      </c>
    </row>
    <row r="156" spans="1:13" x14ac:dyDescent="0.25">
      <c r="A156" s="13">
        <v>155</v>
      </c>
      <c r="B156" s="14">
        <v>45901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4.57</v>
      </c>
      <c r="J156" s="15">
        <v>5.25</v>
      </c>
      <c r="K156" s="15">
        <v>0</v>
      </c>
      <c r="L156" s="15">
        <f t="shared" si="10"/>
        <v>-0.67999999999999972</v>
      </c>
      <c r="M156" s="21">
        <f t="shared" si="9"/>
        <v>0.12952380952380946</v>
      </c>
    </row>
    <row r="157" spans="1:13" x14ac:dyDescent="0.25">
      <c r="A157" s="13">
        <v>156</v>
      </c>
      <c r="B157" s="14">
        <v>45904</v>
      </c>
      <c r="C157" s="15">
        <v>2.25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9.1300000000000008</v>
      </c>
      <c r="J157" s="15">
        <v>14.99</v>
      </c>
      <c r="K157" s="15">
        <v>0</v>
      </c>
      <c r="L157" s="15">
        <f t="shared" si="10"/>
        <v>-3.6099999999999994</v>
      </c>
      <c r="M157" s="21">
        <f t="shared" si="9"/>
        <v>0.24082721814543023</v>
      </c>
    </row>
    <row r="158" spans="1:13" x14ac:dyDescent="0.25">
      <c r="A158" s="13">
        <v>157</v>
      </c>
      <c r="B158" s="14">
        <v>45904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18.39</v>
      </c>
      <c r="J158" s="15">
        <v>20.69</v>
      </c>
      <c r="K158" s="15">
        <v>3.73</v>
      </c>
      <c r="L158" s="15">
        <f t="shared" si="10"/>
        <v>1.4299999999999997</v>
      </c>
      <c r="M158" s="21">
        <f t="shared" si="9"/>
        <v>8.4316037735849031E-2</v>
      </c>
    </row>
    <row r="159" spans="1:13" x14ac:dyDescent="0.25">
      <c r="A159" s="13">
        <v>158</v>
      </c>
      <c r="B159" s="14">
        <v>45904</v>
      </c>
      <c r="C159" s="15">
        <v>1.25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11.61</v>
      </c>
      <c r="J159" s="15">
        <v>14.68</v>
      </c>
      <c r="K159" s="15">
        <v>4.9800000000000004</v>
      </c>
      <c r="L159" s="15">
        <f t="shared" si="10"/>
        <v>3.16</v>
      </c>
      <c r="M159" s="21">
        <f t="shared" si="9"/>
        <v>0.32577319587628872</v>
      </c>
    </row>
    <row r="160" spans="1:13" x14ac:dyDescent="0.25">
      <c r="A160" s="13">
        <v>159</v>
      </c>
      <c r="B160" s="14">
        <v>45904</v>
      </c>
      <c r="C160" s="15">
        <v>1.25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  <c r="I160" s="15">
        <v>10.36</v>
      </c>
      <c r="J160" s="15">
        <v>13.5</v>
      </c>
      <c r="K160" s="15">
        <v>1.52</v>
      </c>
      <c r="L160" s="15">
        <f t="shared" si="10"/>
        <v>-0.37000000000000099</v>
      </c>
      <c r="M160" s="21">
        <f t="shared" si="9"/>
        <v>3.0884808013355674E-2</v>
      </c>
    </row>
    <row r="161" spans="1:13" x14ac:dyDescent="0.25">
      <c r="A161" s="13">
        <v>160</v>
      </c>
      <c r="B161" s="14">
        <v>45904</v>
      </c>
      <c r="C161" s="15">
        <v>0</v>
      </c>
      <c r="D161" s="15">
        <v>0</v>
      </c>
      <c r="E161" s="15">
        <v>0</v>
      </c>
      <c r="F161" s="15">
        <v>0</v>
      </c>
      <c r="G161" s="15">
        <v>0.11</v>
      </c>
      <c r="H161" s="15">
        <v>0</v>
      </c>
      <c r="I161" s="15">
        <v>6.99</v>
      </c>
      <c r="J161" s="15">
        <v>8.5</v>
      </c>
      <c r="K161" s="15">
        <v>1.22</v>
      </c>
      <c r="L161" s="15">
        <f t="shared" si="10"/>
        <v>-0.17999999999999972</v>
      </c>
      <c r="M161" s="21">
        <f t="shared" si="9"/>
        <v>2.4725274725274686E-2</v>
      </c>
    </row>
    <row r="162" spans="1:13" x14ac:dyDescent="0.25">
      <c r="A162" s="13">
        <v>161</v>
      </c>
      <c r="B162" s="14">
        <v>45904</v>
      </c>
      <c r="C162" s="15">
        <v>0</v>
      </c>
      <c r="D162" s="15">
        <v>0</v>
      </c>
      <c r="E162" s="15">
        <v>0</v>
      </c>
      <c r="F162" s="15">
        <v>0</v>
      </c>
      <c r="G162" s="15">
        <v>0</v>
      </c>
      <c r="H162" s="15">
        <v>0</v>
      </c>
      <c r="I162" s="15">
        <v>12.35</v>
      </c>
      <c r="J162" s="15">
        <v>14.08</v>
      </c>
      <c r="K162" s="15">
        <v>2.17</v>
      </c>
      <c r="L162" s="15">
        <f t="shared" si="10"/>
        <v>0.4399999999999995</v>
      </c>
      <c r="M162" s="21">
        <f t="shared" si="9"/>
        <v>3.6943744752308945E-2</v>
      </c>
    </row>
    <row r="163" spans="1:13" x14ac:dyDescent="0.25">
      <c r="A163" s="13">
        <v>162</v>
      </c>
      <c r="B163" s="14">
        <v>45906</v>
      </c>
      <c r="C163" s="15">
        <v>2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11.26</v>
      </c>
      <c r="J163" s="15">
        <v>15.92</v>
      </c>
      <c r="K163" s="15">
        <v>0</v>
      </c>
      <c r="L163" s="15">
        <f t="shared" si="10"/>
        <v>-2.66</v>
      </c>
      <c r="M163" s="21">
        <f t="shared" si="9"/>
        <v>0.16708542713567839</v>
      </c>
    </row>
    <row r="164" spans="1:13" x14ac:dyDescent="0.25">
      <c r="A164" s="13">
        <v>163</v>
      </c>
      <c r="B164" s="14">
        <v>45906</v>
      </c>
      <c r="C164" s="15">
        <v>1.25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6.99</v>
      </c>
      <c r="J164" s="15">
        <v>9.93</v>
      </c>
      <c r="K164" s="15">
        <v>0</v>
      </c>
      <c r="L164" s="15">
        <f t="shared" si="10"/>
        <v>-1.6899999999999995</v>
      </c>
      <c r="M164" s="21">
        <f t="shared" si="9"/>
        <v>0.17019133937562936</v>
      </c>
    </row>
    <row r="165" spans="1:13" x14ac:dyDescent="0.25">
      <c r="A165" s="13">
        <v>164</v>
      </c>
      <c r="B165" s="14">
        <v>45906</v>
      </c>
      <c r="C165" s="15">
        <v>4</v>
      </c>
      <c r="D165" s="15">
        <v>0</v>
      </c>
      <c r="E165" s="15">
        <v>0</v>
      </c>
      <c r="F165" s="15">
        <v>0</v>
      </c>
      <c r="G165" s="15">
        <v>0</v>
      </c>
      <c r="H165" s="15">
        <v>0</v>
      </c>
      <c r="I165" s="15">
        <v>12.18</v>
      </c>
      <c r="J165" s="15">
        <v>19.91</v>
      </c>
      <c r="K165" s="15">
        <v>0</v>
      </c>
      <c r="L165" s="15">
        <f t="shared" si="10"/>
        <v>-3.7300000000000004</v>
      </c>
      <c r="M165" s="21">
        <f t="shared" si="9"/>
        <v>0.18734304369663488</v>
      </c>
    </row>
    <row r="166" spans="1:13" x14ac:dyDescent="0.25">
      <c r="A166" s="13">
        <v>165</v>
      </c>
      <c r="B166" s="14">
        <v>45906</v>
      </c>
      <c r="C166" s="15">
        <v>0</v>
      </c>
      <c r="D166" s="15">
        <v>0</v>
      </c>
      <c r="E166" s="15">
        <v>0</v>
      </c>
      <c r="F166" s="15">
        <v>0</v>
      </c>
      <c r="G166" s="15">
        <v>0</v>
      </c>
      <c r="H166" s="15">
        <v>0</v>
      </c>
      <c r="I166" s="15">
        <v>11.67</v>
      </c>
      <c r="J166" s="15">
        <v>0</v>
      </c>
      <c r="K166" s="15">
        <v>0</v>
      </c>
      <c r="L166" s="15">
        <f t="shared" si="10"/>
        <v>11.67</v>
      </c>
      <c r="M166" s="21">
        <v>0</v>
      </c>
    </row>
    <row r="167" spans="1:13" x14ac:dyDescent="0.25">
      <c r="A167" s="13">
        <v>166</v>
      </c>
      <c r="B167" s="14">
        <v>45906</v>
      </c>
      <c r="C167" s="15">
        <v>0</v>
      </c>
      <c r="D167" s="15">
        <v>0</v>
      </c>
      <c r="E167" s="15">
        <v>0</v>
      </c>
      <c r="F167" s="15">
        <v>0</v>
      </c>
      <c r="G167" s="15">
        <v>0.19</v>
      </c>
      <c r="H167" s="15">
        <v>0</v>
      </c>
      <c r="I167" s="15">
        <v>9.1999999999999993</v>
      </c>
      <c r="J167" s="15">
        <v>13.2</v>
      </c>
      <c r="K167" s="15">
        <v>0</v>
      </c>
      <c r="L167" s="15">
        <f t="shared" ref="L167:L320" si="11">((C167+D167+E167+F167+G167+I167)-(J167-K167))</f>
        <v>-3.8100000000000005</v>
      </c>
      <c r="M167" s="21">
        <f t="shared" si="9"/>
        <v>0.28863636363636369</v>
      </c>
    </row>
    <row r="168" spans="1:13" x14ac:dyDescent="0.25">
      <c r="A168" s="13">
        <v>167</v>
      </c>
      <c r="B168" s="14">
        <v>45906</v>
      </c>
      <c r="C168" s="15">
        <v>1.25</v>
      </c>
      <c r="D168" s="15">
        <v>0</v>
      </c>
      <c r="E168" s="15">
        <v>0</v>
      </c>
      <c r="F168" s="15">
        <v>0</v>
      </c>
      <c r="G168" s="15">
        <v>0</v>
      </c>
      <c r="H168" s="15">
        <v>0</v>
      </c>
      <c r="I168" s="15">
        <v>25.88</v>
      </c>
      <c r="J168" s="15">
        <v>30.97</v>
      </c>
      <c r="K168" s="15">
        <v>7.74</v>
      </c>
      <c r="L168" s="15">
        <f t="shared" si="11"/>
        <v>3.9000000000000021</v>
      </c>
      <c r="M168" s="21">
        <f t="shared" si="9"/>
        <v>0.1678863538527767</v>
      </c>
    </row>
    <row r="169" spans="1:13" x14ac:dyDescent="0.25">
      <c r="A169" s="13">
        <v>168</v>
      </c>
      <c r="B169" s="14">
        <v>45906</v>
      </c>
      <c r="C169" s="15">
        <v>4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6.99</v>
      </c>
      <c r="J169" s="15">
        <v>12.53</v>
      </c>
      <c r="K169" s="15">
        <v>0.62</v>
      </c>
      <c r="L169" s="15">
        <f t="shared" si="11"/>
        <v>-0.91999999999999993</v>
      </c>
      <c r="M169" s="21">
        <f t="shared" si="9"/>
        <v>7.724601175482787E-2</v>
      </c>
    </row>
    <row r="170" spans="1:13" x14ac:dyDescent="0.25">
      <c r="A170" s="13">
        <v>169</v>
      </c>
      <c r="B170" s="14">
        <v>45906</v>
      </c>
      <c r="C170" s="15">
        <v>4.25</v>
      </c>
      <c r="D170" s="15">
        <v>0</v>
      </c>
      <c r="E170" s="15">
        <v>0</v>
      </c>
      <c r="F170" s="15">
        <v>0</v>
      </c>
      <c r="G170" s="15">
        <v>0.19</v>
      </c>
      <c r="H170" s="15">
        <v>0</v>
      </c>
      <c r="I170" s="15">
        <v>20.260000000000002</v>
      </c>
      <c r="J170" s="15">
        <v>34.18</v>
      </c>
      <c r="K170" s="15">
        <v>0</v>
      </c>
      <c r="L170" s="15">
        <f t="shared" si="11"/>
        <v>-9.4799999999999969</v>
      </c>
      <c r="M170" s="21">
        <f t="shared" si="9"/>
        <v>0.27735517846693963</v>
      </c>
    </row>
    <row r="171" spans="1:13" x14ac:dyDescent="0.25">
      <c r="A171" s="13">
        <v>170</v>
      </c>
      <c r="B171" s="14">
        <v>45906</v>
      </c>
      <c r="C171" s="15">
        <v>3.75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6.99</v>
      </c>
      <c r="J171" s="15">
        <v>12.23</v>
      </c>
      <c r="K171" s="15">
        <v>2.2599999999999998</v>
      </c>
      <c r="L171" s="15">
        <f t="shared" si="11"/>
        <v>0.76999999999999957</v>
      </c>
      <c r="M171" s="21">
        <f t="shared" si="9"/>
        <v>7.7231695085255722E-2</v>
      </c>
    </row>
    <row r="172" spans="1:13" x14ac:dyDescent="0.25">
      <c r="A172" s="13">
        <v>171</v>
      </c>
      <c r="B172" s="14">
        <v>45906</v>
      </c>
      <c r="C172" s="15">
        <v>3.75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  <c r="I172" s="15">
        <v>7.62</v>
      </c>
      <c r="J172" s="15">
        <v>18.95</v>
      </c>
      <c r="K172" s="15">
        <v>0</v>
      </c>
      <c r="L172" s="15">
        <f t="shared" si="11"/>
        <v>-7.5799999999999983</v>
      </c>
      <c r="M172" s="21">
        <f t="shared" si="9"/>
        <v>0.39999999999999991</v>
      </c>
    </row>
    <row r="173" spans="1:13" x14ac:dyDescent="0.25">
      <c r="A173" s="13">
        <v>172</v>
      </c>
      <c r="B173" s="14">
        <v>45906</v>
      </c>
      <c r="C173" s="15">
        <v>2.25</v>
      </c>
      <c r="D173" s="15">
        <v>0</v>
      </c>
      <c r="E173" s="15">
        <v>0</v>
      </c>
      <c r="F173" s="15">
        <v>0</v>
      </c>
      <c r="G173" s="15">
        <v>0</v>
      </c>
      <c r="H173" s="15">
        <v>0</v>
      </c>
      <c r="I173" s="15">
        <v>6.99</v>
      </c>
      <c r="J173" s="15">
        <v>11.94</v>
      </c>
      <c r="K173" s="15">
        <v>0</v>
      </c>
      <c r="L173" s="15">
        <f t="shared" si="11"/>
        <v>-2.6999999999999993</v>
      </c>
      <c r="M173" s="21">
        <f t="shared" si="9"/>
        <v>0.22613065326633161</v>
      </c>
    </row>
    <row r="174" spans="1:13" x14ac:dyDescent="0.25">
      <c r="A174" s="13">
        <v>173</v>
      </c>
      <c r="B174" s="14">
        <v>45906</v>
      </c>
      <c r="C174" s="15">
        <v>1.25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  <c r="I174" s="15">
        <v>7.85</v>
      </c>
      <c r="J174" s="15">
        <v>14.98</v>
      </c>
      <c r="K174" s="15">
        <v>0</v>
      </c>
      <c r="L174" s="15">
        <f t="shared" si="11"/>
        <v>-5.8800000000000008</v>
      </c>
      <c r="M174" s="21">
        <f t="shared" si="9"/>
        <v>0.39252336448598135</v>
      </c>
    </row>
    <row r="175" spans="1:13" x14ac:dyDescent="0.25">
      <c r="A175" s="13">
        <v>174</v>
      </c>
      <c r="B175" s="14">
        <v>45908</v>
      </c>
      <c r="C175" s="15">
        <v>2.75</v>
      </c>
      <c r="D175" s="15">
        <v>0</v>
      </c>
      <c r="E175" s="15">
        <v>0</v>
      </c>
      <c r="F175" s="15">
        <v>0</v>
      </c>
      <c r="G175" s="15">
        <v>0</v>
      </c>
      <c r="H175" s="15">
        <v>0</v>
      </c>
      <c r="I175" s="15">
        <v>6.99</v>
      </c>
      <c r="J175" s="15">
        <v>11.34</v>
      </c>
      <c r="K175" s="15">
        <v>0.38</v>
      </c>
      <c r="L175" s="15">
        <f t="shared" si="11"/>
        <v>-1.2199999999999989</v>
      </c>
      <c r="M175" s="21">
        <f t="shared" si="9"/>
        <v>0.11131386861313859</v>
      </c>
    </row>
    <row r="176" spans="1:13" x14ac:dyDescent="0.25">
      <c r="A176" s="13">
        <v>175</v>
      </c>
      <c r="B176" s="14">
        <v>45908</v>
      </c>
      <c r="C176" s="15">
        <v>4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6.99</v>
      </c>
      <c r="J176" s="15">
        <v>12.37</v>
      </c>
      <c r="K176" s="15">
        <v>3.44</v>
      </c>
      <c r="L176" s="15">
        <f t="shared" si="11"/>
        <v>2.0600000000000005</v>
      </c>
      <c r="M176" s="21">
        <f t="shared" si="9"/>
        <v>0.23068309070548718</v>
      </c>
    </row>
    <row r="177" spans="1:13" x14ac:dyDescent="0.25">
      <c r="A177" s="13">
        <v>176</v>
      </c>
      <c r="B177" s="14">
        <v>45908</v>
      </c>
      <c r="C177" s="15">
        <v>2.5</v>
      </c>
      <c r="D177" s="15">
        <v>0</v>
      </c>
      <c r="E177" s="15">
        <v>0</v>
      </c>
      <c r="F177" s="15">
        <v>3.66</v>
      </c>
      <c r="G177" s="15">
        <v>0</v>
      </c>
      <c r="H177" s="15">
        <v>0</v>
      </c>
      <c r="I177" s="15">
        <v>7.06</v>
      </c>
      <c r="J177" s="15">
        <v>15.2</v>
      </c>
      <c r="K177" s="15">
        <v>0</v>
      </c>
      <c r="L177" s="15">
        <f t="shared" si="11"/>
        <v>-1.9800000000000004</v>
      </c>
      <c r="M177" s="21">
        <f t="shared" si="9"/>
        <v>0.13026315789473689</v>
      </c>
    </row>
    <row r="178" spans="1:13" x14ac:dyDescent="0.25">
      <c r="A178" s="13">
        <v>177</v>
      </c>
      <c r="B178" s="14">
        <v>45908</v>
      </c>
      <c r="C178" s="15">
        <v>2.75</v>
      </c>
      <c r="D178" s="15">
        <v>0</v>
      </c>
      <c r="E178" s="15">
        <v>0</v>
      </c>
      <c r="F178" s="15">
        <v>0</v>
      </c>
      <c r="G178" s="15">
        <v>0</v>
      </c>
      <c r="H178" s="15">
        <v>0</v>
      </c>
      <c r="I178" s="15">
        <v>6.99</v>
      </c>
      <c r="J178" s="15">
        <v>11.13</v>
      </c>
      <c r="K178" s="15">
        <v>1.18</v>
      </c>
      <c r="L178" s="15">
        <f t="shared" si="11"/>
        <v>-0.21000000000000085</v>
      </c>
      <c r="M178" s="21">
        <f t="shared" si="9"/>
        <v>2.1105527638191037E-2</v>
      </c>
    </row>
    <row r="179" spans="1:13" x14ac:dyDescent="0.25">
      <c r="A179" s="13">
        <v>178</v>
      </c>
      <c r="B179" s="14">
        <v>45908</v>
      </c>
      <c r="C179" s="15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0</v>
      </c>
      <c r="I179" s="15">
        <v>7.06</v>
      </c>
      <c r="J179" s="15">
        <v>8.4600000000000009</v>
      </c>
      <c r="K179" s="15">
        <v>2.54</v>
      </c>
      <c r="L179" s="15">
        <f t="shared" si="11"/>
        <v>1.1399999999999988</v>
      </c>
      <c r="M179" s="21">
        <f t="shared" si="9"/>
        <v>0.19256756756756735</v>
      </c>
    </row>
    <row r="180" spans="1:13" x14ac:dyDescent="0.25">
      <c r="A180" s="13">
        <v>179</v>
      </c>
      <c r="B180" s="14">
        <v>45908</v>
      </c>
      <c r="C180" s="15">
        <v>2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  <c r="I180" s="15">
        <v>6.99</v>
      </c>
      <c r="J180" s="15">
        <v>13.98</v>
      </c>
      <c r="K180" s="15">
        <v>1.39</v>
      </c>
      <c r="L180" s="15">
        <f t="shared" si="11"/>
        <v>-3.5999999999999996</v>
      </c>
      <c r="M180" s="21">
        <f t="shared" si="9"/>
        <v>0.2859412231930103</v>
      </c>
    </row>
    <row r="181" spans="1:13" x14ac:dyDescent="0.25">
      <c r="A181" s="13">
        <v>180</v>
      </c>
      <c r="B181" s="14">
        <v>45908</v>
      </c>
      <c r="C181" s="15">
        <v>1.75</v>
      </c>
      <c r="D181" s="15">
        <v>0</v>
      </c>
      <c r="E181" s="15">
        <v>0</v>
      </c>
      <c r="F181" s="15">
        <v>0</v>
      </c>
      <c r="G181" s="15">
        <v>0</v>
      </c>
      <c r="H181" s="15">
        <v>0</v>
      </c>
      <c r="I181" s="15">
        <v>6.99</v>
      </c>
      <c r="J181" s="15">
        <v>10.119999999999999</v>
      </c>
      <c r="K181" s="15">
        <v>1.64</v>
      </c>
      <c r="L181" s="15">
        <f t="shared" si="11"/>
        <v>0.26000000000000156</v>
      </c>
      <c r="M181" s="21">
        <f t="shared" si="9"/>
        <v>3.0660377358490757E-2</v>
      </c>
    </row>
    <row r="182" spans="1:13" x14ac:dyDescent="0.25">
      <c r="A182" s="13">
        <v>181</v>
      </c>
      <c r="B182" s="14">
        <v>45909</v>
      </c>
      <c r="C182" s="15">
        <v>3.5</v>
      </c>
      <c r="D182" s="15">
        <v>0</v>
      </c>
      <c r="E182" s="15">
        <v>0</v>
      </c>
      <c r="F182" s="15">
        <v>0</v>
      </c>
      <c r="G182" s="15">
        <v>0</v>
      </c>
      <c r="H182" s="15">
        <v>0</v>
      </c>
      <c r="I182" s="15">
        <v>7.19</v>
      </c>
      <c r="J182" s="15">
        <v>12.09</v>
      </c>
      <c r="K182" s="15">
        <v>2.17</v>
      </c>
      <c r="L182" s="15">
        <f t="shared" si="11"/>
        <v>0.77000000000000135</v>
      </c>
      <c r="M182" s="21">
        <f t="shared" si="9"/>
        <v>7.7620967741935623E-2</v>
      </c>
    </row>
    <row r="183" spans="1:13" x14ac:dyDescent="0.25">
      <c r="A183" s="13">
        <v>182</v>
      </c>
      <c r="B183" s="14">
        <v>45909</v>
      </c>
      <c r="C183" s="15">
        <v>2.75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11.36</v>
      </c>
      <c r="J183" s="15">
        <v>20.96</v>
      </c>
      <c r="K183" s="15">
        <v>0</v>
      </c>
      <c r="L183" s="15">
        <f t="shared" si="11"/>
        <v>-6.8500000000000014</v>
      </c>
      <c r="M183" s="21">
        <f t="shared" si="9"/>
        <v>0.32681297709923668</v>
      </c>
    </row>
    <row r="184" spans="1:13" x14ac:dyDescent="0.25">
      <c r="A184" s="13">
        <v>183</v>
      </c>
      <c r="B184" s="14">
        <v>45909</v>
      </c>
      <c r="C184" s="15">
        <v>4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20.03</v>
      </c>
      <c r="J184" s="15">
        <v>26.37</v>
      </c>
      <c r="K184" s="15">
        <v>6.38</v>
      </c>
      <c r="L184" s="15">
        <f t="shared" si="11"/>
        <v>4.0399999999999991</v>
      </c>
      <c r="M184" s="21">
        <f t="shared" si="9"/>
        <v>0.20210105052526256</v>
      </c>
    </row>
    <row r="185" spans="1:13" x14ac:dyDescent="0.25">
      <c r="A185" s="13">
        <v>184</v>
      </c>
      <c r="B185" s="14">
        <v>45909</v>
      </c>
      <c r="C185" s="15">
        <v>2.75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7.1</v>
      </c>
      <c r="J185" s="15">
        <v>12.9</v>
      </c>
      <c r="K185" s="15">
        <v>0</v>
      </c>
      <c r="L185" s="15">
        <f t="shared" si="11"/>
        <v>-3.0500000000000007</v>
      </c>
      <c r="M185" s="21">
        <f t="shared" si="9"/>
        <v>0.23643410852713184</v>
      </c>
    </row>
    <row r="186" spans="1:13" x14ac:dyDescent="0.25">
      <c r="A186" s="13">
        <v>185</v>
      </c>
      <c r="B186" s="14">
        <v>45911</v>
      </c>
      <c r="C186" s="15">
        <v>0</v>
      </c>
      <c r="D186" s="15">
        <v>0</v>
      </c>
      <c r="E186" s="15">
        <v>0</v>
      </c>
      <c r="F186" s="15">
        <v>0</v>
      </c>
      <c r="G186" s="15">
        <v>0.31</v>
      </c>
      <c r="H186" s="15">
        <v>0</v>
      </c>
      <c r="I186" s="15">
        <v>6.99</v>
      </c>
      <c r="J186" s="15">
        <v>8.7200000000000006</v>
      </c>
      <c r="K186" s="15">
        <v>0.39</v>
      </c>
      <c r="L186" s="15">
        <f t="shared" si="11"/>
        <v>-1.0300000000000002</v>
      </c>
      <c r="M186" s="21">
        <f t="shared" si="9"/>
        <v>0.12364945978391359</v>
      </c>
    </row>
    <row r="187" spans="1:13" x14ac:dyDescent="0.25">
      <c r="A187" s="13">
        <v>186</v>
      </c>
      <c r="B187" s="14">
        <v>45911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6.99</v>
      </c>
      <c r="J187" s="15">
        <v>8.9700000000000006</v>
      </c>
      <c r="K187" s="15">
        <v>0</v>
      </c>
      <c r="L187" s="15">
        <f t="shared" si="11"/>
        <v>-1.9800000000000004</v>
      </c>
      <c r="M187" s="21">
        <f t="shared" si="9"/>
        <v>0.22073578595317728</v>
      </c>
    </row>
    <row r="188" spans="1:13" x14ac:dyDescent="0.25">
      <c r="A188" s="13">
        <v>187</v>
      </c>
      <c r="B188" s="14">
        <v>45911</v>
      </c>
      <c r="C188" s="15">
        <v>0</v>
      </c>
      <c r="D188" s="15">
        <v>0</v>
      </c>
      <c r="E188" s="15">
        <v>0</v>
      </c>
      <c r="F188" s="15">
        <v>0</v>
      </c>
      <c r="G188" s="15">
        <v>0.11</v>
      </c>
      <c r="H188" s="15">
        <v>0</v>
      </c>
      <c r="I188" s="15">
        <v>6.99</v>
      </c>
      <c r="J188" s="15">
        <v>9.1</v>
      </c>
      <c r="K188" s="15">
        <v>0</v>
      </c>
      <c r="L188" s="15">
        <f t="shared" si="11"/>
        <v>-1.9999999999999991</v>
      </c>
      <c r="M188" s="21">
        <f t="shared" si="9"/>
        <v>0.21978021978021969</v>
      </c>
    </row>
    <row r="189" spans="1:13" x14ac:dyDescent="0.25">
      <c r="A189" s="13">
        <v>188</v>
      </c>
      <c r="B189" s="14">
        <v>45911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10.25</v>
      </c>
      <c r="J189" s="15">
        <v>13.97</v>
      </c>
      <c r="K189" s="15">
        <v>0</v>
      </c>
      <c r="L189" s="15">
        <f t="shared" si="11"/>
        <v>-3.7200000000000006</v>
      </c>
      <c r="M189" s="21">
        <f t="shared" si="9"/>
        <v>0.26628489620615609</v>
      </c>
    </row>
    <row r="190" spans="1:13" x14ac:dyDescent="0.25">
      <c r="A190" s="13">
        <v>189</v>
      </c>
      <c r="B190" s="14">
        <v>45911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6.99</v>
      </c>
      <c r="J190" s="15">
        <v>8.36</v>
      </c>
      <c r="K190" s="15">
        <v>0.45</v>
      </c>
      <c r="L190" s="15">
        <f t="shared" si="11"/>
        <v>-0.91999999999999904</v>
      </c>
      <c r="M190" s="21">
        <f t="shared" si="9"/>
        <v>0.11630847029077107</v>
      </c>
    </row>
    <row r="191" spans="1:13" x14ac:dyDescent="0.25">
      <c r="A191" s="13">
        <v>190</v>
      </c>
      <c r="B191" s="14">
        <v>45911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6.99</v>
      </c>
      <c r="J191" s="15">
        <v>8.36</v>
      </c>
      <c r="K191" s="15">
        <v>2.39</v>
      </c>
      <c r="L191" s="15">
        <f t="shared" si="11"/>
        <v>1.0200000000000014</v>
      </c>
      <c r="M191" s="21">
        <f t="shared" si="9"/>
        <v>0.17085427135678419</v>
      </c>
    </row>
    <row r="192" spans="1:13" x14ac:dyDescent="0.25">
      <c r="A192" s="13">
        <v>191</v>
      </c>
      <c r="B192" s="14">
        <v>45911</v>
      </c>
      <c r="C192" s="15">
        <v>0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7.86</v>
      </c>
      <c r="J192" s="15">
        <v>9.27</v>
      </c>
      <c r="K192" s="15">
        <v>0.34</v>
      </c>
      <c r="L192" s="15">
        <f t="shared" si="11"/>
        <v>-1.0699999999999994</v>
      </c>
      <c r="M192" s="21">
        <f t="shared" si="9"/>
        <v>0.11982082866741316</v>
      </c>
    </row>
    <row r="193" spans="1:13" x14ac:dyDescent="0.25">
      <c r="A193" s="13">
        <v>192</v>
      </c>
      <c r="B193" s="14">
        <v>45911</v>
      </c>
      <c r="C193" s="15">
        <v>1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7.98</v>
      </c>
      <c r="J193" s="15">
        <v>14.96</v>
      </c>
      <c r="K193" s="15">
        <v>0</v>
      </c>
      <c r="L193" s="15">
        <f>((C193+D193+E193+F193+G193+I193)-(J193-K193))</f>
        <v>-5.98</v>
      </c>
      <c r="M193" s="21">
        <f t="shared" si="9"/>
        <v>0.3997326203208556</v>
      </c>
    </row>
    <row r="194" spans="1:13" x14ac:dyDescent="0.25">
      <c r="A194" s="13">
        <v>193</v>
      </c>
      <c r="B194" s="14">
        <v>45911</v>
      </c>
      <c r="C194" s="15">
        <v>0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23.11</v>
      </c>
      <c r="J194" s="15">
        <v>26.01</v>
      </c>
      <c r="K194" s="15">
        <v>3.08</v>
      </c>
      <c r="L194" s="15">
        <f t="shared" si="11"/>
        <v>0.17999999999999972</v>
      </c>
      <c r="M194" s="21">
        <f t="shared" si="9"/>
        <v>7.8499781945050029E-3</v>
      </c>
    </row>
    <row r="195" spans="1:13" x14ac:dyDescent="0.25">
      <c r="A195" s="13">
        <v>194</v>
      </c>
      <c r="B195" s="14">
        <v>45913</v>
      </c>
      <c r="C195" s="15">
        <v>0</v>
      </c>
      <c r="D195" s="15">
        <v>0</v>
      </c>
      <c r="E195" s="15">
        <v>0</v>
      </c>
      <c r="F195" s="15">
        <v>0</v>
      </c>
      <c r="G195" s="15">
        <v>0.33</v>
      </c>
      <c r="H195" s="15">
        <v>0</v>
      </c>
      <c r="I195" s="15">
        <v>8.19</v>
      </c>
      <c r="J195" s="15">
        <v>12.29</v>
      </c>
      <c r="K195" s="15">
        <v>0</v>
      </c>
      <c r="L195" s="15">
        <f t="shared" si="11"/>
        <v>-3.7699999999999996</v>
      </c>
      <c r="M195" s="21">
        <f t="shared" si="9"/>
        <v>0.30675345809601301</v>
      </c>
    </row>
    <row r="196" spans="1:13" x14ac:dyDescent="0.25">
      <c r="A196" s="13">
        <v>195</v>
      </c>
      <c r="B196" s="14">
        <v>45913</v>
      </c>
      <c r="C196" s="15">
        <v>0</v>
      </c>
      <c r="D196" s="15">
        <v>0</v>
      </c>
      <c r="E196" s="15">
        <v>0</v>
      </c>
      <c r="F196" s="15">
        <v>0</v>
      </c>
      <c r="G196" s="15">
        <v>0</v>
      </c>
      <c r="H196" s="15">
        <v>0</v>
      </c>
      <c r="I196" s="15">
        <v>12.25</v>
      </c>
      <c r="J196" s="15">
        <v>14.07</v>
      </c>
      <c r="K196" s="15">
        <v>0.13</v>
      </c>
      <c r="L196" s="15">
        <f t="shared" si="11"/>
        <v>-1.6899999999999995</v>
      </c>
      <c r="M196" s="21">
        <f t="shared" si="9"/>
        <v>0.12123385939741747</v>
      </c>
    </row>
    <row r="197" spans="1:13" x14ac:dyDescent="0.25">
      <c r="A197" s="13">
        <v>196</v>
      </c>
      <c r="B197" s="14">
        <v>45913</v>
      </c>
      <c r="C197" s="15">
        <v>0</v>
      </c>
      <c r="D197" s="15">
        <v>0</v>
      </c>
      <c r="E197" s="15">
        <v>0</v>
      </c>
      <c r="F197" s="15">
        <v>0</v>
      </c>
      <c r="G197" s="15">
        <v>0</v>
      </c>
      <c r="H197" s="15">
        <v>0</v>
      </c>
      <c r="I197" s="15">
        <v>6.99</v>
      </c>
      <c r="J197" s="15">
        <v>8.3699999999999992</v>
      </c>
      <c r="K197" s="15">
        <v>0.44</v>
      </c>
      <c r="L197" s="15">
        <f t="shared" si="11"/>
        <v>-0.93999999999999861</v>
      </c>
      <c r="M197" s="21">
        <f t="shared" si="9"/>
        <v>0.11853720050441346</v>
      </c>
    </row>
    <row r="198" spans="1:13" x14ac:dyDescent="0.25">
      <c r="A198" s="13">
        <v>197</v>
      </c>
      <c r="B198" s="14">
        <v>45913</v>
      </c>
      <c r="C198" s="15">
        <v>0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10.9</v>
      </c>
      <c r="J198" s="15">
        <v>16.97</v>
      </c>
      <c r="K198" s="15">
        <v>2.5499999999999998</v>
      </c>
      <c r="L198" s="15">
        <f t="shared" si="11"/>
        <v>-3.5199999999999978</v>
      </c>
      <c r="M198" s="21">
        <f t="shared" si="9"/>
        <v>0.24410540915395273</v>
      </c>
    </row>
    <row r="199" spans="1:13" x14ac:dyDescent="0.25">
      <c r="A199" s="13">
        <v>198</v>
      </c>
      <c r="B199" s="14">
        <v>45913</v>
      </c>
      <c r="C199" s="15">
        <v>0</v>
      </c>
      <c r="D199" s="15">
        <v>0</v>
      </c>
      <c r="E199" s="15">
        <v>0</v>
      </c>
      <c r="F199" s="15">
        <v>3.66</v>
      </c>
      <c r="G199" s="15">
        <v>0</v>
      </c>
      <c r="H199" s="15">
        <v>0</v>
      </c>
      <c r="I199" s="15">
        <v>9.59</v>
      </c>
      <c r="J199" s="15">
        <v>16.309999999999999</v>
      </c>
      <c r="K199" s="15">
        <v>0</v>
      </c>
      <c r="L199" s="15">
        <f t="shared" si="11"/>
        <v>-3.0599999999999987</v>
      </c>
      <c r="M199" s="21">
        <f t="shared" si="9"/>
        <v>0.18761496014714893</v>
      </c>
    </row>
    <row r="200" spans="1:13" x14ac:dyDescent="0.25">
      <c r="A200" s="13">
        <v>199</v>
      </c>
      <c r="B200" s="14">
        <v>45913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18.670000000000002</v>
      </c>
      <c r="J200" s="15">
        <v>21.35</v>
      </c>
      <c r="K200" s="15">
        <v>0.41</v>
      </c>
      <c r="L200" s="15">
        <f t="shared" si="11"/>
        <v>-2.2699999999999996</v>
      </c>
      <c r="M200" s="21">
        <f t="shared" si="9"/>
        <v>0.10840496657115566</v>
      </c>
    </row>
    <row r="201" spans="1:13" x14ac:dyDescent="0.25">
      <c r="A201" s="13">
        <v>200</v>
      </c>
      <c r="B201" s="14">
        <v>45913</v>
      </c>
      <c r="C201" s="15">
        <v>3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7.53</v>
      </c>
      <c r="J201" s="15">
        <v>14.96</v>
      </c>
      <c r="K201" s="15">
        <v>0</v>
      </c>
      <c r="L201" s="15">
        <f t="shared" si="11"/>
        <v>-4.43</v>
      </c>
      <c r="M201" s="21">
        <f t="shared" si="9"/>
        <v>0.29612299465240638</v>
      </c>
    </row>
    <row r="202" spans="1:13" x14ac:dyDescent="0.25">
      <c r="A202" s="13">
        <v>201</v>
      </c>
      <c r="B202" s="14">
        <v>45913</v>
      </c>
      <c r="C202" s="15">
        <v>0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5.39</v>
      </c>
      <c r="J202" s="15">
        <v>0</v>
      </c>
      <c r="K202" s="15">
        <v>0</v>
      </c>
      <c r="L202" s="15">
        <f t="shared" si="11"/>
        <v>5.39</v>
      </c>
      <c r="M202" s="21" t="e">
        <f t="shared" si="9"/>
        <v>#DIV/0!</v>
      </c>
    </row>
    <row r="203" spans="1:13" x14ac:dyDescent="0.25">
      <c r="A203" s="13">
        <v>202</v>
      </c>
      <c r="B203" s="14">
        <v>45913</v>
      </c>
      <c r="C203" s="15">
        <v>5.75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  <c r="I203" s="15">
        <v>12.84</v>
      </c>
      <c r="J203" s="15">
        <v>20.73</v>
      </c>
      <c r="K203" s="15">
        <v>5.52</v>
      </c>
      <c r="L203" s="15">
        <f t="shared" si="11"/>
        <v>3.379999999999999</v>
      </c>
      <c r="M203" s="21">
        <f t="shared" si="9"/>
        <v>0.22222222222222215</v>
      </c>
    </row>
    <row r="204" spans="1:13" x14ac:dyDescent="0.25">
      <c r="A204" s="13">
        <v>203</v>
      </c>
      <c r="B204" s="14">
        <v>45913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6.99</v>
      </c>
      <c r="J204" s="15">
        <v>8.3699999999999992</v>
      </c>
      <c r="K204" s="15">
        <v>0.41</v>
      </c>
      <c r="L204" s="15">
        <f t="shared" si="11"/>
        <v>-0.96999999999999886</v>
      </c>
      <c r="M204" s="21">
        <f t="shared" si="9"/>
        <v>0.12185929648241194</v>
      </c>
    </row>
    <row r="205" spans="1:13" x14ac:dyDescent="0.25">
      <c r="A205" s="13">
        <v>204</v>
      </c>
      <c r="B205" s="14">
        <v>45913</v>
      </c>
      <c r="C205" s="15">
        <v>4.75</v>
      </c>
      <c r="D205" s="15">
        <v>0</v>
      </c>
      <c r="E205" s="15">
        <v>0</v>
      </c>
      <c r="F205" s="15">
        <v>3.66</v>
      </c>
      <c r="G205" s="15">
        <v>0</v>
      </c>
      <c r="H205" s="15">
        <v>0</v>
      </c>
      <c r="I205" s="15">
        <v>8.48</v>
      </c>
      <c r="J205" s="15">
        <v>18.87</v>
      </c>
      <c r="K205" s="15">
        <v>1.31</v>
      </c>
      <c r="L205" s="15">
        <f t="shared" si="11"/>
        <v>-0.67000000000000171</v>
      </c>
      <c r="M205" s="21">
        <f t="shared" si="9"/>
        <v>3.8154897494305333E-2</v>
      </c>
    </row>
    <row r="206" spans="1:13" x14ac:dyDescent="0.25">
      <c r="A206" s="13">
        <v>205</v>
      </c>
      <c r="B206" s="14">
        <v>45913</v>
      </c>
      <c r="C206" s="15">
        <v>0</v>
      </c>
      <c r="D206" s="15">
        <v>0</v>
      </c>
      <c r="E206" s="15">
        <v>0</v>
      </c>
      <c r="F206" s="15">
        <v>0</v>
      </c>
      <c r="G206" s="15">
        <v>0.99</v>
      </c>
      <c r="H206" s="15">
        <v>0</v>
      </c>
      <c r="I206" s="15">
        <v>11.21</v>
      </c>
      <c r="J206" s="15">
        <v>14.11</v>
      </c>
      <c r="K206" s="15">
        <v>0.08</v>
      </c>
      <c r="L206" s="15">
        <f t="shared" si="11"/>
        <v>-1.8299999999999983</v>
      </c>
      <c r="M206" s="21">
        <f t="shared" si="9"/>
        <v>0.13043478260869554</v>
      </c>
    </row>
    <row r="207" spans="1:13" x14ac:dyDescent="0.25">
      <c r="A207" s="13">
        <v>206</v>
      </c>
      <c r="B207" s="14">
        <v>45913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7.5</v>
      </c>
      <c r="J207" s="15">
        <v>13.89</v>
      </c>
      <c r="K207" s="15">
        <v>1.39</v>
      </c>
      <c r="L207" s="15">
        <f t="shared" si="11"/>
        <v>-5</v>
      </c>
      <c r="M207" s="21">
        <f t="shared" si="9"/>
        <v>0.4</v>
      </c>
    </row>
    <row r="208" spans="1:13" x14ac:dyDescent="0.25">
      <c r="A208" s="13">
        <v>207</v>
      </c>
      <c r="B208" s="14">
        <v>45914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6.99</v>
      </c>
      <c r="J208" s="15">
        <v>8.36</v>
      </c>
      <c r="K208" s="15">
        <v>0.38</v>
      </c>
      <c r="L208" s="15">
        <f t="shared" si="11"/>
        <v>-0.98999999999999932</v>
      </c>
      <c r="M208" s="21">
        <f t="shared" si="9"/>
        <v>0.12406015037593977</v>
      </c>
    </row>
    <row r="209" spans="1:13" x14ac:dyDescent="0.25">
      <c r="A209" s="13">
        <v>208</v>
      </c>
      <c r="B209" s="14">
        <v>45914</v>
      </c>
      <c r="C209" s="15">
        <v>0</v>
      </c>
      <c r="D209" s="15">
        <v>0</v>
      </c>
      <c r="E209" s="15">
        <v>0</v>
      </c>
      <c r="F209" s="15">
        <v>0</v>
      </c>
      <c r="G209" s="15">
        <v>0</v>
      </c>
      <c r="H209" s="15">
        <v>0</v>
      </c>
      <c r="I209" s="15">
        <v>18.059999999999999</v>
      </c>
      <c r="J209" s="15">
        <v>22.99</v>
      </c>
      <c r="K209" s="15">
        <v>0</v>
      </c>
      <c r="L209" s="15">
        <f t="shared" si="11"/>
        <v>-4.93</v>
      </c>
      <c r="M209" s="21">
        <f t="shared" si="9"/>
        <v>0.21444106133101348</v>
      </c>
    </row>
    <row r="210" spans="1:13" x14ac:dyDescent="0.25">
      <c r="A210" s="13">
        <v>209</v>
      </c>
      <c r="B210" s="14">
        <v>45914</v>
      </c>
      <c r="C210" s="15">
        <v>0</v>
      </c>
      <c r="D210" s="15">
        <v>0</v>
      </c>
      <c r="E210" s="15">
        <v>0</v>
      </c>
      <c r="F210" s="15">
        <v>0</v>
      </c>
      <c r="G210" s="15">
        <v>0</v>
      </c>
      <c r="H210" s="15">
        <v>0</v>
      </c>
      <c r="I210" s="15">
        <v>20.99</v>
      </c>
      <c r="J210" s="15">
        <v>29.95</v>
      </c>
      <c r="K210" s="15">
        <v>0</v>
      </c>
      <c r="L210" s="15">
        <f t="shared" si="11"/>
        <v>-8.9600000000000009</v>
      </c>
      <c r="M210" s="21">
        <f t="shared" si="9"/>
        <v>0.29916527545909855</v>
      </c>
    </row>
    <row r="211" spans="1:13" x14ac:dyDescent="0.25">
      <c r="A211" s="13">
        <v>210</v>
      </c>
      <c r="B211" s="14">
        <v>45914</v>
      </c>
      <c r="C211" s="15">
        <v>8.75</v>
      </c>
      <c r="D211" s="15">
        <v>0</v>
      </c>
      <c r="E211" s="15">
        <v>0</v>
      </c>
      <c r="F211" s="15">
        <v>0</v>
      </c>
      <c r="G211" s="15">
        <v>0</v>
      </c>
      <c r="H211" s="15">
        <v>0</v>
      </c>
      <c r="I211" s="15">
        <v>18.23</v>
      </c>
      <c r="J211" s="15">
        <v>44.96</v>
      </c>
      <c r="K211" s="15">
        <v>0</v>
      </c>
      <c r="L211" s="15">
        <f t="shared" si="11"/>
        <v>-17.98</v>
      </c>
      <c r="M211" s="21">
        <f t="shared" si="9"/>
        <v>0.39991103202846973</v>
      </c>
    </row>
    <row r="212" spans="1:13" x14ac:dyDescent="0.25">
      <c r="A212" s="13">
        <v>211</v>
      </c>
      <c r="B212" s="14">
        <v>45916</v>
      </c>
      <c r="C212" s="15">
        <v>3.5</v>
      </c>
      <c r="D212" s="15">
        <v>0</v>
      </c>
      <c r="E212" s="15">
        <v>0</v>
      </c>
      <c r="F212" s="15">
        <v>0</v>
      </c>
      <c r="G212" s="15">
        <v>0</v>
      </c>
      <c r="H212" s="15">
        <v>0</v>
      </c>
      <c r="I212" s="15">
        <v>34.32</v>
      </c>
      <c r="J212" s="15">
        <v>41.51</v>
      </c>
      <c r="K212" s="15">
        <v>7.57</v>
      </c>
      <c r="L212" s="15">
        <f t="shared" si="11"/>
        <v>3.8800000000000026</v>
      </c>
      <c r="M212" s="21">
        <f t="shared" si="9"/>
        <v>0.11431938715380091</v>
      </c>
    </row>
    <row r="213" spans="1:13" x14ac:dyDescent="0.25">
      <c r="A213" s="13">
        <v>212</v>
      </c>
      <c r="B213" s="14">
        <v>45917</v>
      </c>
      <c r="C213" s="15">
        <v>1.75</v>
      </c>
      <c r="D213" s="15">
        <v>0</v>
      </c>
      <c r="E213" s="15">
        <v>0</v>
      </c>
      <c r="F213" s="15">
        <v>2.9</v>
      </c>
      <c r="G213" s="15">
        <v>0</v>
      </c>
      <c r="H213" s="15">
        <v>0</v>
      </c>
      <c r="I213" s="15">
        <v>8.91</v>
      </c>
      <c r="J213" s="15">
        <v>15.24</v>
      </c>
      <c r="K213" s="15">
        <v>4.5</v>
      </c>
      <c r="L213" s="15">
        <f t="shared" si="11"/>
        <v>2.8200000000000003</v>
      </c>
      <c r="M213" s="21">
        <f t="shared" si="9"/>
        <v>0.26256983240223464</v>
      </c>
    </row>
    <row r="214" spans="1:13" x14ac:dyDescent="0.25">
      <c r="A214" s="13">
        <v>213</v>
      </c>
      <c r="B214" s="14">
        <v>45917</v>
      </c>
      <c r="C214" s="15">
        <v>0</v>
      </c>
      <c r="D214" s="15">
        <v>0</v>
      </c>
      <c r="E214" s="15">
        <v>0</v>
      </c>
      <c r="F214" s="15">
        <v>0</v>
      </c>
      <c r="G214" s="15">
        <v>0</v>
      </c>
      <c r="H214" s="15">
        <v>0</v>
      </c>
      <c r="I214" s="15">
        <v>6.99</v>
      </c>
      <c r="J214" s="15">
        <v>8.36</v>
      </c>
      <c r="K214" s="15">
        <v>0.38</v>
      </c>
      <c r="L214" s="15">
        <f t="shared" si="11"/>
        <v>-0.98999999999999932</v>
      </c>
      <c r="M214" s="21">
        <f t="shared" si="9"/>
        <v>0.12406015037593977</v>
      </c>
    </row>
    <row r="215" spans="1:13" x14ac:dyDescent="0.25">
      <c r="A215" s="13">
        <v>214</v>
      </c>
      <c r="B215" s="14">
        <v>45917</v>
      </c>
      <c r="C215" s="15">
        <v>0</v>
      </c>
      <c r="D215" s="15">
        <v>0</v>
      </c>
      <c r="E215" s="15">
        <v>0</v>
      </c>
      <c r="F215" s="15">
        <v>0</v>
      </c>
      <c r="G215" s="15">
        <v>1.61</v>
      </c>
      <c r="H215" s="15">
        <v>0</v>
      </c>
      <c r="I215" s="15">
        <v>6.99</v>
      </c>
      <c r="J215" s="15">
        <v>11.79</v>
      </c>
      <c r="K215" s="15">
        <v>0</v>
      </c>
      <c r="L215" s="15">
        <f t="shared" si="11"/>
        <v>-3.1899999999999995</v>
      </c>
      <c r="M215" s="21">
        <f t="shared" si="9"/>
        <v>0.27056827820186596</v>
      </c>
    </row>
    <row r="216" spans="1:13" x14ac:dyDescent="0.25">
      <c r="A216" s="13">
        <v>215</v>
      </c>
      <c r="B216" s="14">
        <v>45917</v>
      </c>
      <c r="C216" s="15">
        <v>0</v>
      </c>
      <c r="D216" s="15">
        <v>0</v>
      </c>
      <c r="E216" s="15">
        <v>0</v>
      </c>
      <c r="F216" s="15">
        <v>0</v>
      </c>
      <c r="G216" s="15">
        <v>0</v>
      </c>
      <c r="H216" s="15">
        <v>0</v>
      </c>
      <c r="I216" s="15">
        <v>6.99</v>
      </c>
      <c r="J216" s="15">
        <v>8.3699999999999992</v>
      </c>
      <c r="K216" s="15">
        <v>0.41</v>
      </c>
      <c r="L216" s="15">
        <f t="shared" si="11"/>
        <v>-0.96999999999999886</v>
      </c>
      <c r="M216" s="21">
        <f t="shared" si="9"/>
        <v>0.12185929648241194</v>
      </c>
    </row>
    <row r="217" spans="1:13" x14ac:dyDescent="0.25">
      <c r="A217" s="13">
        <v>216</v>
      </c>
      <c r="B217" s="14">
        <v>45917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7.12</v>
      </c>
      <c r="J217" s="15">
        <v>9.94</v>
      </c>
      <c r="K217" s="15">
        <v>0</v>
      </c>
      <c r="L217" s="15">
        <f t="shared" si="11"/>
        <v>-2.8199999999999994</v>
      </c>
      <c r="M217" s="21">
        <f t="shared" si="9"/>
        <v>0.28370221327967804</v>
      </c>
    </row>
    <row r="218" spans="1:13" x14ac:dyDescent="0.25">
      <c r="A218" s="13">
        <v>217</v>
      </c>
      <c r="B218" s="14">
        <v>45919</v>
      </c>
      <c r="C218" s="15">
        <v>0</v>
      </c>
      <c r="D218" s="15">
        <v>0</v>
      </c>
      <c r="E218" s="15">
        <v>0</v>
      </c>
      <c r="F218" s="15">
        <v>0</v>
      </c>
      <c r="G218" s="15">
        <v>0</v>
      </c>
      <c r="H218" s="15">
        <v>0</v>
      </c>
      <c r="I218" s="15">
        <v>6.99</v>
      </c>
      <c r="J218" s="15">
        <v>8.36</v>
      </c>
      <c r="K218" s="15">
        <v>0.43</v>
      </c>
      <c r="L218" s="15">
        <f t="shared" si="11"/>
        <v>-0.9399999999999995</v>
      </c>
      <c r="M218" s="21">
        <f t="shared" si="9"/>
        <v>0.11853720050441356</v>
      </c>
    </row>
    <row r="219" spans="1:13" x14ac:dyDescent="0.25">
      <c r="A219" s="13">
        <v>218</v>
      </c>
      <c r="B219" s="14">
        <v>45919</v>
      </c>
      <c r="C219" s="15">
        <v>1.5</v>
      </c>
      <c r="D219" s="15">
        <v>0</v>
      </c>
      <c r="E219" s="15">
        <v>0</v>
      </c>
      <c r="F219" s="15">
        <v>2.9</v>
      </c>
      <c r="G219" s="15">
        <v>0</v>
      </c>
      <c r="H219" s="15">
        <v>0</v>
      </c>
      <c r="I219" s="15">
        <v>7.08</v>
      </c>
      <c r="J219" s="15">
        <v>13.38</v>
      </c>
      <c r="K219" s="15">
        <v>0</v>
      </c>
      <c r="L219" s="15">
        <f t="shared" si="11"/>
        <v>-1.9000000000000004</v>
      </c>
      <c r="M219" s="21">
        <f t="shared" si="9"/>
        <v>0.14200298953662185</v>
      </c>
    </row>
    <row r="220" spans="1:13" x14ac:dyDescent="0.25">
      <c r="A220" s="13">
        <v>219</v>
      </c>
      <c r="B220" s="14">
        <v>45919</v>
      </c>
      <c r="C220" s="15">
        <v>0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15.21</v>
      </c>
      <c r="J220" s="15">
        <v>17.18</v>
      </c>
      <c r="K220" s="15">
        <v>1.23</v>
      </c>
      <c r="L220" s="15">
        <f t="shared" si="11"/>
        <v>-0.73999999999999844</v>
      </c>
      <c r="M220" s="21">
        <f t="shared" si="9"/>
        <v>4.6394984326018712E-2</v>
      </c>
    </row>
    <row r="221" spans="1:13" x14ac:dyDescent="0.25">
      <c r="A221" s="13">
        <v>220</v>
      </c>
      <c r="B221" s="14">
        <v>45919</v>
      </c>
      <c r="C221" s="15">
        <v>3.25</v>
      </c>
      <c r="D221" s="15">
        <v>0</v>
      </c>
      <c r="E221" s="15">
        <v>0</v>
      </c>
      <c r="F221" s="15">
        <v>0</v>
      </c>
      <c r="G221" s="15">
        <v>0.87</v>
      </c>
      <c r="H221" s="15">
        <v>0</v>
      </c>
      <c r="I221" s="15">
        <v>22.6</v>
      </c>
      <c r="J221" s="15">
        <v>29.66</v>
      </c>
      <c r="K221" s="15">
        <v>13.98</v>
      </c>
      <c r="L221" s="15">
        <f t="shared" si="11"/>
        <v>11.040000000000003</v>
      </c>
      <c r="M221" s="21">
        <f t="shared" si="9"/>
        <v>0.70408163265306145</v>
      </c>
    </row>
    <row r="222" spans="1:13" x14ac:dyDescent="0.25">
      <c r="A222" s="13">
        <v>221</v>
      </c>
      <c r="B222" s="14">
        <v>45919</v>
      </c>
      <c r="C222" s="15">
        <v>1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6.99</v>
      </c>
      <c r="J222" s="15">
        <v>10.93</v>
      </c>
      <c r="K222" s="15">
        <v>0</v>
      </c>
      <c r="L222" s="15">
        <f t="shared" si="11"/>
        <v>-2.9399999999999995</v>
      </c>
      <c r="M222" s="21">
        <f t="shared" si="9"/>
        <v>0.26898444647758457</v>
      </c>
    </row>
    <row r="223" spans="1:13" x14ac:dyDescent="0.25">
      <c r="A223" s="13">
        <v>222</v>
      </c>
      <c r="B223" s="14">
        <v>45919</v>
      </c>
      <c r="C223" s="15">
        <v>6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9.07</v>
      </c>
      <c r="J223" s="15">
        <v>16.87</v>
      </c>
      <c r="K223" s="15">
        <v>4.92</v>
      </c>
      <c r="L223" s="15">
        <f t="shared" si="11"/>
        <v>3.1199999999999992</v>
      </c>
      <c r="M223" s="21">
        <f t="shared" si="9"/>
        <v>0.26108786610878654</v>
      </c>
    </row>
    <row r="224" spans="1:13" x14ac:dyDescent="0.25">
      <c r="A224" s="13">
        <v>223</v>
      </c>
      <c r="B224" s="14">
        <v>45919</v>
      </c>
      <c r="C224" s="15">
        <v>11</v>
      </c>
      <c r="D224" s="15">
        <v>0</v>
      </c>
      <c r="E224" s="15">
        <v>0</v>
      </c>
      <c r="F224" s="15">
        <v>0</v>
      </c>
      <c r="G224" s="15">
        <v>0.11</v>
      </c>
      <c r="H224" s="15">
        <v>0</v>
      </c>
      <c r="I224" s="15">
        <v>14.57</v>
      </c>
      <c r="J224" s="15">
        <v>27.41</v>
      </c>
      <c r="K224" s="15">
        <v>15.34</v>
      </c>
      <c r="L224" s="15">
        <f t="shared" si="11"/>
        <v>13.61</v>
      </c>
      <c r="M224" s="21">
        <f t="shared" si="9"/>
        <v>1.1275890637945318</v>
      </c>
    </row>
    <row r="225" spans="1:13" x14ac:dyDescent="0.25">
      <c r="A225" s="13">
        <v>224</v>
      </c>
      <c r="B225" s="14">
        <v>45919</v>
      </c>
      <c r="C225" s="15">
        <v>3</v>
      </c>
      <c r="D225" s="15">
        <v>0</v>
      </c>
      <c r="E225" s="15">
        <v>0</v>
      </c>
      <c r="F225" s="15">
        <v>0</v>
      </c>
      <c r="G225" s="15">
        <v>0</v>
      </c>
      <c r="H225" s="15">
        <v>0</v>
      </c>
      <c r="I225" s="15">
        <v>14.68</v>
      </c>
      <c r="J225" s="15">
        <v>19.489999999999998</v>
      </c>
      <c r="K225" s="15">
        <v>4.3899999999999997</v>
      </c>
      <c r="L225" s="15">
        <f t="shared" si="11"/>
        <v>2.5800000000000018</v>
      </c>
      <c r="M225" s="21">
        <f t="shared" si="9"/>
        <v>0.17086092715231802</v>
      </c>
    </row>
    <row r="226" spans="1:13" x14ac:dyDescent="0.25">
      <c r="A226" s="13">
        <v>225</v>
      </c>
      <c r="B226" s="14">
        <v>45921</v>
      </c>
      <c r="C226" s="15">
        <v>4.75</v>
      </c>
      <c r="D226" s="15">
        <v>0</v>
      </c>
      <c r="E226" s="15">
        <v>0</v>
      </c>
      <c r="F226" s="15">
        <v>0</v>
      </c>
      <c r="G226" s="15">
        <v>0</v>
      </c>
      <c r="H226" s="15">
        <v>0</v>
      </c>
      <c r="I226" s="15">
        <v>6.99</v>
      </c>
      <c r="J226" s="15">
        <v>13.44</v>
      </c>
      <c r="K226" s="15">
        <v>0.47</v>
      </c>
      <c r="L226" s="15">
        <f t="shared" si="11"/>
        <v>-1.2299999999999986</v>
      </c>
      <c r="M226" s="21">
        <f t="shared" si="9"/>
        <v>9.4834232845026886E-2</v>
      </c>
    </row>
    <row r="227" spans="1:13" x14ac:dyDescent="0.25">
      <c r="A227" s="13">
        <v>226</v>
      </c>
      <c r="B227" s="14">
        <v>45921</v>
      </c>
      <c r="C227" s="15">
        <v>6</v>
      </c>
      <c r="D227" s="15">
        <v>0</v>
      </c>
      <c r="E227" s="15">
        <v>0</v>
      </c>
      <c r="F227" s="15">
        <v>0</v>
      </c>
      <c r="G227" s="15">
        <v>0.33</v>
      </c>
      <c r="H227" s="15">
        <v>0</v>
      </c>
      <c r="I227" s="15">
        <v>6.99</v>
      </c>
      <c r="J227" s="15">
        <v>15.09</v>
      </c>
      <c r="K227" s="15">
        <v>2.79</v>
      </c>
      <c r="L227" s="15">
        <f t="shared" si="11"/>
        <v>1.0199999999999996</v>
      </c>
      <c r="M227" s="21">
        <f t="shared" si="9"/>
        <v>8.2926829268292646E-2</v>
      </c>
    </row>
    <row r="228" spans="1:13" x14ac:dyDescent="0.25">
      <c r="A228" s="13">
        <v>227</v>
      </c>
      <c r="B228" s="14">
        <v>45921</v>
      </c>
      <c r="C228" s="15">
        <v>14</v>
      </c>
      <c r="D228" s="15">
        <v>0</v>
      </c>
      <c r="E228" s="15">
        <v>0</v>
      </c>
      <c r="F228" s="15">
        <v>0</v>
      </c>
      <c r="G228" s="15">
        <v>0</v>
      </c>
      <c r="H228" s="15">
        <v>0</v>
      </c>
      <c r="I228" s="15">
        <v>8.02</v>
      </c>
      <c r="J228" s="15">
        <v>27.91</v>
      </c>
      <c r="K228" s="15">
        <v>0</v>
      </c>
      <c r="L228" s="15">
        <f t="shared" si="11"/>
        <v>-5.8900000000000006</v>
      </c>
      <c r="M228" s="21">
        <f t="shared" si="9"/>
        <v>0.21103547115729132</v>
      </c>
    </row>
    <row r="229" spans="1:13" x14ac:dyDescent="0.25">
      <c r="A229" s="13">
        <v>228</v>
      </c>
      <c r="B229" s="14">
        <v>45921</v>
      </c>
      <c r="C229" s="15">
        <v>17</v>
      </c>
      <c r="D229" s="15">
        <v>0</v>
      </c>
      <c r="E229" s="15">
        <v>0</v>
      </c>
      <c r="F229" s="15">
        <v>0</v>
      </c>
      <c r="G229" s="15">
        <v>0.6</v>
      </c>
      <c r="H229" s="15">
        <v>0</v>
      </c>
      <c r="I229" s="15">
        <v>12.94</v>
      </c>
      <c r="J229" s="15">
        <v>33.36</v>
      </c>
      <c r="K229" s="15">
        <v>9.99</v>
      </c>
      <c r="L229" s="15">
        <f t="shared" si="11"/>
        <v>7.1700000000000017</v>
      </c>
      <c r="M229" s="21">
        <f t="shared" si="9"/>
        <v>0.3068035943517331</v>
      </c>
    </row>
    <row r="230" spans="1:13" x14ac:dyDescent="0.25">
      <c r="A230" s="13">
        <v>229</v>
      </c>
      <c r="B230" s="14">
        <v>45921</v>
      </c>
      <c r="C230" s="15">
        <v>4.5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  <c r="I230" s="15">
        <v>6.99</v>
      </c>
      <c r="J230" s="15">
        <v>17.899999999999999</v>
      </c>
      <c r="K230" s="15">
        <v>0</v>
      </c>
      <c r="L230" s="15">
        <f t="shared" si="11"/>
        <v>-6.4099999999999984</v>
      </c>
      <c r="M230" s="21">
        <f t="shared" si="9"/>
        <v>0.3581005586592178</v>
      </c>
    </row>
    <row r="231" spans="1:13" x14ac:dyDescent="0.25">
      <c r="A231" s="13">
        <v>230</v>
      </c>
      <c r="B231" s="14">
        <v>45921</v>
      </c>
      <c r="C231" s="15">
        <v>7.5</v>
      </c>
      <c r="D231" s="15">
        <v>0</v>
      </c>
      <c r="E231" s="15">
        <v>0</v>
      </c>
      <c r="F231" s="15">
        <v>0</v>
      </c>
      <c r="G231" s="15">
        <v>0</v>
      </c>
      <c r="H231" s="15">
        <v>0</v>
      </c>
      <c r="I231" s="15">
        <v>24.02</v>
      </c>
      <c r="J231" s="15">
        <v>35.340000000000003</v>
      </c>
      <c r="K231" s="15">
        <v>2.13</v>
      </c>
      <c r="L231" s="15">
        <f t="shared" si="11"/>
        <v>-1.6900000000000013</v>
      </c>
      <c r="M231" s="21">
        <f t="shared" si="9"/>
        <v>5.0888286660644419E-2</v>
      </c>
    </row>
    <row r="232" spans="1:13" x14ac:dyDescent="0.25">
      <c r="A232" s="13">
        <v>231</v>
      </c>
      <c r="B232" s="14">
        <v>45921</v>
      </c>
      <c r="C232" s="15">
        <v>10</v>
      </c>
      <c r="D232" s="15">
        <v>0</v>
      </c>
      <c r="E232" s="15">
        <v>0</v>
      </c>
      <c r="F232" s="15">
        <v>2.9</v>
      </c>
      <c r="G232" s="15">
        <v>0</v>
      </c>
      <c r="H232" s="15">
        <v>0</v>
      </c>
      <c r="I232" s="15">
        <v>14.7</v>
      </c>
      <c r="J232" s="15">
        <v>39.409999999999997</v>
      </c>
      <c r="K232" s="15">
        <v>0</v>
      </c>
      <c r="L232" s="15">
        <f t="shared" si="11"/>
        <v>-11.809999999999995</v>
      </c>
      <c r="M232" s="21">
        <f t="shared" si="9"/>
        <v>0.2996701344836335</v>
      </c>
    </row>
    <row r="233" spans="1:13" x14ac:dyDescent="0.25">
      <c r="A233" s="13">
        <v>232</v>
      </c>
      <c r="B233" s="14">
        <v>45921</v>
      </c>
      <c r="C233" s="15">
        <v>11</v>
      </c>
      <c r="D233" s="15">
        <v>0</v>
      </c>
      <c r="E233" s="15">
        <v>0</v>
      </c>
      <c r="F233" s="15">
        <v>0</v>
      </c>
      <c r="G233" s="15">
        <v>1.83</v>
      </c>
      <c r="H233" s="15">
        <v>0</v>
      </c>
      <c r="I233" s="15">
        <v>10.27</v>
      </c>
      <c r="J233" s="15">
        <v>25.28</v>
      </c>
      <c r="K233" s="15">
        <v>9.3000000000000007</v>
      </c>
      <c r="L233" s="15">
        <f t="shared" si="11"/>
        <v>7.120000000000001</v>
      </c>
      <c r="M233" s="21">
        <f t="shared" si="9"/>
        <v>0.44555694618272845</v>
      </c>
    </row>
    <row r="234" spans="1:13" x14ac:dyDescent="0.25">
      <c r="A234" s="13">
        <v>233</v>
      </c>
      <c r="B234" s="14">
        <v>45921</v>
      </c>
      <c r="C234" s="15">
        <v>6.5</v>
      </c>
      <c r="D234" s="15">
        <v>0</v>
      </c>
      <c r="E234" s="15">
        <v>0</v>
      </c>
      <c r="F234" s="15">
        <v>0</v>
      </c>
      <c r="G234" s="15">
        <v>0</v>
      </c>
      <c r="H234" s="15">
        <v>0</v>
      </c>
      <c r="I234" s="15">
        <v>18</v>
      </c>
      <c r="J234" s="15">
        <v>27.48</v>
      </c>
      <c r="K234" s="15">
        <v>2.54</v>
      </c>
      <c r="L234" s="15">
        <f t="shared" si="11"/>
        <v>-0.44000000000000128</v>
      </c>
      <c r="M234" s="21">
        <f t="shared" si="9"/>
        <v>1.7642341619887782E-2</v>
      </c>
    </row>
    <row r="235" spans="1:13" x14ac:dyDescent="0.25">
      <c r="A235" s="13">
        <v>234</v>
      </c>
      <c r="B235" s="14">
        <v>45921</v>
      </c>
      <c r="C235" s="15">
        <v>5.5</v>
      </c>
      <c r="D235" s="15">
        <v>0</v>
      </c>
      <c r="E235" s="15">
        <v>0</v>
      </c>
      <c r="F235" s="15">
        <v>0</v>
      </c>
      <c r="G235" s="15">
        <v>0</v>
      </c>
      <c r="H235" s="15">
        <v>0</v>
      </c>
      <c r="I235" s="15">
        <v>16</v>
      </c>
      <c r="J235" s="15">
        <v>24.08</v>
      </c>
      <c r="K235" s="15">
        <v>2.11</v>
      </c>
      <c r="L235" s="15">
        <f t="shared" si="11"/>
        <v>-0.46999999999999886</v>
      </c>
      <c r="M235" s="21">
        <f t="shared" si="9"/>
        <v>2.1392808375056846E-2</v>
      </c>
    </row>
    <row r="236" spans="1:13" x14ac:dyDescent="0.25">
      <c r="A236" s="13">
        <v>235</v>
      </c>
      <c r="B236" s="14">
        <v>45921</v>
      </c>
      <c r="C236" s="15">
        <v>3.75</v>
      </c>
      <c r="D236" s="15">
        <v>0</v>
      </c>
      <c r="E236" s="15">
        <v>0</v>
      </c>
      <c r="F236" s="15">
        <v>0</v>
      </c>
      <c r="G236" s="15">
        <v>0</v>
      </c>
      <c r="H236" s="15">
        <v>0</v>
      </c>
      <c r="I236" s="15">
        <v>13.83</v>
      </c>
      <c r="J236" s="15">
        <v>19.850000000000001</v>
      </c>
      <c r="K236" s="15">
        <v>1.88</v>
      </c>
      <c r="L236" s="15">
        <f t="shared" si="11"/>
        <v>-0.39000000000000412</v>
      </c>
      <c r="M236" s="21">
        <f t="shared" si="9"/>
        <v>2.1702838063439291E-2</v>
      </c>
    </row>
    <row r="237" spans="1:13" x14ac:dyDescent="0.25">
      <c r="A237" s="13">
        <v>236</v>
      </c>
      <c r="B237" s="14">
        <v>45921</v>
      </c>
      <c r="C237" s="15">
        <v>3</v>
      </c>
      <c r="D237" s="15">
        <v>0</v>
      </c>
      <c r="E237" s="15">
        <v>0</v>
      </c>
      <c r="F237" s="15">
        <v>0</v>
      </c>
      <c r="G237" s="15">
        <v>0</v>
      </c>
      <c r="H237" s="15">
        <v>0</v>
      </c>
      <c r="I237" s="15">
        <v>6.99</v>
      </c>
      <c r="J237" s="15">
        <v>11.95</v>
      </c>
      <c r="K237" s="15">
        <v>0</v>
      </c>
      <c r="L237" s="15">
        <f t="shared" si="11"/>
        <v>-1.9599999999999991</v>
      </c>
      <c r="M237" s="21">
        <f t="shared" si="9"/>
        <v>0.16401673640167358</v>
      </c>
    </row>
    <row r="238" spans="1:13" x14ac:dyDescent="0.25">
      <c r="A238" s="13">
        <v>237</v>
      </c>
      <c r="B238" s="14">
        <v>45921</v>
      </c>
      <c r="C238" s="15">
        <v>12</v>
      </c>
      <c r="D238" s="15">
        <v>0</v>
      </c>
      <c r="E238" s="15">
        <v>0</v>
      </c>
      <c r="F238" s="15">
        <v>0</v>
      </c>
      <c r="G238" s="15">
        <v>0</v>
      </c>
      <c r="H238" s="15">
        <v>0</v>
      </c>
      <c r="I238" s="15">
        <v>6.99</v>
      </c>
      <c r="J238" s="15">
        <v>21.1</v>
      </c>
      <c r="K238" s="15">
        <v>5.19</v>
      </c>
      <c r="L238" s="15">
        <f t="shared" si="11"/>
        <v>3.0800000000000018</v>
      </c>
      <c r="M238" s="21">
        <f t="shared" si="9"/>
        <v>0.1935889377749844</v>
      </c>
    </row>
    <row r="239" spans="1:13" x14ac:dyDescent="0.25">
      <c r="A239" s="13">
        <v>238</v>
      </c>
      <c r="B239" s="14">
        <v>45921</v>
      </c>
      <c r="C239" s="15">
        <v>17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20.69</v>
      </c>
      <c r="J239" s="15">
        <v>41.71</v>
      </c>
      <c r="K239" s="15">
        <v>3.78</v>
      </c>
      <c r="L239" s="15">
        <f t="shared" si="11"/>
        <v>-0.24000000000000199</v>
      </c>
      <c r="M239" s="21">
        <f t="shared" si="9"/>
        <v>6.3274452939626148E-3</v>
      </c>
    </row>
    <row r="240" spans="1:13" x14ac:dyDescent="0.25">
      <c r="A240" s="13">
        <v>239</v>
      </c>
      <c r="B240" s="14">
        <v>45921</v>
      </c>
      <c r="C240" s="15">
        <v>11</v>
      </c>
      <c r="D240" s="15">
        <v>0</v>
      </c>
      <c r="E240" s="15">
        <v>0</v>
      </c>
      <c r="F240" s="15">
        <v>0</v>
      </c>
      <c r="G240" s="15">
        <v>0</v>
      </c>
      <c r="H240" s="15">
        <v>0</v>
      </c>
      <c r="I240" s="15">
        <v>7.48</v>
      </c>
      <c r="J240" s="15">
        <v>20.329999999999998</v>
      </c>
      <c r="K240" s="15">
        <v>7.35</v>
      </c>
      <c r="L240" s="15">
        <f t="shared" si="11"/>
        <v>5.5000000000000018</v>
      </c>
      <c r="M240" s="21">
        <f t="shared" si="9"/>
        <v>0.42372881355932224</v>
      </c>
    </row>
    <row r="241" spans="1:13" x14ac:dyDescent="0.25">
      <c r="A241" s="13">
        <v>240</v>
      </c>
      <c r="B241" s="14">
        <v>45927</v>
      </c>
      <c r="C241" s="15">
        <v>0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13.03</v>
      </c>
      <c r="J241" s="15">
        <v>19.96</v>
      </c>
      <c r="K241" s="15">
        <v>4.99</v>
      </c>
      <c r="L241" s="15">
        <f t="shared" si="11"/>
        <v>-1.9400000000000013</v>
      </c>
      <c r="M241" s="21">
        <f t="shared" si="9"/>
        <v>0.12959251837007357</v>
      </c>
    </row>
    <row r="242" spans="1:13" x14ac:dyDescent="0.25">
      <c r="A242" s="13">
        <v>241</v>
      </c>
      <c r="B242" s="14">
        <v>45927</v>
      </c>
      <c r="C242" s="15">
        <v>0</v>
      </c>
      <c r="D242" s="15">
        <v>0</v>
      </c>
      <c r="E242" s="15">
        <v>0</v>
      </c>
      <c r="F242" s="15">
        <v>0</v>
      </c>
      <c r="G242" s="15">
        <v>0</v>
      </c>
      <c r="H242" s="15">
        <v>0</v>
      </c>
      <c r="I242" s="15">
        <v>16.350000000000001</v>
      </c>
      <c r="J242" s="15">
        <v>18.97</v>
      </c>
      <c r="K242" s="15">
        <v>1.55</v>
      </c>
      <c r="L242" s="15">
        <f t="shared" si="11"/>
        <v>-1.0699999999999967</v>
      </c>
      <c r="M242" s="21">
        <f t="shared" si="9"/>
        <v>6.1423650975889602E-2</v>
      </c>
    </row>
    <row r="243" spans="1:13" x14ac:dyDescent="0.25">
      <c r="A243" s="13">
        <v>242</v>
      </c>
      <c r="B243" s="14">
        <v>45927</v>
      </c>
      <c r="C243" s="15">
        <v>2.25</v>
      </c>
      <c r="D243" s="15">
        <v>0</v>
      </c>
      <c r="E243" s="15">
        <v>0</v>
      </c>
      <c r="F243" s="15">
        <v>0</v>
      </c>
      <c r="G243" s="15">
        <v>0</v>
      </c>
      <c r="H243" s="15">
        <v>0</v>
      </c>
      <c r="I243" s="15">
        <v>6.99</v>
      </c>
      <c r="J243" s="15">
        <v>13.93</v>
      </c>
      <c r="K243" s="15">
        <v>0</v>
      </c>
      <c r="L243" s="15">
        <f t="shared" si="11"/>
        <v>-4.6899999999999995</v>
      </c>
      <c r="M243" s="21">
        <f t="shared" si="9"/>
        <v>0.33668341708542709</v>
      </c>
    </row>
    <row r="244" spans="1:13" x14ac:dyDescent="0.25">
      <c r="A244" s="13">
        <v>243</v>
      </c>
      <c r="B244" s="14">
        <v>45927</v>
      </c>
      <c r="C244" s="15">
        <v>0</v>
      </c>
      <c r="D244" s="15">
        <v>0</v>
      </c>
      <c r="E244" s="15">
        <v>0</v>
      </c>
      <c r="F244" s="15">
        <v>2.9</v>
      </c>
      <c r="G244" s="15">
        <v>0</v>
      </c>
      <c r="H244" s="15">
        <v>0</v>
      </c>
      <c r="I244" s="15">
        <v>8.01</v>
      </c>
      <c r="J244" s="15">
        <v>13.18</v>
      </c>
      <c r="K244" s="15">
        <v>0</v>
      </c>
      <c r="L244" s="15">
        <f t="shared" si="11"/>
        <v>-2.2699999999999996</v>
      </c>
      <c r="M244" s="21">
        <f t="shared" si="9"/>
        <v>0.1722306525037936</v>
      </c>
    </row>
    <row r="245" spans="1:13" x14ac:dyDescent="0.25">
      <c r="A245" s="13">
        <v>244</v>
      </c>
      <c r="B245" s="14">
        <v>45927</v>
      </c>
      <c r="C245" s="15">
        <v>3.5</v>
      </c>
      <c r="D245" s="15">
        <v>0</v>
      </c>
      <c r="E245" s="15">
        <v>0</v>
      </c>
      <c r="F245" s="15">
        <v>0</v>
      </c>
      <c r="G245" s="15">
        <v>0</v>
      </c>
      <c r="H245" s="15">
        <v>0</v>
      </c>
      <c r="I245" s="15">
        <v>6.99</v>
      </c>
      <c r="J245" s="15">
        <v>12</v>
      </c>
      <c r="K245" s="15">
        <v>2.08</v>
      </c>
      <c r="L245" s="15">
        <f t="shared" si="11"/>
        <v>0.57000000000000028</v>
      </c>
      <c r="M245" s="21">
        <f t="shared" si="9"/>
        <v>5.7459677419354871E-2</v>
      </c>
    </row>
    <row r="246" spans="1:13" x14ac:dyDescent="0.25">
      <c r="A246" s="13">
        <v>245</v>
      </c>
      <c r="B246" s="14">
        <v>45927</v>
      </c>
      <c r="C246" s="15">
        <v>1.25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  <c r="I246" s="15">
        <v>6.99</v>
      </c>
      <c r="J246" s="15">
        <v>9.9</v>
      </c>
      <c r="K246" s="15">
        <v>0</v>
      </c>
      <c r="L246" s="15">
        <f t="shared" si="11"/>
        <v>-1.6600000000000001</v>
      </c>
      <c r="M246" s="21">
        <f t="shared" si="9"/>
        <v>0.16767676767676767</v>
      </c>
    </row>
    <row r="247" spans="1:13" x14ac:dyDescent="0.25">
      <c r="A247" s="13">
        <v>246</v>
      </c>
      <c r="B247" s="14">
        <v>45927</v>
      </c>
      <c r="C247" s="15">
        <v>3</v>
      </c>
      <c r="D247" s="15">
        <v>0</v>
      </c>
      <c r="E247" s="15">
        <v>0</v>
      </c>
      <c r="F247" s="15">
        <v>0</v>
      </c>
      <c r="G247" s="15">
        <v>0</v>
      </c>
      <c r="H247" s="15">
        <v>0</v>
      </c>
      <c r="I247" s="15">
        <v>11.11</v>
      </c>
      <c r="J247" s="15">
        <v>16.02</v>
      </c>
      <c r="K247" s="15">
        <v>7.0000000000000007E-2</v>
      </c>
      <c r="L247" s="15">
        <f t="shared" si="11"/>
        <v>-1.8399999999999999</v>
      </c>
      <c r="M247" s="21">
        <f t="shared" si="9"/>
        <v>0.11536050156739812</v>
      </c>
    </row>
    <row r="248" spans="1:13" x14ac:dyDescent="0.25">
      <c r="A248" s="13">
        <v>247</v>
      </c>
      <c r="B248" s="14">
        <v>45927</v>
      </c>
      <c r="C248" s="15">
        <v>3.25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  <c r="I248" s="15">
        <v>8.6199999999999992</v>
      </c>
      <c r="J248" s="15">
        <v>13.91</v>
      </c>
      <c r="K248" s="15">
        <v>1.06</v>
      </c>
      <c r="L248" s="15">
        <f t="shared" si="11"/>
        <v>-0.98000000000000043</v>
      </c>
      <c r="M248" s="21">
        <f t="shared" si="9"/>
        <v>7.626459143968875E-2</v>
      </c>
    </row>
    <row r="249" spans="1:13" x14ac:dyDescent="0.25">
      <c r="A249" s="13">
        <v>248</v>
      </c>
      <c r="B249" s="14">
        <v>45927</v>
      </c>
      <c r="C249" s="15">
        <v>0</v>
      </c>
      <c r="D249" s="15">
        <v>0</v>
      </c>
      <c r="E249" s="15">
        <v>0</v>
      </c>
      <c r="F249" s="15">
        <v>0</v>
      </c>
      <c r="G249" s="15">
        <v>0</v>
      </c>
      <c r="H249" s="15">
        <v>0</v>
      </c>
      <c r="I249" s="15">
        <v>15.36</v>
      </c>
      <c r="J249" s="15">
        <v>22.96</v>
      </c>
      <c r="K249" s="15">
        <v>0</v>
      </c>
      <c r="L249" s="15">
        <f t="shared" si="11"/>
        <v>-7.6000000000000014</v>
      </c>
      <c r="M249" s="21">
        <f t="shared" si="9"/>
        <v>0.33101045296167253</v>
      </c>
    </row>
    <row r="250" spans="1:13" x14ac:dyDescent="0.25">
      <c r="A250" s="13">
        <v>249</v>
      </c>
      <c r="B250" s="14">
        <v>45927</v>
      </c>
      <c r="C250" s="15">
        <v>1</v>
      </c>
      <c r="D250" s="15">
        <v>0</v>
      </c>
      <c r="E250" s="15">
        <v>0</v>
      </c>
      <c r="F250" s="15">
        <v>0</v>
      </c>
      <c r="G250" s="15">
        <v>0</v>
      </c>
      <c r="H250" s="15">
        <v>0</v>
      </c>
      <c r="I250" s="15">
        <v>8.7899999999999991</v>
      </c>
      <c r="J250" s="15">
        <v>12.91</v>
      </c>
      <c r="K250" s="15">
        <v>0</v>
      </c>
      <c r="L250" s="15">
        <f t="shared" si="11"/>
        <v>-3.120000000000001</v>
      </c>
      <c r="M250" s="21">
        <f t="shared" si="9"/>
        <v>0.24167312161115423</v>
      </c>
    </row>
    <row r="251" spans="1:13" x14ac:dyDescent="0.25">
      <c r="A251" s="13">
        <v>250</v>
      </c>
      <c r="B251" s="14">
        <v>45927</v>
      </c>
      <c r="C251" s="15">
        <v>0</v>
      </c>
      <c r="D251" s="15">
        <v>0</v>
      </c>
      <c r="E251" s="15">
        <v>0</v>
      </c>
      <c r="F251" s="15">
        <v>0</v>
      </c>
      <c r="G251" s="15">
        <v>0</v>
      </c>
      <c r="H251" s="15">
        <v>0</v>
      </c>
      <c r="I251" s="15">
        <v>6.99</v>
      </c>
      <c r="J251" s="15">
        <v>9.9700000000000006</v>
      </c>
      <c r="K251" s="15">
        <v>0</v>
      </c>
      <c r="L251" s="15">
        <f t="shared" si="11"/>
        <v>-2.9800000000000004</v>
      </c>
      <c r="M251" s="21">
        <f t="shared" si="9"/>
        <v>0.29889669007021064</v>
      </c>
    </row>
    <row r="252" spans="1:13" x14ac:dyDescent="0.25">
      <c r="A252" s="13">
        <v>251</v>
      </c>
      <c r="B252" s="14">
        <v>45927</v>
      </c>
      <c r="C252" s="15">
        <v>3.25</v>
      </c>
      <c r="D252" s="15">
        <v>0</v>
      </c>
      <c r="E252" s="15">
        <v>0</v>
      </c>
      <c r="F252" s="15">
        <v>0</v>
      </c>
      <c r="G252" s="15">
        <v>0</v>
      </c>
      <c r="H252" s="15">
        <v>0</v>
      </c>
      <c r="I252" s="15">
        <v>21.21</v>
      </c>
      <c r="J252" s="15">
        <v>27.31</v>
      </c>
      <c r="K252" s="15">
        <v>2.35</v>
      </c>
      <c r="L252" s="15">
        <f t="shared" si="11"/>
        <v>-0.49999999999999645</v>
      </c>
      <c r="M252" s="21">
        <f t="shared" si="9"/>
        <v>2.0032051282051141E-2</v>
      </c>
    </row>
    <row r="253" spans="1:13" x14ac:dyDescent="0.25">
      <c r="A253" s="13">
        <v>252</v>
      </c>
      <c r="B253" s="14">
        <v>45927</v>
      </c>
      <c r="C253" s="15">
        <v>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  <c r="I253" s="15">
        <v>30.5</v>
      </c>
      <c r="J253" s="15">
        <v>34.03</v>
      </c>
      <c r="K253" s="15">
        <v>2.0499999999999998</v>
      </c>
      <c r="L253" s="15">
        <f t="shared" si="11"/>
        <v>-1.4800000000000004</v>
      </c>
      <c r="M253" s="21">
        <f t="shared" si="9"/>
        <v>4.6278924327704828E-2</v>
      </c>
    </row>
    <row r="254" spans="1:13" x14ac:dyDescent="0.25">
      <c r="A254" s="13">
        <v>253</v>
      </c>
      <c r="B254" s="14">
        <v>45927</v>
      </c>
      <c r="C254" s="15">
        <v>14</v>
      </c>
      <c r="D254" s="15">
        <v>0</v>
      </c>
      <c r="E254" s="15">
        <v>0</v>
      </c>
      <c r="F254" s="15">
        <v>0</v>
      </c>
      <c r="G254" s="15">
        <v>0</v>
      </c>
      <c r="H254" s="15">
        <v>0</v>
      </c>
      <c r="I254" s="15">
        <v>19.559999999999999</v>
      </c>
      <c r="J254" s="15">
        <v>37.340000000000003</v>
      </c>
      <c r="K254" s="15">
        <v>13.56</v>
      </c>
      <c r="L254" s="15">
        <f t="shared" si="11"/>
        <v>9.7800000000000011</v>
      </c>
      <c r="M254" s="21">
        <f t="shared" si="9"/>
        <v>0.41126997476871324</v>
      </c>
    </row>
    <row r="255" spans="1:13" x14ac:dyDescent="0.25">
      <c r="A255" s="13">
        <v>254</v>
      </c>
      <c r="B255" s="14">
        <v>45927</v>
      </c>
      <c r="C255" s="15">
        <v>9.5</v>
      </c>
      <c r="D255" s="15">
        <v>0</v>
      </c>
      <c r="E255" s="15">
        <v>0</v>
      </c>
      <c r="F255" s="15">
        <v>0</v>
      </c>
      <c r="G255" s="15">
        <v>0.03</v>
      </c>
      <c r="H255" s="15">
        <v>0</v>
      </c>
      <c r="I255" s="15">
        <v>11.56</v>
      </c>
      <c r="J255" s="15">
        <v>23.04</v>
      </c>
      <c r="K255" s="15">
        <v>9.51</v>
      </c>
      <c r="L255" s="15">
        <f t="shared" si="11"/>
        <v>7.5600000000000005</v>
      </c>
      <c r="M255" s="21">
        <f t="shared" si="9"/>
        <v>0.5587583148558759</v>
      </c>
    </row>
    <row r="256" spans="1:13" x14ac:dyDescent="0.25">
      <c r="A256" s="13">
        <v>255</v>
      </c>
      <c r="B256" s="14">
        <v>45927</v>
      </c>
      <c r="C256" s="15">
        <v>0</v>
      </c>
      <c r="D256" s="15">
        <v>0</v>
      </c>
      <c r="E256" s="15">
        <v>0</v>
      </c>
      <c r="F256" s="15">
        <v>0</v>
      </c>
      <c r="G256" s="15">
        <v>0</v>
      </c>
      <c r="H256" s="15">
        <v>0</v>
      </c>
      <c r="I256" s="15">
        <v>13.21</v>
      </c>
      <c r="J256" s="15">
        <v>15.03</v>
      </c>
      <c r="K256" s="15">
        <v>2.09</v>
      </c>
      <c r="L256" s="15">
        <f t="shared" si="11"/>
        <v>0.27000000000000135</v>
      </c>
      <c r="M256" s="21">
        <f t="shared" si="9"/>
        <v>2.0865533230293769E-2</v>
      </c>
    </row>
    <row r="257" spans="1:13" x14ac:dyDescent="0.25">
      <c r="A257" s="13">
        <v>256</v>
      </c>
      <c r="B257" s="14">
        <v>45927</v>
      </c>
      <c r="C257" s="15">
        <v>1.25</v>
      </c>
      <c r="D257" s="15">
        <v>0</v>
      </c>
      <c r="E257" s="15">
        <v>0</v>
      </c>
      <c r="F257" s="15">
        <v>0</v>
      </c>
      <c r="G257" s="15">
        <v>0</v>
      </c>
      <c r="H257" s="15">
        <v>0</v>
      </c>
      <c r="I257" s="15">
        <v>6.99</v>
      </c>
      <c r="J257" s="15">
        <v>9.9700000000000006</v>
      </c>
      <c r="K257" s="15">
        <v>0</v>
      </c>
      <c r="L257" s="15">
        <f t="shared" si="11"/>
        <v>-1.7300000000000004</v>
      </c>
      <c r="M257" s="21">
        <f t="shared" si="9"/>
        <v>0.1735205616850552</v>
      </c>
    </row>
    <row r="258" spans="1:13" x14ac:dyDescent="0.25">
      <c r="A258" s="13">
        <v>257</v>
      </c>
      <c r="B258" s="14">
        <v>45928</v>
      </c>
      <c r="C258" s="15">
        <v>3.5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28.17</v>
      </c>
      <c r="J258" s="15">
        <v>37.9</v>
      </c>
      <c r="K258" s="15">
        <v>0</v>
      </c>
      <c r="L258" s="15">
        <f t="shared" si="11"/>
        <v>-6.2299999999999969</v>
      </c>
      <c r="M258" s="21">
        <f t="shared" si="9"/>
        <v>0.16437994722955138</v>
      </c>
    </row>
    <row r="259" spans="1:13" x14ac:dyDescent="0.25">
      <c r="A259" s="13">
        <v>258</v>
      </c>
      <c r="B259" s="14">
        <v>45928</v>
      </c>
      <c r="C259" s="15">
        <v>5.25</v>
      </c>
      <c r="D259" s="15">
        <v>0</v>
      </c>
      <c r="E259" s="15">
        <v>0</v>
      </c>
      <c r="F259" s="15">
        <v>0</v>
      </c>
      <c r="G259" s="15">
        <v>1.04</v>
      </c>
      <c r="H259" s="15">
        <v>0</v>
      </c>
      <c r="I259" s="15">
        <v>30.65</v>
      </c>
      <c r="J259" s="15">
        <v>40.79</v>
      </c>
      <c r="K259" s="15">
        <v>4.4000000000000004</v>
      </c>
      <c r="L259" s="15">
        <f t="shared" si="11"/>
        <v>0.54999999999999716</v>
      </c>
      <c r="M259" s="21">
        <f t="shared" si="9"/>
        <v>1.5114042319318417E-2</v>
      </c>
    </row>
    <row r="260" spans="1:13" x14ac:dyDescent="0.25">
      <c r="A260" s="13">
        <v>259</v>
      </c>
      <c r="B260" s="14">
        <v>45929</v>
      </c>
      <c r="C260" s="15">
        <v>0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5">
        <v>8.92</v>
      </c>
      <c r="J260" s="15">
        <v>10.51</v>
      </c>
      <c r="K260" s="15">
        <v>0.56999999999999995</v>
      </c>
      <c r="L260" s="15">
        <f t="shared" si="11"/>
        <v>-1.0199999999999996</v>
      </c>
      <c r="M260" s="21">
        <f t="shared" si="9"/>
        <v>0.1026156941649899</v>
      </c>
    </row>
    <row r="261" spans="1:13" x14ac:dyDescent="0.25">
      <c r="A261" s="13">
        <v>260</v>
      </c>
      <c r="B261" s="14">
        <v>45929</v>
      </c>
      <c r="C261" s="15">
        <v>0</v>
      </c>
      <c r="D261" s="15">
        <v>0</v>
      </c>
      <c r="E261" s="15">
        <v>0</v>
      </c>
      <c r="F261" s="15">
        <v>0</v>
      </c>
      <c r="G261" s="15">
        <v>0</v>
      </c>
      <c r="H261" s="15">
        <v>0</v>
      </c>
      <c r="I261" s="15">
        <v>30.88</v>
      </c>
      <c r="J261" s="15">
        <v>41.95</v>
      </c>
      <c r="K261" s="15">
        <v>5.93</v>
      </c>
      <c r="L261" s="15">
        <f t="shared" si="11"/>
        <v>-5.1400000000000041</v>
      </c>
      <c r="M261" s="21">
        <f t="shared" si="9"/>
        <v>0.14269850083287072</v>
      </c>
    </row>
    <row r="262" spans="1:13" x14ac:dyDescent="0.25">
      <c r="A262" s="13">
        <v>261</v>
      </c>
      <c r="B262" s="14">
        <v>45929</v>
      </c>
      <c r="C262" s="15">
        <v>0</v>
      </c>
      <c r="D262" s="15">
        <v>0</v>
      </c>
      <c r="E262" s="15">
        <v>0</v>
      </c>
      <c r="F262" s="15">
        <v>0</v>
      </c>
      <c r="G262" s="15">
        <v>0</v>
      </c>
      <c r="H262" s="15">
        <v>0</v>
      </c>
      <c r="I262" s="15">
        <v>20.97</v>
      </c>
      <c r="J262" s="15">
        <v>28.92</v>
      </c>
      <c r="K262" s="15">
        <v>0</v>
      </c>
      <c r="L262" s="15">
        <f t="shared" si="11"/>
        <v>-7.9500000000000028</v>
      </c>
      <c r="M262" s="21">
        <f t="shared" si="9"/>
        <v>0.27489626556016605</v>
      </c>
    </row>
    <row r="263" spans="1:13" x14ac:dyDescent="0.25">
      <c r="A263" s="13">
        <v>262</v>
      </c>
      <c r="B263" s="14">
        <v>45929</v>
      </c>
      <c r="C263" s="15">
        <v>1.25</v>
      </c>
      <c r="D263" s="15">
        <v>0</v>
      </c>
      <c r="E263" s="15">
        <v>0</v>
      </c>
      <c r="F263" s="15">
        <v>0</v>
      </c>
      <c r="G263" s="15">
        <v>0</v>
      </c>
      <c r="H263" s="15">
        <v>0</v>
      </c>
      <c r="I263" s="15">
        <v>11.72</v>
      </c>
      <c r="J263" s="15">
        <v>18.920000000000002</v>
      </c>
      <c r="K263" s="15">
        <v>0</v>
      </c>
      <c r="L263" s="15">
        <f t="shared" si="11"/>
        <v>-5.9500000000000011</v>
      </c>
      <c r="M263" s="21">
        <f t="shared" si="9"/>
        <v>0.31448202959830868</v>
      </c>
    </row>
    <row r="264" spans="1:13" x14ac:dyDescent="0.25">
      <c r="A264" s="13">
        <v>263</v>
      </c>
      <c r="B264" s="14">
        <v>45929</v>
      </c>
      <c r="C264" s="15">
        <v>0</v>
      </c>
      <c r="D264" s="15">
        <v>0</v>
      </c>
      <c r="E264" s="15">
        <v>0</v>
      </c>
      <c r="F264" s="15">
        <v>0</v>
      </c>
      <c r="G264" s="15">
        <v>0.16</v>
      </c>
      <c r="H264" s="15">
        <v>0</v>
      </c>
      <c r="I264" s="15">
        <v>6.99</v>
      </c>
      <c r="J264" s="15">
        <v>10.17</v>
      </c>
      <c r="K264" s="15">
        <v>0</v>
      </c>
      <c r="L264" s="15">
        <f t="shared" si="11"/>
        <v>-3.0199999999999996</v>
      </c>
      <c r="M264" s="21">
        <f t="shared" si="9"/>
        <v>0.29695181907571283</v>
      </c>
    </row>
    <row r="265" spans="1:13" x14ac:dyDescent="0.25">
      <c r="A265" s="13">
        <v>264</v>
      </c>
      <c r="B265" s="14">
        <v>45929</v>
      </c>
      <c r="C265" s="15">
        <v>0</v>
      </c>
      <c r="D265" s="15">
        <v>0</v>
      </c>
      <c r="E265" s="15">
        <v>0</v>
      </c>
      <c r="F265" s="15">
        <v>0</v>
      </c>
      <c r="G265" s="15">
        <v>0</v>
      </c>
      <c r="H265" s="15">
        <v>0</v>
      </c>
      <c r="I265" s="15">
        <v>6.99</v>
      </c>
      <c r="J265" s="15">
        <v>8.94</v>
      </c>
      <c r="K265" s="15">
        <v>0</v>
      </c>
      <c r="L265" s="15">
        <f t="shared" si="11"/>
        <v>-1.9499999999999993</v>
      </c>
      <c r="M265" s="21">
        <f t="shared" si="9"/>
        <v>0.21812080536912745</v>
      </c>
    </row>
    <row r="266" spans="1:13" x14ac:dyDescent="0.25">
      <c r="A266" s="13">
        <v>265</v>
      </c>
      <c r="B266" s="14">
        <v>45929</v>
      </c>
      <c r="C266" s="15">
        <v>0</v>
      </c>
      <c r="D266" s="15">
        <v>0</v>
      </c>
      <c r="E266" s="15">
        <v>0</v>
      </c>
      <c r="F266" s="15">
        <v>0</v>
      </c>
      <c r="G266" s="15">
        <v>0</v>
      </c>
      <c r="H266" s="15">
        <v>0</v>
      </c>
      <c r="I266" s="15">
        <v>14.36</v>
      </c>
      <c r="J266" s="15">
        <v>23.93</v>
      </c>
      <c r="K266" s="15">
        <v>0</v>
      </c>
      <c r="L266" s="15">
        <f t="shared" si="11"/>
        <v>-9.57</v>
      </c>
      <c r="M266" s="21">
        <f t="shared" si="9"/>
        <v>0.39991642290012536</v>
      </c>
    </row>
    <row r="267" spans="1:13" x14ac:dyDescent="0.25">
      <c r="A267" s="13">
        <v>266</v>
      </c>
      <c r="B267" s="14">
        <v>45929</v>
      </c>
      <c r="C267" s="15">
        <v>2.75</v>
      </c>
      <c r="D267" s="15">
        <v>0</v>
      </c>
      <c r="E267" s="15">
        <v>0</v>
      </c>
      <c r="F267" s="15">
        <v>0</v>
      </c>
      <c r="G267" s="15">
        <v>0</v>
      </c>
      <c r="H267" s="15">
        <v>0</v>
      </c>
      <c r="I267" s="15">
        <v>9.77</v>
      </c>
      <c r="J267" s="15">
        <v>14.24</v>
      </c>
      <c r="K267" s="15">
        <v>4.3099999999999996</v>
      </c>
      <c r="L267" s="15">
        <f t="shared" si="11"/>
        <v>2.59</v>
      </c>
      <c r="M267" s="21">
        <f t="shared" si="9"/>
        <v>0.26082578046324267</v>
      </c>
    </row>
    <row r="268" spans="1:13" x14ac:dyDescent="0.25">
      <c r="A268" s="13">
        <v>267</v>
      </c>
      <c r="B268" s="14">
        <v>45929</v>
      </c>
      <c r="C268" s="15">
        <v>3.25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  <c r="I268" s="15">
        <v>7.54</v>
      </c>
      <c r="J268" s="15">
        <v>17.989999999999998</v>
      </c>
      <c r="K268" s="15">
        <v>0</v>
      </c>
      <c r="L268" s="15">
        <f t="shared" si="11"/>
        <v>-7.1999999999999993</v>
      </c>
      <c r="M268" s="21">
        <f t="shared" si="9"/>
        <v>0.4002223457476376</v>
      </c>
    </row>
    <row r="269" spans="1:13" x14ac:dyDescent="0.25">
      <c r="A269" s="13">
        <v>268</v>
      </c>
      <c r="B269" s="14">
        <v>45929</v>
      </c>
      <c r="C269" s="15">
        <v>2.5</v>
      </c>
      <c r="D269" s="15">
        <v>0</v>
      </c>
      <c r="E269" s="15">
        <v>0</v>
      </c>
      <c r="F269" s="15">
        <v>0</v>
      </c>
      <c r="G269" s="15">
        <v>0</v>
      </c>
      <c r="H269" s="15">
        <v>0</v>
      </c>
      <c r="I269" s="15">
        <v>19.05</v>
      </c>
      <c r="J269" s="15">
        <v>35.909999999999997</v>
      </c>
      <c r="K269" s="15">
        <v>0</v>
      </c>
      <c r="L269" s="15">
        <f t="shared" si="11"/>
        <v>-14.359999999999996</v>
      </c>
      <c r="M269" s="21">
        <f t="shared" si="9"/>
        <v>0.39988861041492613</v>
      </c>
    </row>
    <row r="270" spans="1:13" x14ac:dyDescent="0.25">
      <c r="A270" s="13">
        <v>269</v>
      </c>
      <c r="B270" s="14">
        <v>45929</v>
      </c>
      <c r="C270" s="15">
        <v>0</v>
      </c>
      <c r="D270" s="15">
        <v>0</v>
      </c>
      <c r="E270" s="15">
        <v>0</v>
      </c>
      <c r="F270" s="15">
        <v>0</v>
      </c>
      <c r="G270" s="15">
        <v>0.61</v>
      </c>
      <c r="H270" s="15">
        <v>0</v>
      </c>
      <c r="I270" s="15">
        <v>54.78</v>
      </c>
      <c r="J270" s="15">
        <v>70.66</v>
      </c>
      <c r="K270" s="15">
        <v>0.65</v>
      </c>
      <c r="L270" s="15">
        <f t="shared" si="11"/>
        <v>-14.61999999999999</v>
      </c>
      <c r="M270" s="21">
        <f t="shared" si="9"/>
        <v>0.20882731038423072</v>
      </c>
    </row>
    <row r="271" spans="1:13" x14ac:dyDescent="0.25">
      <c r="A271" s="13">
        <v>270</v>
      </c>
      <c r="B271" s="14">
        <v>45929</v>
      </c>
      <c r="C271" s="15">
        <v>0</v>
      </c>
      <c r="D271" s="15">
        <v>0</v>
      </c>
      <c r="E271" s="15">
        <v>0</v>
      </c>
      <c r="F271" s="15">
        <v>0</v>
      </c>
      <c r="G271" s="15">
        <v>0</v>
      </c>
      <c r="H271" s="15">
        <v>0</v>
      </c>
      <c r="I271" s="15">
        <v>10.55</v>
      </c>
      <c r="J271" s="15">
        <v>15.97</v>
      </c>
      <c r="K271" s="15">
        <v>0</v>
      </c>
      <c r="L271" s="15">
        <f t="shared" si="11"/>
        <v>-5.42</v>
      </c>
      <c r="M271" s="21">
        <f t="shared" si="9"/>
        <v>0.33938634940513462</v>
      </c>
    </row>
    <row r="272" spans="1:13" x14ac:dyDescent="0.25">
      <c r="A272" s="13">
        <v>271</v>
      </c>
      <c r="B272" s="14">
        <v>45929</v>
      </c>
      <c r="C272" s="15">
        <v>0</v>
      </c>
      <c r="D272" s="15">
        <v>0</v>
      </c>
      <c r="E272" s="15">
        <v>0</v>
      </c>
      <c r="F272" s="15">
        <v>0</v>
      </c>
      <c r="G272" s="15">
        <v>0</v>
      </c>
      <c r="H272" s="15">
        <v>0</v>
      </c>
      <c r="I272" s="15">
        <v>6.99</v>
      </c>
      <c r="J272" s="15">
        <v>8.36</v>
      </c>
      <c r="K272" s="15">
        <v>0.43</v>
      </c>
      <c r="L272" s="15">
        <f t="shared" si="11"/>
        <v>-0.9399999999999995</v>
      </c>
      <c r="M272" s="21">
        <f t="shared" si="9"/>
        <v>0.11853720050441356</v>
      </c>
    </row>
    <row r="273" spans="1:13" x14ac:dyDescent="0.25">
      <c r="A273" s="13">
        <v>272</v>
      </c>
      <c r="B273" s="14">
        <v>45929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34.270000000000003</v>
      </c>
      <c r="J273" s="15">
        <v>46.92</v>
      </c>
      <c r="K273" s="15">
        <v>0</v>
      </c>
      <c r="L273" s="15">
        <f t="shared" si="11"/>
        <v>-12.649999999999999</v>
      </c>
      <c r="M273" s="21">
        <f t="shared" si="9"/>
        <v>0.26960784313725489</v>
      </c>
    </row>
    <row r="274" spans="1:13" x14ac:dyDescent="0.25">
      <c r="A274" s="13">
        <v>273</v>
      </c>
      <c r="B274" s="14">
        <v>45929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34.17</v>
      </c>
      <c r="J274" s="15">
        <v>38.630000000000003</v>
      </c>
      <c r="K274" s="15">
        <v>7.2</v>
      </c>
      <c r="L274" s="15">
        <f t="shared" si="11"/>
        <v>2.7399999999999984</v>
      </c>
      <c r="M274" s="21">
        <f t="shared" si="9"/>
        <v>8.7177855552020303E-2</v>
      </c>
    </row>
    <row r="275" spans="1:13" x14ac:dyDescent="0.25">
      <c r="A275" s="13">
        <v>274</v>
      </c>
      <c r="B275" s="14">
        <v>45929</v>
      </c>
      <c r="C275" s="15">
        <v>2.25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  <c r="I275" s="15">
        <v>11.95</v>
      </c>
      <c r="J275" s="15">
        <v>16.3</v>
      </c>
      <c r="K275" s="15">
        <v>3.09</v>
      </c>
      <c r="L275" s="15">
        <f t="shared" si="11"/>
        <v>0.98999999999999844</v>
      </c>
      <c r="M275" s="21">
        <f t="shared" si="9"/>
        <v>7.494322482967436E-2</v>
      </c>
    </row>
    <row r="276" spans="1:13" x14ac:dyDescent="0.25">
      <c r="A276" s="13">
        <v>275</v>
      </c>
      <c r="B276" s="14">
        <v>45932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</v>
      </c>
      <c r="I276" s="15">
        <v>6.99</v>
      </c>
      <c r="J276" s="15">
        <v>8.9499999999999993</v>
      </c>
      <c r="K276" s="15">
        <v>0</v>
      </c>
      <c r="L276" s="15">
        <f t="shared" si="11"/>
        <v>-1.9599999999999991</v>
      </c>
      <c r="M276" s="21">
        <f t="shared" si="9"/>
        <v>0.21899441340782114</v>
      </c>
    </row>
    <row r="277" spans="1:13" x14ac:dyDescent="0.25">
      <c r="A277" s="13">
        <v>276</v>
      </c>
      <c r="B277" s="14">
        <v>45932</v>
      </c>
      <c r="C277" s="15">
        <v>1.25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  <c r="I277" s="15">
        <v>6.99</v>
      </c>
      <c r="J277" s="15">
        <v>10.93</v>
      </c>
      <c r="K277" s="15">
        <v>0</v>
      </c>
      <c r="L277" s="15">
        <f t="shared" si="11"/>
        <v>-2.6899999999999995</v>
      </c>
      <c r="M277" s="21">
        <f t="shared" si="9"/>
        <v>0.24611161939615733</v>
      </c>
    </row>
    <row r="278" spans="1:13" x14ac:dyDescent="0.25">
      <c r="A278" s="13">
        <v>277</v>
      </c>
      <c r="B278" s="14">
        <v>45932</v>
      </c>
      <c r="C278" s="15">
        <v>0</v>
      </c>
      <c r="D278" s="15">
        <v>0</v>
      </c>
      <c r="E278" s="15">
        <v>0</v>
      </c>
      <c r="F278" s="15">
        <v>0</v>
      </c>
      <c r="G278" s="15">
        <v>0</v>
      </c>
      <c r="H278" s="15">
        <v>0</v>
      </c>
      <c r="I278" s="15">
        <v>6.99</v>
      </c>
      <c r="J278" s="15">
        <v>9.94</v>
      </c>
      <c r="K278" s="15">
        <v>0</v>
      </c>
      <c r="L278" s="15">
        <f t="shared" si="11"/>
        <v>-2.9499999999999993</v>
      </c>
      <c r="M278" s="21">
        <f t="shared" si="9"/>
        <v>0.29678068410462771</v>
      </c>
    </row>
    <row r="279" spans="1:13" x14ac:dyDescent="0.25">
      <c r="A279" s="13">
        <v>278</v>
      </c>
      <c r="B279" s="14">
        <v>45932</v>
      </c>
      <c r="C279" s="15">
        <v>0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  <c r="I279" s="15">
        <v>6.99</v>
      </c>
      <c r="J279" s="15">
        <v>8.36</v>
      </c>
      <c r="K279" s="15">
        <v>0.38</v>
      </c>
      <c r="L279" s="15">
        <f t="shared" si="11"/>
        <v>-0.98999999999999932</v>
      </c>
      <c r="M279" s="21">
        <f t="shared" si="9"/>
        <v>0.12406015037593977</v>
      </c>
    </row>
    <row r="280" spans="1:13" x14ac:dyDescent="0.25">
      <c r="A280" s="13">
        <v>279</v>
      </c>
      <c r="B280" s="14">
        <v>45932</v>
      </c>
      <c r="C280" s="15">
        <v>0</v>
      </c>
      <c r="D280" s="15">
        <v>0</v>
      </c>
      <c r="E280" s="15">
        <v>0</v>
      </c>
      <c r="F280" s="15">
        <v>0</v>
      </c>
      <c r="G280" s="15">
        <v>0</v>
      </c>
      <c r="H280" s="15">
        <v>0</v>
      </c>
      <c r="I280" s="15">
        <v>19.690000000000001</v>
      </c>
      <c r="J280" s="15">
        <v>22.01</v>
      </c>
      <c r="K280" s="15">
        <v>3.09</v>
      </c>
      <c r="L280" s="15">
        <f t="shared" si="11"/>
        <v>0.76999999999999957</v>
      </c>
      <c r="M280" s="21">
        <f t="shared" si="9"/>
        <v>4.0697674418604626E-2</v>
      </c>
    </row>
    <row r="281" spans="1:13" x14ac:dyDescent="0.25">
      <c r="A281" s="13">
        <v>280</v>
      </c>
      <c r="B281" s="14">
        <v>45933</v>
      </c>
      <c r="C281" s="15">
        <v>0</v>
      </c>
      <c r="D281" s="15">
        <v>0</v>
      </c>
      <c r="E281" s="15">
        <v>0</v>
      </c>
      <c r="F281" s="15">
        <v>0</v>
      </c>
      <c r="G281" s="15">
        <v>0</v>
      </c>
      <c r="H281" s="15">
        <v>0</v>
      </c>
      <c r="I281" s="15">
        <v>6.99</v>
      </c>
      <c r="J281" s="15">
        <v>8.92</v>
      </c>
      <c r="K281" s="15">
        <v>0</v>
      </c>
      <c r="L281" s="15">
        <f t="shared" si="11"/>
        <v>-1.9299999999999997</v>
      </c>
      <c r="M281" s="21">
        <f t="shared" si="9"/>
        <v>0.21636771300448426</v>
      </c>
    </row>
    <row r="282" spans="1:13" x14ac:dyDescent="0.25">
      <c r="A282" s="13">
        <v>281</v>
      </c>
      <c r="B282" s="14">
        <v>45933</v>
      </c>
      <c r="C282" s="15">
        <v>5.5</v>
      </c>
      <c r="D282" s="15">
        <v>0</v>
      </c>
      <c r="E282" s="15">
        <v>0</v>
      </c>
      <c r="F282" s="15">
        <v>0</v>
      </c>
      <c r="G282" s="15">
        <v>0</v>
      </c>
      <c r="H282" s="15">
        <v>0</v>
      </c>
      <c r="I282" s="15">
        <v>32.130000000000003</v>
      </c>
      <c r="J282" s="15">
        <v>41.34</v>
      </c>
      <c r="K282" s="15">
        <v>1.43</v>
      </c>
      <c r="L282" s="15">
        <f t="shared" si="11"/>
        <v>-2.2800000000000011</v>
      </c>
      <c r="M282" s="21">
        <f t="shared" si="9"/>
        <v>5.7128539213229787E-2</v>
      </c>
    </row>
    <row r="283" spans="1:13" x14ac:dyDescent="0.25">
      <c r="A283" s="13">
        <v>282</v>
      </c>
      <c r="B283" s="14">
        <v>45933</v>
      </c>
      <c r="C283" s="15">
        <v>2.75</v>
      </c>
      <c r="D283" s="15">
        <v>0</v>
      </c>
      <c r="E283" s="15">
        <v>0</v>
      </c>
      <c r="F283" s="15">
        <v>2.9</v>
      </c>
      <c r="G283" s="15">
        <v>0.85</v>
      </c>
      <c r="H283" s="15">
        <v>0</v>
      </c>
      <c r="I283" s="15">
        <v>13.33</v>
      </c>
      <c r="J283" s="15">
        <v>35.47</v>
      </c>
      <c r="K283" s="15">
        <v>5.3</v>
      </c>
      <c r="L283" s="15">
        <f t="shared" si="11"/>
        <v>-10.34</v>
      </c>
      <c r="M283" s="21">
        <f t="shared" si="9"/>
        <v>0.34272456082200864</v>
      </c>
    </row>
    <row r="284" spans="1:13" x14ac:dyDescent="0.25">
      <c r="A284" s="13">
        <v>283</v>
      </c>
      <c r="B284" s="14">
        <v>45933</v>
      </c>
      <c r="C284" s="15">
        <v>1.5</v>
      </c>
      <c r="D284" s="15">
        <v>0</v>
      </c>
      <c r="E284" s="15">
        <v>0</v>
      </c>
      <c r="F284" s="15">
        <v>0</v>
      </c>
      <c r="G284" s="15">
        <v>0</v>
      </c>
      <c r="H284" s="15">
        <v>0</v>
      </c>
      <c r="I284" s="15">
        <v>12.45</v>
      </c>
      <c r="J284" s="15">
        <v>18.940000000000001</v>
      </c>
      <c r="K284" s="15">
        <v>0</v>
      </c>
      <c r="L284" s="15">
        <f t="shared" si="11"/>
        <v>-4.990000000000002</v>
      </c>
      <c r="M284" s="21">
        <f t="shared" si="9"/>
        <v>0.26346356916578678</v>
      </c>
    </row>
    <row r="285" spans="1:13" x14ac:dyDescent="0.25">
      <c r="A285" s="13">
        <v>284</v>
      </c>
      <c r="B285" s="14">
        <v>45933</v>
      </c>
      <c r="C285" s="15">
        <v>1.75</v>
      </c>
      <c r="D285" s="15">
        <v>0</v>
      </c>
      <c r="E285" s="15">
        <v>0</v>
      </c>
      <c r="F285" s="15">
        <v>0</v>
      </c>
      <c r="G285" s="15">
        <v>0.26</v>
      </c>
      <c r="H285" s="15">
        <v>0</v>
      </c>
      <c r="I285" s="15">
        <v>12.73</v>
      </c>
      <c r="J285" s="15">
        <v>21.22</v>
      </c>
      <c r="K285" s="15">
        <v>1.44</v>
      </c>
      <c r="L285" s="15">
        <f t="shared" si="11"/>
        <v>-5.0399999999999974</v>
      </c>
      <c r="M285" s="21">
        <f t="shared" si="9"/>
        <v>0.25480283114256813</v>
      </c>
    </row>
    <row r="286" spans="1:13" x14ac:dyDescent="0.25">
      <c r="A286" s="13">
        <v>285</v>
      </c>
      <c r="B286" s="14">
        <v>45933</v>
      </c>
      <c r="C286" s="15">
        <v>0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  <c r="I286" s="15">
        <v>10.62</v>
      </c>
      <c r="J286" s="15">
        <v>12.33</v>
      </c>
      <c r="K286" s="15">
        <v>0.41</v>
      </c>
      <c r="L286" s="15">
        <f t="shared" si="11"/>
        <v>-1.3000000000000007</v>
      </c>
      <c r="M286" s="21">
        <f t="shared" si="9"/>
        <v>0.10906040268456382</v>
      </c>
    </row>
    <row r="287" spans="1:13" x14ac:dyDescent="0.25">
      <c r="A287" s="13">
        <v>286</v>
      </c>
      <c r="B287" s="14">
        <v>45933</v>
      </c>
      <c r="C287" s="15">
        <v>0</v>
      </c>
      <c r="D287" s="15">
        <v>0</v>
      </c>
      <c r="E287" s="15">
        <v>0</v>
      </c>
      <c r="F287" s="15">
        <v>0</v>
      </c>
      <c r="G287" s="15">
        <v>0</v>
      </c>
      <c r="H287" s="15">
        <v>0</v>
      </c>
      <c r="I287" s="15">
        <v>10.59</v>
      </c>
      <c r="J287" s="15">
        <v>12.99</v>
      </c>
      <c r="K287" s="15">
        <v>0</v>
      </c>
      <c r="L287" s="15">
        <f t="shared" si="11"/>
        <v>-2.4000000000000004</v>
      </c>
      <c r="M287" s="21">
        <f t="shared" si="9"/>
        <v>0.18475750577367209</v>
      </c>
    </row>
    <row r="288" spans="1:13" x14ac:dyDescent="0.25">
      <c r="A288" s="13">
        <v>287</v>
      </c>
      <c r="B288" s="14">
        <v>45936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</v>
      </c>
      <c r="I288" s="15">
        <v>6.99</v>
      </c>
      <c r="J288" s="15">
        <v>9.9499999999999993</v>
      </c>
      <c r="K288" s="15">
        <v>0</v>
      </c>
      <c r="L288" s="15">
        <f t="shared" si="11"/>
        <v>-2.9599999999999991</v>
      </c>
      <c r="M288" s="21">
        <f t="shared" si="9"/>
        <v>0.29748743718592957</v>
      </c>
    </row>
    <row r="289" spans="1:13" x14ac:dyDescent="0.25">
      <c r="A289" s="13">
        <v>288</v>
      </c>
      <c r="B289" s="14">
        <v>45936</v>
      </c>
      <c r="C289" s="15">
        <v>0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16.100000000000001</v>
      </c>
      <c r="J289" s="15">
        <v>19.91</v>
      </c>
      <c r="K289" s="15">
        <v>0</v>
      </c>
      <c r="L289" s="15">
        <f t="shared" si="11"/>
        <v>-3.8099999999999987</v>
      </c>
      <c r="M289" s="21">
        <f t="shared" si="9"/>
        <v>0.19136112506278247</v>
      </c>
    </row>
    <row r="290" spans="1:13" x14ac:dyDescent="0.25">
      <c r="A290" s="13">
        <v>289</v>
      </c>
      <c r="B290" s="14">
        <v>45936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20.28</v>
      </c>
      <c r="J290" s="15">
        <v>23.95</v>
      </c>
      <c r="K290" s="15">
        <v>0</v>
      </c>
      <c r="L290" s="15">
        <f t="shared" si="11"/>
        <v>-3.6699999999999982</v>
      </c>
      <c r="M290" s="21">
        <f t="shared" si="9"/>
        <v>0.15323590814196236</v>
      </c>
    </row>
    <row r="291" spans="1:13" x14ac:dyDescent="0.25">
      <c r="A291" s="13">
        <v>290</v>
      </c>
      <c r="B291" s="14">
        <v>45936</v>
      </c>
      <c r="C291" s="15">
        <v>1.75</v>
      </c>
      <c r="D291" s="15">
        <v>0</v>
      </c>
      <c r="E291" s="15">
        <v>0</v>
      </c>
      <c r="F291" s="15">
        <v>0</v>
      </c>
      <c r="G291" s="15">
        <v>0</v>
      </c>
      <c r="H291" s="15">
        <v>0</v>
      </c>
      <c r="I291" s="15">
        <v>22.19</v>
      </c>
      <c r="J291" s="15">
        <v>36.979999999999997</v>
      </c>
      <c r="K291" s="15">
        <v>0</v>
      </c>
      <c r="L291" s="15">
        <f t="shared" si="11"/>
        <v>-13.039999999999996</v>
      </c>
      <c r="M291" s="21">
        <f t="shared" si="9"/>
        <v>0.35262303948080037</v>
      </c>
    </row>
    <row r="292" spans="1:13" x14ac:dyDescent="0.25">
      <c r="A292" s="13">
        <v>291</v>
      </c>
      <c r="B292" s="14">
        <v>45936</v>
      </c>
      <c r="C292" s="15">
        <v>3.5</v>
      </c>
      <c r="D292" s="15">
        <v>0</v>
      </c>
      <c r="E292" s="15">
        <v>0</v>
      </c>
      <c r="F292" s="15">
        <v>0</v>
      </c>
      <c r="G292" s="15">
        <v>0</v>
      </c>
      <c r="H292" s="15">
        <v>0</v>
      </c>
      <c r="I292" s="15">
        <v>6.99</v>
      </c>
      <c r="J292" s="15">
        <v>16.989999999999998</v>
      </c>
      <c r="K292" s="15">
        <v>4.08</v>
      </c>
      <c r="L292" s="15">
        <f t="shared" si="11"/>
        <v>-2.4199999999999982</v>
      </c>
      <c r="M292" s="21">
        <f t="shared" si="9"/>
        <v>0.18745158791634381</v>
      </c>
    </row>
    <row r="293" spans="1:13" x14ac:dyDescent="0.25">
      <c r="A293" s="13">
        <v>292</v>
      </c>
      <c r="B293" s="14">
        <v>45936</v>
      </c>
      <c r="C293" s="15">
        <v>9.25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12.11</v>
      </c>
      <c r="J293" s="15">
        <v>23.7</v>
      </c>
      <c r="K293" s="15">
        <v>3.5</v>
      </c>
      <c r="L293" s="15">
        <f t="shared" si="11"/>
        <v>1.1600000000000001</v>
      </c>
      <c r="M293" s="21">
        <f t="shared" si="9"/>
        <v>5.7425742574257435E-2</v>
      </c>
    </row>
    <row r="294" spans="1:13" x14ac:dyDescent="0.25">
      <c r="A294" s="13">
        <v>293</v>
      </c>
      <c r="B294" s="14">
        <v>45936</v>
      </c>
      <c r="C294" s="15">
        <v>6.75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14.24</v>
      </c>
      <c r="J294" s="15">
        <v>34.99</v>
      </c>
      <c r="K294" s="15">
        <v>0</v>
      </c>
      <c r="L294" s="15">
        <f t="shared" si="11"/>
        <v>-14</v>
      </c>
      <c r="M294" s="21">
        <f t="shared" si="9"/>
        <v>0.40011431837667905</v>
      </c>
    </row>
    <row r="295" spans="1:13" x14ac:dyDescent="0.25">
      <c r="A295" s="13">
        <v>294</v>
      </c>
      <c r="B295" s="14">
        <v>45936</v>
      </c>
      <c r="C295" s="15">
        <v>2</v>
      </c>
      <c r="D295" s="15">
        <v>0</v>
      </c>
      <c r="E295" s="15">
        <v>0</v>
      </c>
      <c r="F295" s="15">
        <v>0</v>
      </c>
      <c r="G295" s="15">
        <v>0</v>
      </c>
      <c r="H295" s="15">
        <v>0</v>
      </c>
      <c r="I295" s="15">
        <v>6.99</v>
      </c>
      <c r="J295" s="15">
        <v>10.45</v>
      </c>
      <c r="K295" s="15">
        <v>1.26</v>
      </c>
      <c r="L295" s="15">
        <f t="shared" si="11"/>
        <v>-0.19999999999999929</v>
      </c>
      <c r="M295" s="21">
        <f t="shared" si="9"/>
        <v>2.1762785636561404E-2</v>
      </c>
    </row>
    <row r="296" spans="1:13" x14ac:dyDescent="0.25">
      <c r="A296" s="13">
        <v>295</v>
      </c>
      <c r="B296" s="14">
        <v>45936</v>
      </c>
      <c r="C296" s="15">
        <v>2.5</v>
      </c>
      <c r="D296" s="15">
        <v>0</v>
      </c>
      <c r="E296" s="15">
        <v>0</v>
      </c>
      <c r="F296" s="15">
        <v>0</v>
      </c>
      <c r="G296" s="15">
        <v>0</v>
      </c>
      <c r="H296" s="15">
        <v>0</v>
      </c>
      <c r="I296" s="15">
        <v>7.63</v>
      </c>
      <c r="J296" s="15">
        <v>11.92</v>
      </c>
      <c r="K296" s="15">
        <v>0</v>
      </c>
      <c r="L296" s="15">
        <f t="shared" si="11"/>
        <v>-1.7900000000000009</v>
      </c>
      <c r="M296" s="21">
        <f t="shared" si="9"/>
        <v>0.1501677852348994</v>
      </c>
    </row>
    <row r="297" spans="1:13" x14ac:dyDescent="0.25">
      <c r="A297" s="13">
        <v>296</v>
      </c>
      <c r="B297" s="14">
        <v>45936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  <c r="I297" s="15">
        <v>12.71</v>
      </c>
      <c r="J297" s="15">
        <v>18.95</v>
      </c>
      <c r="K297" s="15">
        <v>0</v>
      </c>
      <c r="L297" s="15">
        <f t="shared" si="11"/>
        <v>-6.2399999999999984</v>
      </c>
      <c r="M297" s="21">
        <f t="shared" si="9"/>
        <v>0.32928759894459098</v>
      </c>
    </row>
    <row r="298" spans="1:13" x14ac:dyDescent="0.25">
      <c r="A298" s="13">
        <v>297</v>
      </c>
      <c r="B298" s="14">
        <v>45936</v>
      </c>
      <c r="C298" s="15">
        <v>3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6.99</v>
      </c>
      <c r="J298" s="15">
        <v>11.37</v>
      </c>
      <c r="K298" s="15">
        <v>2.4</v>
      </c>
      <c r="L298" s="15">
        <f t="shared" si="11"/>
        <v>1.0200000000000014</v>
      </c>
      <c r="M298" s="21">
        <f t="shared" si="9"/>
        <v>0.11371237458193996</v>
      </c>
    </row>
    <row r="299" spans="1:13" x14ac:dyDescent="0.25">
      <c r="A299" s="13">
        <v>298</v>
      </c>
      <c r="B299" s="14">
        <v>45936</v>
      </c>
      <c r="C299" s="15">
        <v>3</v>
      </c>
      <c r="D299" s="15">
        <v>0</v>
      </c>
      <c r="E299" s="15">
        <v>0</v>
      </c>
      <c r="F299" s="15">
        <v>0</v>
      </c>
      <c r="G299" s="15">
        <v>4.3099999999999996</v>
      </c>
      <c r="H299" s="15">
        <v>0</v>
      </c>
      <c r="I299" s="15">
        <v>6.99</v>
      </c>
      <c r="J299" s="15">
        <v>16.29</v>
      </c>
      <c r="K299" s="15">
        <v>5.13</v>
      </c>
      <c r="L299" s="15">
        <f t="shared" si="11"/>
        <v>3.1400000000000006</v>
      </c>
      <c r="M299" s="21">
        <f t="shared" si="9"/>
        <v>0.28136200716845883</v>
      </c>
    </row>
    <row r="300" spans="1:13" x14ac:dyDescent="0.25">
      <c r="A300" s="13">
        <v>299</v>
      </c>
      <c r="B300" s="14">
        <v>45936</v>
      </c>
      <c r="C300" s="15">
        <v>5.5</v>
      </c>
      <c r="D300" s="15">
        <v>0</v>
      </c>
      <c r="E300" s="15">
        <v>0</v>
      </c>
      <c r="F300" s="15">
        <v>4.54</v>
      </c>
      <c r="G300" s="15">
        <v>0</v>
      </c>
      <c r="H300" s="15">
        <v>0</v>
      </c>
      <c r="I300" s="15">
        <v>28.46</v>
      </c>
      <c r="J300" s="15">
        <v>50.12</v>
      </c>
      <c r="K300" s="15">
        <v>0</v>
      </c>
      <c r="L300" s="15">
        <f t="shared" si="11"/>
        <v>-11.619999999999997</v>
      </c>
      <c r="M300" s="21">
        <f t="shared" si="9"/>
        <v>0.23184357541899436</v>
      </c>
    </row>
    <row r="301" spans="1:13" x14ac:dyDescent="0.25">
      <c r="A301" s="13">
        <v>300</v>
      </c>
      <c r="B301" s="14">
        <v>45936</v>
      </c>
      <c r="C301" s="15">
        <v>5.5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9.39</v>
      </c>
      <c r="J301" s="15">
        <v>16.670000000000002</v>
      </c>
      <c r="K301" s="15">
        <v>1.71</v>
      </c>
      <c r="L301" s="15">
        <f t="shared" si="11"/>
        <v>-7.0000000000000284E-2</v>
      </c>
      <c r="M301" s="21">
        <f t="shared" si="9"/>
        <v>4.6791443850267567E-3</v>
      </c>
    </row>
    <row r="302" spans="1:13" x14ac:dyDescent="0.25">
      <c r="A302" s="13">
        <v>301</v>
      </c>
      <c r="B302" s="14">
        <v>45936</v>
      </c>
      <c r="C302" s="15">
        <v>0</v>
      </c>
      <c r="D302" s="15">
        <v>0</v>
      </c>
      <c r="E302" s="15">
        <v>0</v>
      </c>
      <c r="F302" s="15">
        <v>0</v>
      </c>
      <c r="G302" s="15">
        <v>0.56000000000000005</v>
      </c>
      <c r="H302" s="15">
        <v>0</v>
      </c>
      <c r="I302" s="15">
        <v>6.99</v>
      </c>
      <c r="J302" s="15">
        <v>9.61</v>
      </c>
      <c r="K302" s="15">
        <v>0.48</v>
      </c>
      <c r="L302" s="15">
        <f t="shared" si="11"/>
        <v>-1.5799999999999983</v>
      </c>
      <c r="M302" s="21">
        <f t="shared" si="9"/>
        <v>0.1730558598028476</v>
      </c>
    </row>
    <row r="303" spans="1:13" x14ac:dyDescent="0.25">
      <c r="A303" s="13">
        <v>302</v>
      </c>
      <c r="B303" s="14">
        <v>45936</v>
      </c>
      <c r="C303" s="15">
        <v>3.75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  <c r="I303" s="15">
        <v>19.71</v>
      </c>
      <c r="J303" s="15">
        <v>36.96</v>
      </c>
      <c r="K303" s="15">
        <v>0.77500000000000002</v>
      </c>
      <c r="L303" s="15">
        <f t="shared" si="11"/>
        <v>-12.725000000000001</v>
      </c>
      <c r="M303" s="21">
        <f t="shared" si="9"/>
        <v>0.35166505458062736</v>
      </c>
    </row>
    <row r="304" spans="1:13" x14ac:dyDescent="0.25">
      <c r="A304" s="13">
        <v>303</v>
      </c>
      <c r="B304" s="14">
        <v>45936</v>
      </c>
      <c r="C304" s="15">
        <v>3.75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11.95</v>
      </c>
      <c r="J304" s="15">
        <v>21.91</v>
      </c>
      <c r="K304" s="15">
        <v>0</v>
      </c>
      <c r="L304" s="15">
        <f t="shared" si="11"/>
        <v>-6.2100000000000009</v>
      </c>
      <c r="M304" s="21">
        <f t="shared" si="9"/>
        <v>0.28343222272934737</v>
      </c>
    </row>
    <row r="305" spans="1:13" x14ac:dyDescent="0.25">
      <c r="A305" s="13">
        <v>304</v>
      </c>
      <c r="B305" s="14">
        <v>45936</v>
      </c>
      <c r="C305" s="15">
        <v>15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16.899999999999999</v>
      </c>
      <c r="J305" s="15">
        <v>34.74</v>
      </c>
      <c r="K305" s="15">
        <v>8.81</v>
      </c>
      <c r="L305" s="15">
        <f t="shared" si="11"/>
        <v>5.9699999999999989</v>
      </c>
      <c r="M305" s="21">
        <f t="shared" si="9"/>
        <v>0.23023524874662549</v>
      </c>
    </row>
    <row r="306" spans="1:13" x14ac:dyDescent="0.25">
      <c r="A306" s="13">
        <v>305</v>
      </c>
      <c r="B306" s="14">
        <v>45937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10.01</v>
      </c>
      <c r="J306" s="15">
        <v>11.71</v>
      </c>
      <c r="K306" s="15">
        <v>0.81</v>
      </c>
      <c r="L306" s="15">
        <f t="shared" si="11"/>
        <v>-0.89000000000000057</v>
      </c>
      <c r="M306" s="21">
        <f t="shared" si="9"/>
        <v>8.1651376146789037E-2</v>
      </c>
    </row>
    <row r="307" spans="1:13" x14ac:dyDescent="0.25">
      <c r="A307" s="13">
        <v>306</v>
      </c>
      <c r="B307" s="14">
        <v>45937</v>
      </c>
      <c r="C307" s="15">
        <v>1.75</v>
      </c>
      <c r="D307" s="15">
        <v>0</v>
      </c>
      <c r="E307" s="15">
        <v>0</v>
      </c>
      <c r="F307" s="15">
        <v>2.9</v>
      </c>
      <c r="G307" s="15">
        <v>0</v>
      </c>
      <c r="H307" s="15">
        <v>0</v>
      </c>
      <c r="I307" s="15">
        <v>7.05</v>
      </c>
      <c r="J307" s="15">
        <v>17.55</v>
      </c>
      <c r="K307" s="15">
        <v>0</v>
      </c>
      <c r="L307" s="15">
        <f t="shared" si="11"/>
        <v>-5.8500000000000014</v>
      </c>
      <c r="M307" s="21">
        <f t="shared" si="9"/>
        <v>0.33333333333333343</v>
      </c>
    </row>
    <row r="308" spans="1:13" x14ac:dyDescent="0.25">
      <c r="A308" s="13">
        <v>307</v>
      </c>
      <c r="B308" s="14">
        <v>45937</v>
      </c>
      <c r="C308" s="15">
        <v>2.75</v>
      </c>
      <c r="D308" s="15">
        <v>0</v>
      </c>
      <c r="E308" s="15">
        <v>0</v>
      </c>
      <c r="F308" s="15">
        <v>0</v>
      </c>
      <c r="G308" s="15">
        <v>0.24</v>
      </c>
      <c r="H308" s="15">
        <v>0</v>
      </c>
      <c r="I308" s="15">
        <v>13.82</v>
      </c>
      <c r="J308" s="15">
        <v>22.18</v>
      </c>
      <c r="K308" s="15">
        <v>0</v>
      </c>
      <c r="L308" s="15">
        <f t="shared" si="11"/>
        <v>-5.3699999999999974</v>
      </c>
      <c r="M308" s="21">
        <f t="shared" si="9"/>
        <v>0.24211000901713245</v>
      </c>
    </row>
    <row r="309" spans="1:13" x14ac:dyDescent="0.25">
      <c r="A309" s="13">
        <v>308</v>
      </c>
      <c r="B309" s="14">
        <v>45937</v>
      </c>
      <c r="C309" s="15">
        <v>4.5</v>
      </c>
      <c r="D309" s="15">
        <v>0</v>
      </c>
      <c r="E309" s="15">
        <v>0</v>
      </c>
      <c r="F309" s="15">
        <v>0</v>
      </c>
      <c r="G309" s="15">
        <v>0</v>
      </c>
      <c r="H309" s="15">
        <v>0</v>
      </c>
      <c r="I309" s="15">
        <v>12.28</v>
      </c>
      <c r="J309" s="15">
        <v>27.96</v>
      </c>
      <c r="K309" s="15">
        <v>0</v>
      </c>
      <c r="L309" s="15">
        <f t="shared" si="11"/>
        <v>-11.18</v>
      </c>
      <c r="M309" s="21">
        <f t="shared" si="9"/>
        <v>0.39985693848354792</v>
      </c>
    </row>
    <row r="310" spans="1:13" x14ac:dyDescent="0.25">
      <c r="A310" s="13">
        <v>309</v>
      </c>
      <c r="B310" s="14">
        <v>45938</v>
      </c>
      <c r="C310" s="15">
        <v>0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6.99</v>
      </c>
      <c r="J310" s="15">
        <v>9.9499999999999993</v>
      </c>
      <c r="K310" s="15">
        <v>0</v>
      </c>
      <c r="L310" s="15">
        <f t="shared" si="11"/>
        <v>-2.9599999999999991</v>
      </c>
      <c r="M310" s="21">
        <f t="shared" si="9"/>
        <v>0.29748743718592957</v>
      </c>
    </row>
    <row r="311" spans="1:13" x14ac:dyDescent="0.25">
      <c r="A311" s="13">
        <v>310</v>
      </c>
      <c r="B311" s="14">
        <v>45938</v>
      </c>
      <c r="C311" s="15">
        <v>0</v>
      </c>
      <c r="D311" s="15">
        <v>0</v>
      </c>
      <c r="E311" s="15">
        <v>0</v>
      </c>
      <c r="F311" s="15">
        <v>0</v>
      </c>
      <c r="G311" s="15">
        <v>0</v>
      </c>
      <c r="H311" s="15">
        <v>0</v>
      </c>
      <c r="I311" s="15">
        <v>6.99</v>
      </c>
      <c r="J311" s="15">
        <v>9.94</v>
      </c>
      <c r="K311" s="15">
        <v>0</v>
      </c>
      <c r="L311" s="15">
        <f t="shared" si="11"/>
        <v>-2.9499999999999993</v>
      </c>
      <c r="M311" s="21">
        <f t="shared" si="9"/>
        <v>0.29678068410462771</v>
      </c>
    </row>
    <row r="312" spans="1:13" x14ac:dyDescent="0.25">
      <c r="A312" s="13">
        <v>311</v>
      </c>
      <c r="B312" s="14">
        <v>45938</v>
      </c>
      <c r="C312" s="15">
        <v>0</v>
      </c>
      <c r="D312" s="15">
        <v>0</v>
      </c>
      <c r="E312" s="15">
        <v>0</v>
      </c>
      <c r="F312" s="15">
        <v>2.9</v>
      </c>
      <c r="G312" s="15">
        <v>0</v>
      </c>
      <c r="H312" s="15">
        <v>0</v>
      </c>
      <c r="I312" s="15">
        <v>13.5</v>
      </c>
      <c r="J312" s="15">
        <v>18.62</v>
      </c>
      <c r="K312" s="15">
        <v>1.28</v>
      </c>
      <c r="L312" s="15">
        <f t="shared" si="11"/>
        <v>-0.94000000000000128</v>
      </c>
      <c r="M312" s="21">
        <f t="shared" si="9"/>
        <v>5.4209919261822448E-2</v>
      </c>
    </row>
    <row r="313" spans="1:13" x14ac:dyDescent="0.25">
      <c r="A313" s="13">
        <v>312</v>
      </c>
      <c r="B313" s="14">
        <v>45938</v>
      </c>
      <c r="C313" s="15">
        <v>0</v>
      </c>
      <c r="D313" s="15">
        <v>0</v>
      </c>
      <c r="E313" s="15">
        <v>0</v>
      </c>
      <c r="F313" s="15">
        <v>0</v>
      </c>
      <c r="G313" s="15">
        <v>0</v>
      </c>
      <c r="H313" s="15">
        <v>0</v>
      </c>
      <c r="I313" s="15">
        <v>26.16</v>
      </c>
      <c r="J313" s="15">
        <v>34.67</v>
      </c>
      <c r="K313" s="15">
        <v>0</v>
      </c>
      <c r="L313" s="15">
        <f t="shared" si="11"/>
        <v>-8.5100000000000016</v>
      </c>
      <c r="M313" s="21">
        <f t="shared" si="9"/>
        <v>0.24545716758004041</v>
      </c>
    </row>
    <row r="314" spans="1:13" x14ac:dyDescent="0.25">
      <c r="A314" s="13">
        <v>313</v>
      </c>
      <c r="B314" s="14">
        <v>45938</v>
      </c>
      <c r="C314" s="15">
        <v>11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9.65</v>
      </c>
      <c r="J314" s="15">
        <v>31.93</v>
      </c>
      <c r="K314" s="15">
        <v>0</v>
      </c>
      <c r="L314" s="15">
        <f t="shared" si="11"/>
        <v>-11.280000000000001</v>
      </c>
      <c r="M314" s="21">
        <f t="shared" si="9"/>
        <v>0.35327278421547137</v>
      </c>
    </row>
    <row r="315" spans="1:13" x14ac:dyDescent="0.25">
      <c r="A315" s="13">
        <v>314</v>
      </c>
      <c r="B315" s="14">
        <v>45938</v>
      </c>
      <c r="C315" s="15">
        <v>11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  <c r="I315" s="15">
        <v>14.18</v>
      </c>
      <c r="J315" s="15">
        <v>41.97</v>
      </c>
      <c r="K315" s="15">
        <v>0</v>
      </c>
      <c r="L315" s="15">
        <f t="shared" si="11"/>
        <v>-16.79</v>
      </c>
      <c r="M315" s="21">
        <f t="shared" si="9"/>
        <v>0.4000476530855373</v>
      </c>
    </row>
    <row r="316" spans="1:13" x14ac:dyDescent="0.25">
      <c r="A316" s="13">
        <v>315</v>
      </c>
      <c r="B316" s="14">
        <v>45938</v>
      </c>
      <c r="C316" s="15">
        <v>13</v>
      </c>
      <c r="D316" s="15">
        <v>0</v>
      </c>
      <c r="E316" s="15">
        <v>0</v>
      </c>
      <c r="F316" s="15">
        <v>0</v>
      </c>
      <c r="G316" s="15">
        <v>0</v>
      </c>
      <c r="H316" s="15">
        <v>0</v>
      </c>
      <c r="I316" s="15">
        <v>8.51</v>
      </c>
      <c r="J316" s="15">
        <v>23.4</v>
      </c>
      <c r="K316" s="15">
        <v>13.02</v>
      </c>
      <c r="L316" s="15">
        <f t="shared" si="11"/>
        <v>11.129999999999999</v>
      </c>
      <c r="M316" s="21">
        <f t="shared" si="9"/>
        <v>1.0722543352601157</v>
      </c>
    </row>
    <row r="317" spans="1:13" x14ac:dyDescent="0.25">
      <c r="A317" s="13">
        <v>316</v>
      </c>
      <c r="B317" s="14">
        <v>45938</v>
      </c>
      <c r="C317" s="15">
        <v>6.75</v>
      </c>
      <c r="D317" s="15">
        <v>0</v>
      </c>
      <c r="E317" s="15">
        <v>0</v>
      </c>
      <c r="F317" s="15">
        <v>0</v>
      </c>
      <c r="G317" s="15">
        <v>0</v>
      </c>
      <c r="H317" s="15">
        <v>0</v>
      </c>
      <c r="I317" s="15">
        <v>27.2</v>
      </c>
      <c r="J317" s="15">
        <v>50.93</v>
      </c>
      <c r="K317" s="15">
        <v>3.51</v>
      </c>
      <c r="L317" s="15">
        <f t="shared" si="11"/>
        <v>-13.469999999999999</v>
      </c>
      <c r="M317" s="21">
        <f t="shared" si="9"/>
        <v>0.28405735976381269</v>
      </c>
    </row>
    <row r="318" spans="1:13" x14ac:dyDescent="0.25">
      <c r="A318" s="13">
        <v>317</v>
      </c>
      <c r="B318" s="14">
        <v>45938</v>
      </c>
      <c r="C318" s="15">
        <v>2.75</v>
      </c>
      <c r="D318" s="15">
        <v>0</v>
      </c>
      <c r="E318" s="15">
        <v>0</v>
      </c>
      <c r="F318" s="15">
        <v>0</v>
      </c>
      <c r="G318" s="15">
        <v>0</v>
      </c>
      <c r="H318" s="15">
        <v>0</v>
      </c>
      <c r="I318" s="15">
        <v>12.48</v>
      </c>
      <c r="J318" s="15">
        <v>16.98</v>
      </c>
      <c r="K318" s="15">
        <v>8.64</v>
      </c>
      <c r="L318" s="15">
        <f t="shared" si="11"/>
        <v>6.8900000000000006</v>
      </c>
      <c r="M318" s="21">
        <f t="shared" si="9"/>
        <v>0.82613908872901687</v>
      </c>
    </row>
    <row r="319" spans="1:13" x14ac:dyDescent="0.25">
      <c r="A319" s="13">
        <v>318</v>
      </c>
      <c r="B319" s="14">
        <v>45938</v>
      </c>
      <c r="C319" s="15">
        <v>0</v>
      </c>
      <c r="D319" s="15">
        <v>0</v>
      </c>
      <c r="E319" s="15">
        <v>0</v>
      </c>
      <c r="F319" s="15">
        <v>0</v>
      </c>
      <c r="G319" s="15">
        <v>0</v>
      </c>
      <c r="H319" s="15">
        <v>0</v>
      </c>
      <c r="I319" s="15">
        <v>44.14</v>
      </c>
      <c r="J319" s="15">
        <v>51.8</v>
      </c>
      <c r="K319" s="15">
        <v>0</v>
      </c>
      <c r="L319" s="15">
        <f t="shared" si="11"/>
        <v>-7.6599999999999966</v>
      </c>
      <c r="M319" s="21">
        <f t="shared" si="9"/>
        <v>0.14787644787644783</v>
      </c>
    </row>
    <row r="320" spans="1:13" x14ac:dyDescent="0.25">
      <c r="A320" s="13">
        <v>319</v>
      </c>
      <c r="B320" s="14">
        <v>45938</v>
      </c>
      <c r="C320" s="15">
        <v>3.75</v>
      </c>
      <c r="D320" s="15">
        <v>0</v>
      </c>
      <c r="E320" s="15">
        <v>0</v>
      </c>
      <c r="F320" s="15">
        <v>0</v>
      </c>
      <c r="G320" s="15">
        <v>0</v>
      </c>
      <c r="H320" s="15">
        <v>0</v>
      </c>
      <c r="I320" s="15">
        <v>25</v>
      </c>
      <c r="J320" s="15">
        <v>37.950000000000003</v>
      </c>
      <c r="K320" s="15">
        <v>2.04</v>
      </c>
      <c r="L320" s="15">
        <f t="shared" si="11"/>
        <v>-7.1600000000000037</v>
      </c>
      <c r="M320" s="21">
        <f t="shared" si="9"/>
        <v>0.1993873572820942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3CDE-C054-4509-ACF9-EF7AA5BDBEE1}">
  <dimension ref="A1:B5"/>
  <sheetViews>
    <sheetView workbookViewId="0">
      <selection sqref="A1:XFD5"/>
    </sheetView>
  </sheetViews>
  <sheetFormatPr defaultRowHeight="15" x14ac:dyDescent="0.25"/>
  <sheetData>
    <row r="1" spans="1:2" s="3" customFormat="1" x14ac:dyDescent="0.25">
      <c r="A1" s="4" t="s">
        <v>21</v>
      </c>
      <c r="B1" s="4" t="s">
        <v>22</v>
      </c>
    </row>
    <row r="2" spans="1:2" s="3" customFormat="1" x14ac:dyDescent="0.25">
      <c r="A2" s="4">
        <v>1</v>
      </c>
      <c r="B2" s="4" t="s">
        <v>23</v>
      </c>
    </row>
    <row r="3" spans="1:2" s="3" customFormat="1" x14ac:dyDescent="0.25">
      <c r="A3" s="4">
        <v>2</v>
      </c>
      <c r="B3" s="9">
        <v>99</v>
      </c>
    </row>
    <row r="4" spans="1:2" s="3" customFormat="1" x14ac:dyDescent="0.25">
      <c r="A4" s="4">
        <v>3</v>
      </c>
      <c r="B4" s="4" t="s">
        <v>24</v>
      </c>
    </row>
    <row r="5" spans="1:2" s="3" customFormat="1" x14ac:dyDescent="0.25">
      <c r="A5" s="4">
        <v>4</v>
      </c>
      <c r="B5" s="4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4363-41CF-4281-AFE1-B65BB003B1EF}">
  <dimension ref="A1:C2"/>
  <sheetViews>
    <sheetView workbookViewId="0">
      <selection sqref="A1:XFD1048576"/>
    </sheetView>
  </sheetViews>
  <sheetFormatPr defaultRowHeight="15" x14ac:dyDescent="0.25"/>
  <cols>
    <col min="1" max="1" width="3.28515625" style="3" bestFit="1" customWidth="1"/>
    <col min="2" max="2" width="6.42578125" style="3" bestFit="1" customWidth="1"/>
    <col min="3" max="3" width="11" style="3" bestFit="1" customWidth="1"/>
    <col min="4" max="16384" width="9.140625" style="3"/>
  </cols>
  <sheetData>
    <row r="1" spans="1:3" s="7" customFormat="1" x14ac:dyDescent="0.25">
      <c r="A1" s="6" t="s">
        <v>21</v>
      </c>
      <c r="B1" s="4" t="s">
        <v>22</v>
      </c>
      <c r="C1" s="7" t="s">
        <v>43</v>
      </c>
    </row>
    <row r="2" spans="1:3" s="7" customFormat="1" x14ac:dyDescent="0.25">
      <c r="A2" s="8" t="s">
        <v>26</v>
      </c>
      <c r="B2" s="4" t="s">
        <v>27</v>
      </c>
      <c r="C2" s="7">
        <v>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16BB-6C3D-453C-A7FC-A7DA8AAFF7A9}">
  <dimension ref="A1:G2"/>
  <sheetViews>
    <sheetView workbookViewId="0">
      <selection sqref="A1:XFD1048576"/>
    </sheetView>
  </sheetViews>
  <sheetFormatPr defaultRowHeight="15" x14ac:dyDescent="0.25"/>
  <cols>
    <col min="1" max="1" width="3.28515625" style="3" bestFit="1" customWidth="1"/>
    <col min="2" max="2" width="5" style="3" bestFit="1" customWidth="1"/>
    <col min="3" max="3" width="7.28515625" style="3" bestFit="1" customWidth="1"/>
    <col min="4" max="4" width="6.5703125" style="3" bestFit="1" customWidth="1"/>
    <col min="5" max="5" width="23.7109375" style="3" bestFit="1" customWidth="1"/>
    <col min="6" max="6" width="25.7109375" style="3" bestFit="1" customWidth="1"/>
    <col min="7" max="7" width="13.7109375" style="3" bestFit="1" customWidth="1"/>
    <col min="8" max="16384" width="9.140625" style="3"/>
  </cols>
  <sheetData>
    <row r="1" spans="1:7" s="5" customFormat="1" x14ac:dyDescent="0.25">
      <c r="A1" s="4" t="s">
        <v>21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</row>
    <row r="2" spans="1:7" s="5" customFormat="1" x14ac:dyDescent="0.25">
      <c r="A2" s="4">
        <v>1</v>
      </c>
      <c r="B2" s="4">
        <v>2016</v>
      </c>
      <c r="C2" s="4" t="s">
        <v>34</v>
      </c>
      <c r="D2" s="4" t="s">
        <v>35</v>
      </c>
      <c r="E2" s="4">
        <v>7.9</v>
      </c>
      <c r="F2" s="4">
        <v>12</v>
      </c>
      <c r="G2" s="4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3F3B-7DA3-4570-A26A-4E4F2A018A4F}">
  <dimension ref="A1:B6"/>
  <sheetViews>
    <sheetView workbookViewId="0">
      <selection sqref="A1:B1"/>
    </sheetView>
  </sheetViews>
  <sheetFormatPr defaultRowHeight="15" x14ac:dyDescent="0.25"/>
  <cols>
    <col min="1" max="1" width="15" style="3" bestFit="1" customWidth="1"/>
    <col min="2" max="2" width="13.140625" style="3" bestFit="1" customWidth="1"/>
    <col min="3" max="16384" width="9.140625" style="3"/>
  </cols>
  <sheetData>
    <row r="1" spans="1:2" x14ac:dyDescent="0.25">
      <c r="A1" s="2" t="s">
        <v>6</v>
      </c>
      <c r="B1" s="2" t="s">
        <v>37</v>
      </c>
    </row>
    <row r="2" spans="1:2" x14ac:dyDescent="0.25">
      <c r="A2" s="4">
        <v>1</v>
      </c>
      <c r="B2" s="4" t="s">
        <v>38</v>
      </c>
    </row>
    <row r="3" spans="1:2" x14ac:dyDescent="0.25">
      <c r="A3" s="4">
        <v>2</v>
      </c>
      <c r="B3" s="4" t="s">
        <v>39</v>
      </c>
    </row>
    <row r="4" spans="1:2" x14ac:dyDescent="0.25">
      <c r="A4" s="4">
        <v>3</v>
      </c>
      <c r="B4" s="4" t="s">
        <v>40</v>
      </c>
    </row>
    <row r="5" spans="1:2" x14ac:dyDescent="0.25">
      <c r="A5" s="4">
        <v>4</v>
      </c>
      <c r="B5" s="4" t="s">
        <v>41</v>
      </c>
    </row>
    <row r="6" spans="1:2" x14ac:dyDescent="0.25">
      <c r="A6" s="4">
        <v>5</v>
      </c>
      <c r="B6" s="4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Corrida</vt:lpstr>
      <vt:lpstr>Localidade</vt:lpstr>
      <vt:lpstr>Valor_Viagem</vt:lpstr>
      <vt:lpstr>Aplicativos</vt:lpstr>
      <vt:lpstr>Motoristas</vt:lpstr>
      <vt:lpstr>Carros</vt:lpstr>
      <vt:lpstr>Tipo de 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Sousa</dc:creator>
  <cp:lastModifiedBy>Renan Sousa</cp:lastModifiedBy>
  <dcterms:created xsi:type="dcterms:W3CDTF">2026-01-26T22:50:10Z</dcterms:created>
  <dcterms:modified xsi:type="dcterms:W3CDTF">2026-03-29T12:15:10Z</dcterms:modified>
</cp:coreProperties>
</file>