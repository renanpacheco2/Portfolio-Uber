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pstr\OneDrive\Documentos\Renan_Estacio\Portfolio\Portfolio_Uber\data\"/>
    </mc:Choice>
  </mc:AlternateContent>
  <xr:revisionPtr revIDLastSave="0" documentId="13_ncr:1_{D5E4933F-3CE4-4C08-8FBE-84758838D168}" xr6:coauthVersionLast="36" xr6:coauthVersionMax="36" xr10:uidLastSave="{00000000-0000-0000-0000-000000000000}"/>
  <bookViews>
    <workbookView xWindow="0" yWindow="0" windowWidth="21600" windowHeight="9525" xr2:uid="{040551EE-EA37-4237-813B-3533D35435C9}"/>
  </bookViews>
  <sheets>
    <sheet name="Corrida" sheetId="1" r:id="rId1"/>
    <sheet name="Localidade" sheetId="2" r:id="rId2"/>
    <sheet name="Valor_Viagem" sheetId="3" r:id="rId3"/>
    <sheet name="Aplicativos" sheetId="4" r:id="rId4"/>
    <sheet name="Motoristas" sheetId="5" r:id="rId5"/>
    <sheet name="Carros" sheetId="6" r:id="rId6"/>
    <sheet name="Tipo de Pagamento" sheetId="7" r:id="rId7"/>
  </sheets>
  <definedNames>
    <definedName name="_xlnm._FilterDatabase" localSheetId="0" hidden="1">Corrida!$A$1:$K$201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38" i="1" l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K433" i="3"/>
  <c r="M433" i="3" s="1"/>
  <c r="N433" i="3" s="1"/>
  <c r="K432" i="3"/>
  <c r="K431" i="3"/>
  <c r="M431" i="3" s="1"/>
  <c r="N431" i="3" s="1"/>
  <c r="K430" i="3"/>
  <c r="N435" i="3"/>
  <c r="N436" i="3"/>
  <c r="N437" i="3"/>
  <c r="M430" i="3"/>
  <c r="N430" i="3" s="1"/>
  <c r="M432" i="3"/>
  <c r="N432" i="3" s="1"/>
  <c r="M434" i="3"/>
  <c r="N434" i="3" s="1"/>
  <c r="M435" i="3"/>
  <c r="M436" i="3"/>
  <c r="M437" i="3"/>
  <c r="M429" i="3"/>
  <c r="N429" i="3" s="1"/>
  <c r="M428" i="3"/>
  <c r="N428" i="3" s="1"/>
  <c r="M427" i="3"/>
  <c r="N427" i="3" s="1"/>
  <c r="M426" i="3"/>
  <c r="N426" i="3"/>
  <c r="M425" i="3"/>
  <c r="N425" i="3" s="1"/>
  <c r="M424" i="3"/>
  <c r="N424" i="3" s="1"/>
  <c r="M423" i="3"/>
  <c r="N423" i="3" s="1"/>
  <c r="M422" i="3"/>
  <c r="N422" i="3" s="1"/>
  <c r="M421" i="3"/>
  <c r="N421" i="3"/>
  <c r="M420" i="3"/>
  <c r="N420" i="3" s="1"/>
  <c r="M419" i="3"/>
  <c r="N419" i="3" s="1"/>
  <c r="M418" i="3"/>
  <c r="N418" i="3" s="1"/>
  <c r="C419" i="1" l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18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5" i="2"/>
  <c r="G436" i="2"/>
  <c r="G437" i="2"/>
  <c r="M417" i="3"/>
  <c r="N417" i="3"/>
  <c r="M416" i="3"/>
  <c r="N416" i="3"/>
  <c r="M415" i="3"/>
  <c r="N415" i="3" s="1"/>
  <c r="M414" i="3"/>
  <c r="N414" i="3" s="1"/>
  <c r="M413" i="3"/>
  <c r="N413" i="3" s="1"/>
  <c r="M412" i="3"/>
  <c r="N412" i="3"/>
  <c r="M411" i="3"/>
  <c r="N411" i="3" s="1"/>
  <c r="M410" i="3"/>
  <c r="N410" i="3"/>
  <c r="M409" i="3"/>
  <c r="N409" i="3" s="1"/>
  <c r="M408" i="3"/>
  <c r="N408" i="3"/>
  <c r="M407" i="3"/>
  <c r="N407" i="3"/>
  <c r="M406" i="3"/>
  <c r="N406" i="3"/>
  <c r="M405" i="3"/>
  <c r="N405" i="3" s="1"/>
  <c r="M404" i="3"/>
  <c r="N404" i="3" s="1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C404" i="1"/>
  <c r="M403" i="3"/>
  <c r="N403" i="3" s="1"/>
  <c r="M402" i="3"/>
  <c r="N402" i="3"/>
  <c r="M401" i="3"/>
  <c r="N401" i="3"/>
  <c r="M400" i="3"/>
  <c r="N400" i="3" s="1"/>
  <c r="M399" i="3"/>
  <c r="N399" i="3" s="1"/>
  <c r="M398" i="3"/>
  <c r="N398" i="3"/>
  <c r="M397" i="3"/>
  <c r="N397" i="3"/>
  <c r="M396" i="3"/>
  <c r="N396" i="3" s="1"/>
  <c r="M395" i="3"/>
  <c r="N395" i="3"/>
  <c r="M394" i="3"/>
  <c r="N394" i="3" s="1"/>
  <c r="M393" i="3"/>
  <c r="N393" i="3"/>
  <c r="M392" i="3"/>
  <c r="N392" i="3" s="1"/>
  <c r="M391" i="3"/>
  <c r="N391" i="3"/>
  <c r="M390" i="3"/>
  <c r="N390" i="3" s="1"/>
  <c r="M389" i="3"/>
  <c r="N389" i="3"/>
  <c r="M388" i="3"/>
  <c r="N388" i="3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C388" i="1"/>
  <c r="M387" i="3"/>
  <c r="N387" i="3"/>
  <c r="M386" i="3"/>
  <c r="N386" i="3" s="1"/>
  <c r="M385" i="3"/>
  <c r="N385" i="3" s="1"/>
  <c r="M384" i="3"/>
  <c r="N384" i="3"/>
  <c r="M383" i="3"/>
  <c r="N383" i="3"/>
  <c r="M382" i="3"/>
  <c r="N382" i="3"/>
  <c r="M381" i="3"/>
  <c r="N381" i="3" s="1"/>
  <c r="M380" i="3"/>
  <c r="N380" i="3"/>
  <c r="M379" i="3"/>
  <c r="N379" i="3" s="1"/>
  <c r="M378" i="3"/>
  <c r="N378" i="3" s="1"/>
  <c r="M377" i="3"/>
  <c r="N377" i="3" s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N374" i="3" s="1"/>
  <c r="M375" i="3"/>
  <c r="M376" i="3"/>
  <c r="M2" i="3"/>
  <c r="N376" i="3"/>
  <c r="N375" i="3"/>
  <c r="N373" i="3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N372" i="3" l="1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N371" i="3"/>
  <c r="N370" i="3"/>
  <c r="N369" i="3"/>
  <c r="N368" i="3"/>
  <c r="N367" i="3"/>
  <c r="N366" i="3"/>
  <c r="N365" i="3"/>
  <c r="N364" i="3"/>
  <c r="N363" i="3"/>
  <c r="N362" i="3"/>
  <c r="N361" i="3"/>
  <c r="N360" i="3"/>
  <c r="N359" i="3"/>
  <c r="N358" i="3"/>
  <c r="N357" i="3"/>
  <c r="C107" i="1"/>
  <c r="C117" i="1"/>
  <c r="C118" i="1"/>
  <c r="C119" i="1"/>
  <c r="C120" i="1"/>
  <c r="C121" i="1"/>
  <c r="C122" i="1"/>
  <c r="C123" i="1"/>
  <c r="C189" i="1"/>
  <c r="C190" i="1"/>
  <c r="C207" i="1"/>
  <c r="C208" i="1"/>
  <c r="C209" i="1"/>
  <c r="C210" i="1"/>
  <c r="C211" i="1"/>
  <c r="C212" i="1"/>
  <c r="C213" i="1"/>
  <c r="C219" i="1"/>
  <c r="C220" i="1"/>
  <c r="C221" i="1"/>
  <c r="C222" i="1"/>
  <c r="C230" i="1"/>
  <c r="C231" i="1"/>
  <c r="C250" i="1"/>
  <c r="C251" i="1"/>
  <c r="C252" i="1"/>
  <c r="C253" i="1"/>
  <c r="C254" i="1"/>
  <c r="C255" i="1"/>
  <c r="C256" i="1"/>
  <c r="C257" i="1"/>
  <c r="C258" i="1"/>
  <c r="C259" i="1"/>
  <c r="C260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96" i="1"/>
  <c r="C304" i="1"/>
  <c r="C305" i="1"/>
  <c r="C306" i="1"/>
  <c r="C307" i="1"/>
  <c r="C308" i="1"/>
  <c r="C314" i="1"/>
  <c r="C315" i="1"/>
  <c r="C316" i="1"/>
  <c r="C317" i="1"/>
  <c r="C318" i="1"/>
  <c r="C319" i="1"/>
  <c r="C320" i="1"/>
  <c r="C321" i="1"/>
  <c r="C322" i="1"/>
  <c r="C335" i="1"/>
  <c r="C336" i="1"/>
  <c r="C337" i="1"/>
  <c r="C338" i="1"/>
  <c r="C339" i="1"/>
  <c r="C344" i="1"/>
  <c r="C345" i="1"/>
  <c r="C346" i="1"/>
  <c r="C347" i="1"/>
  <c r="C348" i="1"/>
  <c r="C349" i="1"/>
  <c r="C366" i="1"/>
  <c r="C367" i="1"/>
  <c r="C368" i="1"/>
  <c r="C369" i="1"/>
  <c r="C370" i="1"/>
  <c r="C386" i="1"/>
  <c r="C387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8" i="1"/>
  <c r="C109" i="1"/>
  <c r="C110" i="1"/>
  <c r="C111" i="1"/>
  <c r="C112" i="1"/>
  <c r="C113" i="1"/>
  <c r="C114" i="1"/>
  <c r="C115" i="1"/>
  <c r="C116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14" i="1"/>
  <c r="C215" i="1"/>
  <c r="C216" i="1"/>
  <c r="C217" i="1"/>
  <c r="C218" i="1"/>
  <c r="C223" i="1"/>
  <c r="C224" i="1"/>
  <c r="C225" i="1"/>
  <c r="C226" i="1"/>
  <c r="C227" i="1"/>
  <c r="C228" i="1"/>
  <c r="C229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88" i="1"/>
  <c r="C289" i="1"/>
  <c r="C290" i="1"/>
  <c r="C291" i="1"/>
  <c r="C292" i="1"/>
  <c r="C293" i="1"/>
  <c r="C294" i="1"/>
  <c r="C295" i="1"/>
  <c r="C297" i="1"/>
  <c r="C298" i="1"/>
  <c r="C299" i="1"/>
  <c r="C300" i="1"/>
  <c r="C301" i="1"/>
  <c r="C302" i="1"/>
  <c r="C303" i="1"/>
  <c r="C309" i="1"/>
  <c r="C310" i="1"/>
  <c r="C311" i="1"/>
  <c r="C312" i="1"/>
  <c r="C313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40" i="1"/>
  <c r="C341" i="1"/>
  <c r="C342" i="1"/>
  <c r="C343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71" i="1"/>
  <c r="F365" i="1"/>
  <c r="F371" i="1"/>
  <c r="E365" i="1"/>
  <c r="E371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G357" i="2"/>
  <c r="E350" i="1"/>
  <c r="F350" i="1"/>
  <c r="N356" i="3"/>
  <c r="N355" i="3"/>
  <c r="N354" i="3"/>
  <c r="N353" i="3"/>
  <c r="G354" i="2"/>
  <c r="G355" i="2"/>
  <c r="G356" i="2"/>
  <c r="G353" i="2"/>
  <c r="F341" i="1"/>
  <c r="F342" i="1"/>
  <c r="F343" i="1"/>
  <c r="E341" i="1"/>
  <c r="E342" i="1"/>
  <c r="E343" i="1"/>
  <c r="N352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36" i="3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F325" i="1"/>
  <c r="F326" i="1"/>
  <c r="F327" i="1"/>
  <c r="F328" i="1"/>
  <c r="F329" i="1"/>
  <c r="F330" i="1"/>
  <c r="F331" i="1"/>
  <c r="F332" i="1"/>
  <c r="F333" i="1"/>
  <c r="F334" i="1"/>
  <c r="F340" i="1"/>
  <c r="E325" i="1"/>
  <c r="E326" i="1"/>
  <c r="E327" i="1"/>
  <c r="E328" i="1"/>
  <c r="E329" i="1"/>
  <c r="E330" i="1"/>
  <c r="E331" i="1"/>
  <c r="E332" i="1"/>
  <c r="E333" i="1"/>
  <c r="E334" i="1"/>
  <c r="E340" i="1"/>
  <c r="F310" i="1"/>
  <c r="F311" i="1"/>
  <c r="F312" i="1"/>
  <c r="F313" i="1"/>
  <c r="F323" i="1"/>
  <c r="F324" i="1"/>
  <c r="E310" i="1"/>
  <c r="E311" i="1"/>
  <c r="E312" i="1"/>
  <c r="E313" i="1"/>
  <c r="E323" i="1"/>
  <c r="E324" i="1"/>
  <c r="E309" i="1"/>
  <c r="F309" i="1"/>
  <c r="N335" i="3"/>
  <c r="N334" i="3"/>
  <c r="N333" i="3"/>
  <c r="N332" i="3"/>
  <c r="N331" i="3"/>
  <c r="N330" i="3"/>
  <c r="N329" i="3"/>
  <c r="F298" i="1"/>
  <c r="F299" i="1"/>
  <c r="F300" i="1"/>
  <c r="F301" i="1"/>
  <c r="F302" i="1"/>
  <c r="F303" i="1"/>
  <c r="E298" i="1"/>
  <c r="E299" i="1"/>
  <c r="E300" i="1"/>
  <c r="E301" i="1"/>
  <c r="E302" i="1"/>
  <c r="E303" i="1"/>
  <c r="N328" i="3"/>
  <c r="N327" i="3"/>
  <c r="N326" i="3"/>
  <c r="N325" i="3"/>
  <c r="N324" i="3"/>
  <c r="N323" i="3"/>
  <c r="N322" i="3"/>
  <c r="N321" i="3"/>
  <c r="F290" i="1"/>
  <c r="F291" i="1"/>
  <c r="F292" i="1"/>
  <c r="F293" i="1"/>
  <c r="F294" i="1"/>
  <c r="F295" i="1"/>
  <c r="F297" i="1"/>
  <c r="E290" i="1"/>
  <c r="E291" i="1"/>
  <c r="E292" i="1"/>
  <c r="E293" i="1"/>
  <c r="E294" i="1"/>
  <c r="E295" i="1"/>
  <c r="E297" i="1"/>
  <c r="E289" i="1"/>
  <c r="F289" i="1"/>
  <c r="N320" i="3" l="1"/>
  <c r="N319" i="3"/>
  <c r="N318" i="3"/>
  <c r="N317" i="3"/>
  <c r="N316" i="3"/>
  <c r="N315" i="3"/>
  <c r="N314" i="3"/>
  <c r="N313" i="3"/>
  <c r="N312" i="3"/>
  <c r="N311" i="3"/>
  <c r="N310" i="3"/>
  <c r="F265" i="1"/>
  <c r="F266" i="1"/>
  <c r="F267" i="1"/>
  <c r="F268" i="1"/>
  <c r="F269" i="1"/>
  <c r="F270" i="1"/>
  <c r="F271" i="1"/>
  <c r="F272" i="1"/>
  <c r="F273" i="1"/>
  <c r="F274" i="1"/>
  <c r="F275" i="1"/>
  <c r="F288" i="1"/>
  <c r="E265" i="1"/>
  <c r="E266" i="1"/>
  <c r="E267" i="1"/>
  <c r="E268" i="1"/>
  <c r="E269" i="1"/>
  <c r="E270" i="1"/>
  <c r="E271" i="1"/>
  <c r="E272" i="1"/>
  <c r="E273" i="1"/>
  <c r="E274" i="1"/>
  <c r="E275" i="1"/>
  <c r="E288" i="1"/>
  <c r="N309" i="3"/>
  <c r="N308" i="3"/>
  <c r="N307" i="3"/>
  <c r="N306" i="3"/>
  <c r="F261" i="1"/>
  <c r="F262" i="1"/>
  <c r="F263" i="1"/>
  <c r="F264" i="1"/>
  <c r="E261" i="1"/>
  <c r="E262" i="1"/>
  <c r="E263" i="1"/>
  <c r="E264" i="1"/>
  <c r="N305" i="3"/>
  <c r="N304" i="3"/>
  <c r="N303" i="3"/>
  <c r="N302" i="3"/>
  <c r="N301" i="3"/>
  <c r="N300" i="3"/>
  <c r="N299" i="3"/>
  <c r="N298" i="3"/>
  <c r="N297" i="3"/>
  <c r="N296" i="3"/>
  <c r="N295" i="3"/>
  <c r="N294" i="3"/>
  <c r="N293" i="3"/>
  <c r="N292" i="3"/>
  <c r="N291" i="3"/>
  <c r="N290" i="3"/>
  <c r="N289" i="3"/>
  <c r="N288" i="3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N287" i="3"/>
  <c r="N286" i="3"/>
  <c r="N285" i="3"/>
  <c r="N284" i="3"/>
  <c r="N283" i="3"/>
  <c r="N282" i="3"/>
  <c r="N281" i="3"/>
  <c r="F223" i="1"/>
  <c r="F224" i="1"/>
  <c r="F225" i="1"/>
  <c r="F226" i="1"/>
  <c r="F227" i="1"/>
  <c r="F228" i="1"/>
  <c r="F229" i="1"/>
  <c r="E223" i="1"/>
  <c r="E224" i="1"/>
  <c r="E225" i="1"/>
  <c r="E226" i="1"/>
  <c r="E227" i="1"/>
  <c r="E228" i="1"/>
  <c r="E229" i="1"/>
  <c r="N280" i="3"/>
  <c r="N279" i="3"/>
  <c r="N278" i="3"/>
  <c r="N277" i="3"/>
  <c r="N276" i="3"/>
  <c r="F214" i="1"/>
  <c r="F215" i="1"/>
  <c r="F216" i="1"/>
  <c r="F217" i="1"/>
  <c r="F218" i="1"/>
  <c r="E214" i="1"/>
  <c r="E215" i="1"/>
  <c r="E216" i="1"/>
  <c r="E217" i="1"/>
  <c r="E218" i="1"/>
  <c r="N275" i="3"/>
  <c r="N274" i="3"/>
  <c r="N273" i="3"/>
  <c r="F206" i="1"/>
  <c r="E206" i="1"/>
  <c r="N272" i="3"/>
  <c r="N271" i="3"/>
  <c r="N270" i="3"/>
  <c r="N269" i="3"/>
  <c r="N268" i="3"/>
  <c r="N267" i="3"/>
  <c r="N266" i="3"/>
  <c r="N265" i="3"/>
  <c r="N264" i="3"/>
  <c r="N263" i="3"/>
  <c r="N262" i="3"/>
  <c r="N261" i="3"/>
  <c r="N260" i="3"/>
  <c r="F193" i="1" l="1"/>
  <c r="F194" i="1"/>
  <c r="F195" i="1"/>
  <c r="F196" i="1"/>
  <c r="F197" i="1"/>
  <c r="F198" i="1"/>
  <c r="F199" i="1"/>
  <c r="F200" i="1"/>
  <c r="F201" i="1"/>
  <c r="F202" i="1"/>
  <c r="F203" i="1"/>
  <c r="F204" i="1"/>
  <c r="F205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N259" i="3"/>
  <c r="N258" i="3"/>
  <c r="F187" i="1"/>
  <c r="F188" i="1"/>
  <c r="F191" i="1"/>
  <c r="F192" i="1"/>
  <c r="E187" i="1"/>
  <c r="E188" i="1"/>
  <c r="E191" i="1"/>
  <c r="E192" i="1"/>
  <c r="N257" i="3"/>
  <c r="N256" i="3"/>
  <c r="N255" i="3"/>
  <c r="N254" i="3"/>
  <c r="N253" i="3"/>
  <c r="N252" i="3"/>
  <c r="N251" i="3"/>
  <c r="N250" i="3"/>
  <c r="N249" i="3"/>
  <c r="N248" i="3"/>
  <c r="N247" i="3"/>
  <c r="N246" i="3"/>
  <c r="N245" i="3"/>
  <c r="N244" i="3"/>
  <c r="N243" i="3"/>
  <c r="N242" i="3"/>
  <c r="N241" i="3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71" i="1"/>
  <c r="F171" i="1"/>
  <c r="E170" i="1"/>
  <c r="F170" i="1"/>
  <c r="N240" i="3"/>
  <c r="N239" i="3"/>
  <c r="N238" i="3"/>
  <c r="N237" i="3"/>
  <c r="N236" i="3"/>
  <c r="N235" i="3"/>
  <c r="N234" i="3"/>
  <c r="N233" i="3"/>
  <c r="N232" i="3"/>
  <c r="N231" i="3"/>
  <c r="N230" i="3"/>
  <c r="N229" i="3"/>
  <c r="N228" i="3"/>
  <c r="N227" i="3"/>
  <c r="N226" i="3"/>
  <c r="F161" i="1"/>
  <c r="F162" i="1"/>
  <c r="F163" i="1"/>
  <c r="F164" i="1"/>
  <c r="F165" i="1"/>
  <c r="F166" i="1"/>
  <c r="F167" i="1"/>
  <c r="F168" i="1"/>
  <c r="F169" i="1"/>
  <c r="E161" i="1"/>
  <c r="E162" i="1"/>
  <c r="E163" i="1"/>
  <c r="E164" i="1"/>
  <c r="E165" i="1"/>
  <c r="E166" i="1"/>
  <c r="E167" i="1"/>
  <c r="E168" i="1"/>
  <c r="E169" i="1"/>
  <c r="N225" i="3"/>
  <c r="N224" i="3"/>
  <c r="N223" i="3"/>
  <c r="N222" i="3"/>
  <c r="N221" i="3"/>
  <c r="N220" i="3"/>
  <c r="N219" i="3"/>
  <c r="N218" i="3"/>
  <c r="F151" i="1"/>
  <c r="F152" i="1"/>
  <c r="F153" i="1"/>
  <c r="F154" i="1"/>
  <c r="F155" i="1"/>
  <c r="F156" i="1"/>
  <c r="F157" i="1"/>
  <c r="F158" i="1"/>
  <c r="F159" i="1"/>
  <c r="F160" i="1"/>
  <c r="E151" i="1"/>
  <c r="E152" i="1"/>
  <c r="E153" i="1"/>
  <c r="E154" i="1"/>
  <c r="E155" i="1"/>
  <c r="E156" i="1"/>
  <c r="E157" i="1"/>
  <c r="E158" i="1"/>
  <c r="E159" i="1"/>
  <c r="E160" i="1"/>
  <c r="N217" i="3"/>
  <c r="N216" i="3"/>
  <c r="N215" i="3"/>
  <c r="N214" i="3"/>
  <c r="N213" i="3"/>
  <c r="N212" i="3"/>
  <c r="F141" i="1" l="1"/>
  <c r="F142" i="1"/>
  <c r="F143" i="1"/>
  <c r="F144" i="1"/>
  <c r="F145" i="1"/>
  <c r="F146" i="1"/>
  <c r="F147" i="1"/>
  <c r="F148" i="1"/>
  <c r="F149" i="1"/>
  <c r="F150" i="1"/>
  <c r="E141" i="1"/>
  <c r="E142" i="1"/>
  <c r="E143" i="1"/>
  <c r="E144" i="1"/>
  <c r="E145" i="1"/>
  <c r="E146" i="1"/>
  <c r="E147" i="1"/>
  <c r="E148" i="1"/>
  <c r="E149" i="1"/>
  <c r="E150" i="1"/>
  <c r="N202" i="3"/>
  <c r="N203" i="3"/>
  <c r="N204" i="3"/>
  <c r="N205" i="3"/>
  <c r="N206" i="3"/>
  <c r="N207" i="3"/>
  <c r="N208" i="3"/>
  <c r="N209" i="3"/>
  <c r="N210" i="3"/>
  <c r="N211" i="3"/>
  <c r="F131" i="1"/>
  <c r="F132" i="1"/>
  <c r="F133" i="1"/>
  <c r="F134" i="1"/>
  <c r="F135" i="1"/>
  <c r="F136" i="1"/>
  <c r="F137" i="1"/>
  <c r="F138" i="1"/>
  <c r="F139" i="1"/>
  <c r="F140" i="1"/>
  <c r="E131" i="1"/>
  <c r="E132" i="1"/>
  <c r="E133" i="1"/>
  <c r="E134" i="1"/>
  <c r="E135" i="1"/>
  <c r="E136" i="1"/>
  <c r="E137" i="1"/>
  <c r="E138" i="1"/>
  <c r="E139" i="1"/>
  <c r="E140" i="1"/>
  <c r="N167" i="3" l="1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165" i="3"/>
  <c r="N164" i="3"/>
  <c r="N163" i="3"/>
  <c r="N162" i="3"/>
  <c r="N161" i="3"/>
  <c r="N160" i="3"/>
  <c r="N159" i="3"/>
  <c r="N158" i="3"/>
  <c r="N157" i="3"/>
  <c r="N156" i="3" l="1"/>
  <c r="N155" i="3"/>
  <c r="N154" i="3"/>
  <c r="N152" i="3"/>
  <c r="N151" i="3"/>
  <c r="N150" i="3"/>
  <c r="N149" i="3"/>
  <c r="N148" i="3"/>
  <c r="N147" i="3"/>
  <c r="N146" i="3"/>
  <c r="N145" i="3"/>
  <c r="N144" i="3"/>
  <c r="N143" i="3"/>
  <c r="N142" i="3"/>
  <c r="N141" i="3" l="1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5" i="3"/>
  <c r="N104" i="3"/>
  <c r="N103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N102" i="3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8" i="1"/>
  <c r="F109" i="1"/>
  <c r="F110" i="1"/>
  <c r="F111" i="1"/>
  <c r="F112" i="1"/>
  <c r="F113" i="1"/>
  <c r="F114" i="1"/>
  <c r="F115" i="1"/>
  <c r="F116" i="1"/>
  <c r="F124" i="1"/>
  <c r="F125" i="1"/>
  <c r="F126" i="1"/>
  <c r="F127" i="1"/>
  <c r="F128" i="1"/>
  <c r="F129" i="1"/>
  <c r="F130" i="1"/>
  <c r="F107" i="1"/>
  <c r="F117" i="1"/>
  <c r="F118" i="1"/>
  <c r="F119" i="1"/>
  <c r="F120" i="1"/>
  <c r="F121" i="1"/>
  <c r="F122" i="1"/>
  <c r="F123" i="1"/>
  <c r="F189" i="1"/>
  <c r="F190" i="1"/>
  <c r="F207" i="1"/>
  <c r="F208" i="1"/>
  <c r="F209" i="1"/>
  <c r="F210" i="1"/>
  <c r="F211" i="1"/>
  <c r="F212" i="1"/>
  <c r="F213" i="1"/>
  <c r="F219" i="1"/>
  <c r="F220" i="1"/>
  <c r="F221" i="1"/>
  <c r="F222" i="1"/>
  <c r="F230" i="1"/>
  <c r="F231" i="1"/>
  <c r="F250" i="1"/>
  <c r="F251" i="1"/>
  <c r="F252" i="1"/>
  <c r="F253" i="1"/>
  <c r="F254" i="1"/>
  <c r="F255" i="1"/>
  <c r="F256" i="1"/>
  <c r="F257" i="1"/>
  <c r="F258" i="1"/>
  <c r="F259" i="1"/>
  <c r="F260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96" i="1"/>
  <c r="F304" i="1"/>
  <c r="F305" i="1"/>
  <c r="F306" i="1"/>
  <c r="F307" i="1"/>
  <c r="F308" i="1"/>
  <c r="F314" i="1"/>
  <c r="F315" i="1"/>
  <c r="F316" i="1"/>
  <c r="F317" i="1"/>
  <c r="F318" i="1"/>
  <c r="F319" i="1"/>
  <c r="F320" i="1"/>
  <c r="F321" i="1"/>
  <c r="F322" i="1"/>
  <c r="F335" i="1"/>
  <c r="F336" i="1"/>
  <c r="F337" i="1"/>
  <c r="F338" i="1"/>
  <c r="F339" i="1"/>
  <c r="F344" i="1"/>
  <c r="F345" i="1"/>
  <c r="F346" i="1"/>
  <c r="F347" i="1"/>
  <c r="F348" i="1"/>
  <c r="F349" i="1"/>
  <c r="F366" i="1"/>
  <c r="F367" i="1"/>
  <c r="F368" i="1"/>
  <c r="F369" i="1"/>
  <c r="F370" i="1"/>
  <c r="F386" i="1"/>
  <c r="F38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8" i="1"/>
  <c r="E109" i="1"/>
  <c r="E110" i="1"/>
  <c r="E111" i="1"/>
  <c r="E112" i="1"/>
  <c r="E113" i="1"/>
  <c r="E114" i="1"/>
  <c r="E115" i="1"/>
  <c r="E116" i="1"/>
  <c r="E124" i="1"/>
  <c r="E125" i="1"/>
  <c r="E126" i="1"/>
  <c r="E127" i="1"/>
  <c r="E128" i="1"/>
  <c r="E129" i="1"/>
  <c r="E130" i="1"/>
  <c r="E107" i="1"/>
  <c r="E117" i="1"/>
  <c r="E118" i="1"/>
  <c r="E119" i="1"/>
  <c r="E120" i="1"/>
  <c r="E121" i="1"/>
  <c r="E122" i="1"/>
  <c r="E123" i="1"/>
  <c r="E189" i="1"/>
  <c r="E190" i="1"/>
  <c r="E207" i="1"/>
  <c r="E208" i="1"/>
  <c r="E209" i="1"/>
  <c r="E210" i="1"/>
  <c r="E211" i="1"/>
  <c r="E212" i="1"/>
  <c r="E213" i="1"/>
  <c r="E219" i="1"/>
  <c r="E220" i="1"/>
  <c r="E221" i="1"/>
  <c r="E222" i="1"/>
  <c r="E230" i="1"/>
  <c r="E231" i="1"/>
  <c r="E250" i="1"/>
  <c r="E251" i="1"/>
  <c r="E252" i="1"/>
  <c r="E253" i="1"/>
  <c r="E254" i="1"/>
  <c r="E255" i="1"/>
  <c r="E256" i="1"/>
  <c r="E257" i="1"/>
  <c r="E258" i="1"/>
  <c r="E259" i="1"/>
  <c r="E260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96" i="1"/>
  <c r="E304" i="1"/>
  <c r="E305" i="1"/>
  <c r="E306" i="1"/>
  <c r="E307" i="1"/>
  <c r="E308" i="1"/>
  <c r="E314" i="1"/>
  <c r="E315" i="1"/>
  <c r="E316" i="1"/>
  <c r="E317" i="1"/>
  <c r="E318" i="1"/>
  <c r="E319" i="1"/>
  <c r="E320" i="1"/>
  <c r="E321" i="1"/>
  <c r="E322" i="1"/>
  <c r="E335" i="1"/>
  <c r="E336" i="1"/>
  <c r="E337" i="1"/>
  <c r="E338" i="1"/>
  <c r="E339" i="1"/>
  <c r="E344" i="1"/>
  <c r="E345" i="1"/>
  <c r="E346" i="1"/>
  <c r="E347" i="1"/>
  <c r="E348" i="1"/>
  <c r="E349" i="1"/>
  <c r="E366" i="1"/>
  <c r="E367" i="1"/>
  <c r="E368" i="1"/>
  <c r="E369" i="1"/>
  <c r="E370" i="1"/>
  <c r="E386" i="1"/>
  <c r="E38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2" i="3"/>
  <c r="C2" i="1" l="1"/>
</calcChain>
</file>

<file path=xl/sharedStrings.xml><?xml version="1.0" encoding="utf-8"?>
<sst xmlns="http://schemas.openxmlformats.org/spreadsheetml/2006/main" count="1743" uniqueCount="158">
  <si>
    <t>ID_viagem</t>
  </si>
  <si>
    <t>Data</t>
  </si>
  <si>
    <t>Dia_da_Semana</t>
  </si>
  <si>
    <t>Horário</t>
  </si>
  <si>
    <t>ID_local</t>
  </si>
  <si>
    <t>ID_valor</t>
  </si>
  <si>
    <t>ID_Pagamento</t>
  </si>
  <si>
    <t>ID_Carro</t>
  </si>
  <si>
    <t>ID_Motorista</t>
  </si>
  <si>
    <t>ID_Aplicativo</t>
  </si>
  <si>
    <t>Duração_min</t>
  </si>
  <si>
    <t>Municipio_Embarque</t>
  </si>
  <si>
    <t>Bairro_Embarque</t>
  </si>
  <si>
    <t>Municipio_Desembarque</t>
  </si>
  <si>
    <t>Bairro_Desembarque</t>
  </si>
  <si>
    <t>Distância_Corrida(KM)</t>
  </si>
  <si>
    <t>Distância_Embarque(KM)</t>
  </si>
  <si>
    <t>Preço_Dinamico</t>
  </si>
  <si>
    <t>Turbo+</t>
  </si>
  <si>
    <t>PG_Usuario</t>
  </si>
  <si>
    <t>Promo_Usuario</t>
  </si>
  <si>
    <t>ID</t>
  </si>
  <si>
    <t>Nome</t>
  </si>
  <si>
    <t>Uber</t>
  </si>
  <si>
    <t>Indriver</t>
  </si>
  <si>
    <t>Particular</t>
  </si>
  <si>
    <t>1</t>
  </si>
  <si>
    <t>Renan</t>
  </si>
  <si>
    <t>Ano</t>
  </si>
  <si>
    <t>Modelo</t>
  </si>
  <si>
    <t>Marca</t>
  </si>
  <si>
    <t>Rendimento_Etanol(km/L)</t>
  </si>
  <si>
    <t>Rendimento_Gasolina(km/L)</t>
  </si>
  <si>
    <t>Abastecimento</t>
  </si>
  <si>
    <t>KA SE</t>
  </si>
  <si>
    <t>Ford</t>
  </si>
  <si>
    <t>Flex</t>
  </si>
  <si>
    <t>Tipo</t>
  </si>
  <si>
    <t>Dinheiro</t>
  </si>
  <si>
    <t>Cartão</t>
  </si>
  <si>
    <t>Ajuste</t>
  </si>
  <si>
    <t>Cancelamento</t>
  </si>
  <si>
    <t>Missão</t>
  </si>
  <si>
    <t>Idade(anos)</t>
  </si>
  <si>
    <t>Niterói</t>
  </si>
  <si>
    <t>DSC_App</t>
  </si>
  <si>
    <t>Centro</t>
  </si>
  <si>
    <t>São Gonçalo</t>
  </si>
  <si>
    <t>Galo Branco</t>
  </si>
  <si>
    <t>Estrela do Norte</t>
  </si>
  <si>
    <t>Coelho</t>
  </si>
  <si>
    <t>Alcântara</t>
  </si>
  <si>
    <t>Vista Alegre</t>
  </si>
  <si>
    <t>Maria Paula</t>
  </si>
  <si>
    <t>Colubandê</t>
  </si>
  <si>
    <t>%_Pago_App</t>
  </si>
  <si>
    <t>Maricá</t>
  </si>
  <si>
    <t>Araçatiba</t>
  </si>
  <si>
    <t>Trindade</t>
  </si>
  <si>
    <t>Mutondo</t>
  </si>
  <si>
    <t>São Miguel</t>
  </si>
  <si>
    <t>Ititioca</t>
  </si>
  <si>
    <t>Fonseca</t>
  </si>
  <si>
    <t>Lindo Parque</t>
  </si>
  <si>
    <t>Sete Pontes</t>
  </si>
  <si>
    <t>Camarão</t>
  </si>
  <si>
    <t>Zé Garoto</t>
  </si>
  <si>
    <t>Porto Novo</t>
  </si>
  <si>
    <t>Vila Lage</t>
  </si>
  <si>
    <t>Porto Velho</t>
  </si>
  <si>
    <t>Patronato</t>
  </si>
  <si>
    <t>Rocha</t>
  </si>
  <si>
    <t>Santa Rosa</t>
  </si>
  <si>
    <t>Jardim Catarina</t>
  </si>
  <si>
    <t>Icaraí</t>
  </si>
  <si>
    <t>Pita</t>
  </si>
  <si>
    <t>Venda da Cruz</t>
  </si>
  <si>
    <t>Barro Vermelho</t>
  </si>
  <si>
    <t>Vital Brasil</t>
  </si>
  <si>
    <t>Barreto</t>
  </si>
  <si>
    <t>Engenho Pequeno</t>
  </si>
  <si>
    <t>Santa Catarina</t>
  </si>
  <si>
    <t>Itaboraí</t>
  </si>
  <si>
    <t>Ampliação</t>
  </si>
  <si>
    <t>Retiro São Joaquim</t>
  </si>
  <si>
    <t>Amendoeira</t>
  </si>
  <si>
    <t>Cubango</t>
  </si>
  <si>
    <t>Charitas</t>
  </si>
  <si>
    <t>Prioridade</t>
  </si>
  <si>
    <t>Tx_Espera</t>
  </si>
  <si>
    <t>Tx_Deslocamento</t>
  </si>
  <si>
    <t>Engenhoca</t>
  </si>
  <si>
    <t>Boa Vista</t>
  </si>
  <si>
    <t>Itaipu</t>
  </si>
  <si>
    <t>Baldeador</t>
  </si>
  <si>
    <t>Santa Barbara</t>
  </si>
  <si>
    <t>Largo do Barradas</t>
  </si>
  <si>
    <t>Tribobó</t>
  </si>
  <si>
    <t>Ponta D'areia</t>
  </si>
  <si>
    <t>Covanca</t>
  </si>
  <si>
    <t>Sapê</t>
  </si>
  <si>
    <t>Jardim Alcântara</t>
  </si>
  <si>
    <t>Porto da Madama</t>
  </si>
  <si>
    <t>Paraíso</t>
  </si>
  <si>
    <t>Brasilândia</t>
  </si>
  <si>
    <t>Largo da Batalha</t>
  </si>
  <si>
    <t>Maceio</t>
  </si>
  <si>
    <t>Cantagalo</t>
  </si>
  <si>
    <t>Piratininga</t>
  </si>
  <si>
    <t>Laranjal</t>
  </si>
  <si>
    <t>Miriambi</t>
  </si>
  <si>
    <t>Arsenal</t>
  </si>
  <si>
    <t>Morro do Estado</t>
  </si>
  <si>
    <t>São Domingos</t>
  </si>
  <si>
    <t>São Francisco</t>
  </si>
  <si>
    <t>Ingá</t>
  </si>
  <si>
    <t>Caramujo</t>
  </si>
  <si>
    <t>Raul Veiga</t>
  </si>
  <si>
    <t>Vila Três</t>
  </si>
  <si>
    <t>$_extra</t>
  </si>
  <si>
    <t>São Lourenço</t>
  </si>
  <si>
    <t>Monjolo</t>
  </si>
  <si>
    <t>Nova Cidade</t>
  </si>
  <si>
    <t>Mutuá</t>
  </si>
  <si>
    <t>Porto da Pedra</t>
  </si>
  <si>
    <t>Boaçu</t>
  </si>
  <si>
    <t>Mutua</t>
  </si>
  <si>
    <t>Neves</t>
  </si>
  <si>
    <t>Santana</t>
  </si>
  <si>
    <t>Almerinda</t>
  </si>
  <si>
    <t>PG_Base</t>
  </si>
  <si>
    <t>Jardim California</t>
  </si>
  <si>
    <t>Roca</t>
  </si>
  <si>
    <t>Antonina</t>
  </si>
  <si>
    <t>Maceió</t>
  </si>
  <si>
    <t>Ten. Jardim</t>
  </si>
  <si>
    <t>Monjolos</t>
  </si>
  <si>
    <t>Gradim</t>
  </si>
  <si>
    <t>Brasilandia</t>
  </si>
  <si>
    <t>Mumbuca</t>
  </si>
  <si>
    <t>Zacarias</t>
  </si>
  <si>
    <t>Itapeba</t>
  </si>
  <si>
    <t>Marica</t>
  </si>
  <si>
    <t>Marambaia</t>
  </si>
  <si>
    <t>Ipiiba</t>
  </si>
  <si>
    <t>Rio do Ouro</t>
  </si>
  <si>
    <t>Anaia Pequeno</t>
  </si>
  <si>
    <t>Boa Viagem</t>
  </si>
  <si>
    <t>Fatima</t>
  </si>
  <si>
    <t>Santa Luzia</t>
  </si>
  <si>
    <t>Itaborai</t>
  </si>
  <si>
    <t>Manilha</t>
  </si>
  <si>
    <t>Ilha da Conceição</t>
  </si>
  <si>
    <t>Matapaca</t>
  </si>
  <si>
    <t>Pendotiba</t>
  </si>
  <si>
    <t>Morro do Castro</t>
  </si>
  <si>
    <t>Tx_Reserva</t>
  </si>
  <si>
    <t>Lagoinha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</si>
</sst>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1F1F1F"/>
      <name val="Times New Roman"/>
      <family val="1"/>
    </font>
    <font>
      <sz val="11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4" fontId="2" fillId="0" borderId="1" xfId="0" applyNumberFormat="1" applyFont="1" applyBorder="1" applyAlignment="1" applyProtection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</xf>
    <xf numFmtId="49" fontId="5" fillId="0" borderId="1" xfId="0" applyNumberFormat="1" applyFont="1" applyBorder="1" applyAlignment="1" applyProtection="1">
      <alignment horizontal="center" vertical="center"/>
    </xf>
    <xf numFmtId="49" fontId="4" fillId="0" borderId="1" xfId="0" applyNumberFormat="1" applyFont="1" applyBorder="1" applyAlignment="1" applyProtection="1">
      <alignment horizontal="center" vertical="center"/>
    </xf>
    <xf numFmtId="2" fontId="4" fillId="0" borderId="1" xfId="0" applyNumberFormat="1" applyFont="1" applyBorder="1" applyAlignment="1" applyProtection="1">
      <alignment horizontal="center" vertical="center"/>
    </xf>
    <xf numFmtId="0" fontId="0" fillId="0" borderId="1" xfId="0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Font="1" applyBorder="1" applyAlignment="1">
      <alignment horizontal="center" vertical="center"/>
    </xf>
    <xf numFmtId="165" fontId="0" fillId="0" borderId="1" xfId="0" applyNumberFormat="1" applyFont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10" fontId="4" fillId="0" borderId="1" xfId="1" applyNumberFormat="1" applyFont="1" applyBorder="1" applyAlignment="1" applyProtection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8472-2685-40D3-824E-FED05F46CE0E}">
  <dimension ref="A1:K501"/>
  <sheetViews>
    <sheetView tabSelected="1" workbookViewId="0">
      <pane ySplit="1" topLeftCell="A420" activePane="bottomLeft" state="frozen"/>
      <selection pane="bottomLeft" activeCell="F437" sqref="F437:F501"/>
    </sheetView>
  </sheetViews>
  <sheetFormatPr defaultRowHeight="15" x14ac:dyDescent="0.25"/>
  <cols>
    <col min="1" max="1" width="10.42578125" style="13" bestFit="1" customWidth="1"/>
    <col min="2" max="2" width="10.7109375" style="13" bestFit="1" customWidth="1"/>
    <col min="3" max="3" width="15.140625" style="13" bestFit="1" customWidth="1"/>
    <col min="4" max="4" width="12" style="20" bestFit="1" customWidth="1"/>
    <col min="5" max="5" width="8.28515625" style="13" bestFit="1" customWidth="1"/>
    <col min="6" max="6" width="8.5703125" style="13" bestFit="1" customWidth="1"/>
    <col min="7" max="7" width="14" style="13" bestFit="1" customWidth="1"/>
    <col min="8" max="8" width="9.28515625" style="13" bestFit="1" customWidth="1"/>
    <col min="9" max="9" width="12.42578125" style="13" bestFit="1" customWidth="1"/>
    <col min="10" max="10" width="12.85546875" style="13" bestFit="1" customWidth="1"/>
    <col min="11" max="11" width="12.42578125" style="19" bestFit="1" customWidth="1"/>
    <col min="12" max="16384" width="9.140625" style="13"/>
  </cols>
  <sheetData>
    <row r="1" spans="1:11" s="17" customForma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25">
      <c r="A2" s="13">
        <v>1</v>
      </c>
      <c r="B2" s="14">
        <v>45871</v>
      </c>
      <c r="C2" s="13" t="str">
        <f t="shared" ref="C2:C65" si="0">PROPER(TEXT(WEEKDAY(B2),"dddd"))</f>
        <v>Sábado</v>
      </c>
      <c r="D2" s="20">
        <v>0.41944444444444445</v>
      </c>
      <c r="E2" s="13">
        <f t="shared" ref="E2:E65" si="1">A2</f>
        <v>1</v>
      </c>
      <c r="F2" s="13">
        <f t="shared" ref="F2:F65" si="2">A2</f>
        <v>1</v>
      </c>
      <c r="G2" s="13">
        <v>1</v>
      </c>
      <c r="H2" s="13">
        <v>1</v>
      </c>
      <c r="I2" s="13">
        <v>1</v>
      </c>
      <c r="J2" s="13">
        <v>2</v>
      </c>
      <c r="K2" s="19">
        <v>6.75</v>
      </c>
    </row>
    <row r="3" spans="1:11" x14ac:dyDescent="0.25">
      <c r="A3" s="13">
        <v>81</v>
      </c>
      <c r="B3" s="14">
        <v>45871</v>
      </c>
      <c r="C3" s="13" t="str">
        <f t="shared" si="0"/>
        <v>Sábado</v>
      </c>
      <c r="D3" s="20">
        <v>0.36527777777777781</v>
      </c>
      <c r="E3" s="13">
        <f t="shared" si="1"/>
        <v>81</v>
      </c>
      <c r="F3" s="13">
        <f t="shared" si="2"/>
        <v>81</v>
      </c>
      <c r="G3" s="13">
        <v>2</v>
      </c>
      <c r="H3" s="13">
        <v>1</v>
      </c>
      <c r="I3" s="13">
        <v>1</v>
      </c>
      <c r="J3" s="13">
        <v>1</v>
      </c>
      <c r="K3" s="19">
        <v>32.950000000000003</v>
      </c>
    </row>
    <row r="4" spans="1:11" x14ac:dyDescent="0.25">
      <c r="A4" s="13">
        <v>82</v>
      </c>
      <c r="B4" s="14">
        <v>45871</v>
      </c>
      <c r="C4" s="13" t="str">
        <f t="shared" si="0"/>
        <v>Sábado</v>
      </c>
      <c r="D4" s="20">
        <v>0.39444444444444443</v>
      </c>
      <c r="E4" s="13">
        <f t="shared" si="1"/>
        <v>82</v>
      </c>
      <c r="F4" s="13">
        <f t="shared" si="2"/>
        <v>82</v>
      </c>
      <c r="G4" s="13">
        <v>2</v>
      </c>
      <c r="H4" s="13">
        <v>1</v>
      </c>
      <c r="I4" s="13">
        <v>1</v>
      </c>
      <c r="J4" s="13">
        <v>1</v>
      </c>
      <c r="K4" s="19">
        <v>10</v>
      </c>
    </row>
    <row r="5" spans="1:11" x14ac:dyDescent="0.25">
      <c r="A5" s="13">
        <v>83</v>
      </c>
      <c r="B5" s="14">
        <v>45871</v>
      </c>
      <c r="C5" s="13" t="str">
        <f t="shared" si="0"/>
        <v>Sábado</v>
      </c>
      <c r="D5" s="20">
        <v>0.4069444444444445</v>
      </c>
      <c r="E5" s="13">
        <f t="shared" si="1"/>
        <v>83</v>
      </c>
      <c r="F5" s="13">
        <f t="shared" si="2"/>
        <v>83</v>
      </c>
      <c r="G5" s="13">
        <v>2</v>
      </c>
      <c r="H5" s="13">
        <v>1</v>
      </c>
      <c r="I5" s="13">
        <v>1</v>
      </c>
      <c r="J5" s="13">
        <v>1</v>
      </c>
      <c r="K5" s="19">
        <v>3.2</v>
      </c>
    </row>
    <row r="6" spans="1:11" x14ac:dyDescent="0.25">
      <c r="A6" s="13">
        <v>84</v>
      </c>
      <c r="B6" s="14">
        <v>45871</v>
      </c>
      <c r="C6" s="13" t="str">
        <f t="shared" si="0"/>
        <v>Sábado</v>
      </c>
      <c r="D6" s="20">
        <v>0.4236111111111111</v>
      </c>
      <c r="E6" s="13">
        <f t="shared" si="1"/>
        <v>84</v>
      </c>
      <c r="F6" s="13">
        <f t="shared" si="2"/>
        <v>84</v>
      </c>
      <c r="G6" s="13">
        <v>1</v>
      </c>
      <c r="H6" s="13">
        <v>1</v>
      </c>
      <c r="I6" s="13">
        <v>1</v>
      </c>
      <c r="J6" s="13">
        <v>1</v>
      </c>
      <c r="K6" s="19">
        <v>9.35</v>
      </c>
    </row>
    <row r="7" spans="1:11" x14ac:dyDescent="0.25">
      <c r="A7" s="13">
        <v>85</v>
      </c>
      <c r="B7" s="14">
        <v>45871</v>
      </c>
      <c r="C7" s="13" t="str">
        <f t="shared" si="0"/>
        <v>Sábado</v>
      </c>
      <c r="D7" s="20">
        <v>0.4381944444444445</v>
      </c>
      <c r="E7" s="13">
        <f t="shared" si="1"/>
        <v>85</v>
      </c>
      <c r="F7" s="13">
        <f t="shared" si="2"/>
        <v>85</v>
      </c>
      <c r="G7" s="13">
        <v>2</v>
      </c>
      <c r="H7" s="13">
        <v>1</v>
      </c>
      <c r="I7" s="13">
        <v>1</v>
      </c>
      <c r="J7" s="13">
        <v>1</v>
      </c>
      <c r="K7" s="19">
        <v>16.149999999999999</v>
      </c>
    </row>
    <row r="8" spans="1:11" x14ac:dyDescent="0.25">
      <c r="A8" s="13">
        <v>86</v>
      </c>
      <c r="B8" s="14">
        <v>45871</v>
      </c>
      <c r="C8" s="13" t="str">
        <f t="shared" si="0"/>
        <v>Sábado</v>
      </c>
      <c r="D8" s="20">
        <v>0.45</v>
      </c>
      <c r="E8" s="13">
        <f t="shared" si="1"/>
        <v>86</v>
      </c>
      <c r="F8" s="13">
        <f t="shared" si="2"/>
        <v>86</v>
      </c>
      <c r="G8" s="13">
        <v>2</v>
      </c>
      <c r="H8" s="13">
        <v>1</v>
      </c>
      <c r="I8" s="13">
        <v>1</v>
      </c>
      <c r="J8" s="13">
        <v>1</v>
      </c>
      <c r="K8" s="19">
        <v>15</v>
      </c>
    </row>
    <row r="9" spans="1:11" x14ac:dyDescent="0.25">
      <c r="A9" s="13">
        <v>87</v>
      </c>
      <c r="B9" s="14">
        <v>45871</v>
      </c>
      <c r="C9" s="13" t="str">
        <f t="shared" si="0"/>
        <v>Sábado</v>
      </c>
      <c r="D9" s="20">
        <v>0.46249999999999997</v>
      </c>
      <c r="E9" s="13">
        <f t="shared" si="1"/>
        <v>87</v>
      </c>
      <c r="F9" s="13">
        <f t="shared" si="2"/>
        <v>87</v>
      </c>
      <c r="G9" s="13">
        <v>2</v>
      </c>
      <c r="H9" s="13">
        <v>1</v>
      </c>
      <c r="I9" s="13">
        <v>1</v>
      </c>
      <c r="J9" s="13">
        <v>1</v>
      </c>
      <c r="K9" s="19">
        <v>8.5</v>
      </c>
    </row>
    <row r="10" spans="1:11" x14ac:dyDescent="0.25">
      <c r="A10" s="13">
        <v>88</v>
      </c>
      <c r="B10" s="14">
        <v>45871</v>
      </c>
      <c r="C10" s="13" t="str">
        <f t="shared" si="0"/>
        <v>Sábado</v>
      </c>
      <c r="D10" s="20">
        <v>0.47222222222222227</v>
      </c>
      <c r="E10" s="13">
        <f t="shared" si="1"/>
        <v>88</v>
      </c>
      <c r="F10" s="13">
        <f t="shared" si="2"/>
        <v>88</v>
      </c>
      <c r="G10" s="13">
        <v>2</v>
      </c>
      <c r="H10" s="13">
        <v>1</v>
      </c>
      <c r="I10" s="13">
        <v>1</v>
      </c>
      <c r="J10" s="13">
        <v>1</v>
      </c>
      <c r="K10" s="19">
        <v>11</v>
      </c>
    </row>
    <row r="11" spans="1:11" x14ac:dyDescent="0.25">
      <c r="A11" s="13">
        <v>89</v>
      </c>
      <c r="B11" s="14">
        <v>45871</v>
      </c>
      <c r="C11" s="13" t="str">
        <f t="shared" si="0"/>
        <v>Sábado</v>
      </c>
      <c r="D11" s="20">
        <v>0.4826388888888889</v>
      </c>
      <c r="E11" s="13">
        <f t="shared" si="1"/>
        <v>89</v>
      </c>
      <c r="F11" s="13">
        <f t="shared" si="2"/>
        <v>89</v>
      </c>
      <c r="G11" s="13">
        <v>2</v>
      </c>
      <c r="H11" s="13">
        <v>1</v>
      </c>
      <c r="I11" s="13">
        <v>1</v>
      </c>
      <c r="J11" s="13">
        <v>1</v>
      </c>
      <c r="K11" s="19">
        <v>30.51</v>
      </c>
    </row>
    <row r="12" spans="1:11" x14ac:dyDescent="0.25">
      <c r="A12" s="13">
        <v>90</v>
      </c>
      <c r="B12" s="14">
        <v>45871</v>
      </c>
      <c r="C12" s="13" t="str">
        <f t="shared" si="0"/>
        <v>Sábado</v>
      </c>
      <c r="D12" s="20">
        <v>0.51180555555555551</v>
      </c>
      <c r="E12" s="13">
        <f t="shared" si="1"/>
        <v>90</v>
      </c>
      <c r="F12" s="13">
        <f t="shared" si="2"/>
        <v>90</v>
      </c>
      <c r="G12" s="13">
        <v>1</v>
      </c>
      <c r="H12" s="13">
        <v>1</v>
      </c>
      <c r="I12" s="13">
        <v>1</v>
      </c>
      <c r="J12" s="13">
        <v>1</v>
      </c>
      <c r="K12" s="19">
        <v>9.4</v>
      </c>
    </row>
    <row r="13" spans="1:11" x14ac:dyDescent="0.25">
      <c r="A13" s="13">
        <v>91</v>
      </c>
      <c r="B13" s="14">
        <v>45871</v>
      </c>
      <c r="C13" s="13" t="str">
        <f t="shared" si="0"/>
        <v>Sábado</v>
      </c>
      <c r="D13" s="20">
        <v>0.53819444444444442</v>
      </c>
      <c r="E13" s="13">
        <f t="shared" si="1"/>
        <v>91</v>
      </c>
      <c r="F13" s="13">
        <f t="shared" si="2"/>
        <v>91</v>
      </c>
      <c r="G13" s="13">
        <v>2</v>
      </c>
      <c r="H13" s="13">
        <v>1</v>
      </c>
      <c r="I13" s="13">
        <v>1</v>
      </c>
      <c r="J13" s="13">
        <v>1</v>
      </c>
      <c r="K13" s="19">
        <v>15.1</v>
      </c>
    </row>
    <row r="14" spans="1:11" x14ac:dyDescent="0.25">
      <c r="A14" s="13">
        <v>92</v>
      </c>
      <c r="B14" s="14">
        <v>45871</v>
      </c>
      <c r="C14" s="13" t="str">
        <f t="shared" si="0"/>
        <v>Sábado</v>
      </c>
      <c r="D14" s="20">
        <v>0.55972222222222223</v>
      </c>
      <c r="E14" s="13">
        <f t="shared" si="1"/>
        <v>92</v>
      </c>
      <c r="F14" s="13">
        <f t="shared" si="2"/>
        <v>92</v>
      </c>
      <c r="G14" s="13">
        <v>1</v>
      </c>
      <c r="H14" s="13">
        <v>1</v>
      </c>
      <c r="I14" s="13">
        <v>1</v>
      </c>
      <c r="J14" s="13">
        <v>1</v>
      </c>
      <c r="K14" s="19">
        <v>9</v>
      </c>
    </row>
    <row r="15" spans="1:11" x14ac:dyDescent="0.25">
      <c r="A15" s="13">
        <v>93</v>
      </c>
      <c r="B15" s="14">
        <v>45871</v>
      </c>
      <c r="C15" s="13" t="str">
        <f t="shared" si="0"/>
        <v>Sábado</v>
      </c>
      <c r="D15" s="20">
        <v>0.5708333333333333</v>
      </c>
      <c r="E15" s="13">
        <f t="shared" si="1"/>
        <v>93</v>
      </c>
      <c r="F15" s="13">
        <f t="shared" si="2"/>
        <v>93</v>
      </c>
      <c r="G15" s="13">
        <v>2</v>
      </c>
      <c r="H15" s="13">
        <v>1</v>
      </c>
      <c r="I15" s="13">
        <v>1</v>
      </c>
      <c r="J15" s="13">
        <v>1</v>
      </c>
      <c r="K15" s="19">
        <v>38</v>
      </c>
    </row>
    <row r="16" spans="1:11" x14ac:dyDescent="0.25">
      <c r="A16" s="13">
        <v>94</v>
      </c>
      <c r="B16" s="14">
        <v>45871</v>
      </c>
      <c r="C16" s="13" t="str">
        <f t="shared" si="0"/>
        <v>Sábado</v>
      </c>
      <c r="D16" s="20">
        <v>0.6069444444444444</v>
      </c>
      <c r="E16" s="13">
        <f t="shared" si="1"/>
        <v>94</v>
      </c>
      <c r="F16" s="13">
        <f t="shared" si="2"/>
        <v>94</v>
      </c>
      <c r="G16" s="13">
        <v>1</v>
      </c>
      <c r="H16" s="13">
        <v>1</v>
      </c>
      <c r="I16" s="13">
        <v>1</v>
      </c>
      <c r="J16" s="13">
        <v>1</v>
      </c>
      <c r="K16" s="19">
        <v>17.399999999999999</v>
      </c>
    </row>
    <row r="17" spans="1:11" x14ac:dyDescent="0.25">
      <c r="A17" s="13">
        <v>95</v>
      </c>
      <c r="B17" s="14">
        <v>45871</v>
      </c>
      <c r="C17" s="13" t="str">
        <f t="shared" si="0"/>
        <v>Sábado</v>
      </c>
      <c r="D17" s="20">
        <v>0.62916666666666665</v>
      </c>
      <c r="E17" s="13">
        <f t="shared" si="1"/>
        <v>95</v>
      </c>
      <c r="F17" s="13">
        <f t="shared" si="2"/>
        <v>95</v>
      </c>
      <c r="G17" s="13">
        <v>4</v>
      </c>
      <c r="H17" s="13">
        <v>1</v>
      </c>
      <c r="I17" s="13">
        <v>1</v>
      </c>
      <c r="J17" s="13">
        <v>1</v>
      </c>
      <c r="K17" s="19">
        <v>0</v>
      </c>
    </row>
    <row r="18" spans="1:11" x14ac:dyDescent="0.25">
      <c r="A18" s="13">
        <v>96</v>
      </c>
      <c r="B18" s="14">
        <v>45871</v>
      </c>
      <c r="C18" s="13" t="str">
        <f t="shared" si="0"/>
        <v>Sábado</v>
      </c>
      <c r="D18" s="20">
        <v>0.74791666666666667</v>
      </c>
      <c r="E18" s="13">
        <f t="shared" si="1"/>
        <v>96</v>
      </c>
      <c r="F18" s="13">
        <f t="shared" si="2"/>
        <v>96</v>
      </c>
      <c r="G18" s="13">
        <v>1</v>
      </c>
      <c r="H18" s="13">
        <v>1</v>
      </c>
      <c r="I18" s="13">
        <v>1</v>
      </c>
      <c r="J18" s="13">
        <v>1</v>
      </c>
      <c r="K18" s="19">
        <v>8.4</v>
      </c>
    </row>
    <row r="19" spans="1:11" x14ac:dyDescent="0.25">
      <c r="A19" s="13">
        <v>97</v>
      </c>
      <c r="B19" s="14">
        <v>45871</v>
      </c>
      <c r="C19" s="13" t="str">
        <f t="shared" si="0"/>
        <v>Sábado</v>
      </c>
      <c r="D19" s="20">
        <v>0.75763888888888886</v>
      </c>
      <c r="E19" s="13">
        <f t="shared" si="1"/>
        <v>97</v>
      </c>
      <c r="F19" s="13">
        <f t="shared" si="2"/>
        <v>97</v>
      </c>
      <c r="G19" s="13">
        <v>2</v>
      </c>
      <c r="H19" s="13">
        <v>1</v>
      </c>
      <c r="I19" s="13">
        <v>1</v>
      </c>
      <c r="J19" s="13">
        <v>1</v>
      </c>
      <c r="K19" s="19">
        <v>16.75</v>
      </c>
    </row>
    <row r="20" spans="1:11" x14ac:dyDescent="0.25">
      <c r="A20" s="13">
        <v>98</v>
      </c>
      <c r="B20" s="14">
        <v>45871</v>
      </c>
      <c r="C20" s="13" t="str">
        <f t="shared" si="0"/>
        <v>Sábado</v>
      </c>
      <c r="D20" s="20">
        <v>0.7729166666666667</v>
      </c>
      <c r="E20" s="13">
        <f t="shared" si="1"/>
        <v>98</v>
      </c>
      <c r="F20" s="13">
        <f t="shared" si="2"/>
        <v>98</v>
      </c>
      <c r="G20" s="13">
        <v>2</v>
      </c>
      <c r="H20" s="13">
        <v>1</v>
      </c>
      <c r="I20" s="13">
        <v>1</v>
      </c>
      <c r="J20" s="13">
        <v>1</v>
      </c>
      <c r="K20" s="19">
        <v>10</v>
      </c>
    </row>
    <row r="21" spans="1:11" x14ac:dyDescent="0.25">
      <c r="A21" s="13">
        <v>99</v>
      </c>
      <c r="B21" s="14">
        <v>45875</v>
      </c>
      <c r="C21" s="13" t="str">
        <f t="shared" si="0"/>
        <v>Quarta-Feira</v>
      </c>
      <c r="D21" s="20">
        <v>0.72013888888888899</v>
      </c>
      <c r="E21" s="13">
        <f t="shared" si="1"/>
        <v>99</v>
      </c>
      <c r="F21" s="13">
        <f t="shared" si="2"/>
        <v>99</v>
      </c>
      <c r="G21" s="13">
        <v>2</v>
      </c>
      <c r="H21" s="13">
        <v>1</v>
      </c>
      <c r="I21" s="13">
        <v>1</v>
      </c>
      <c r="J21" s="13">
        <v>1</v>
      </c>
      <c r="K21" s="19">
        <v>5.4</v>
      </c>
    </row>
    <row r="22" spans="1:11" x14ac:dyDescent="0.25">
      <c r="A22" s="13">
        <v>100</v>
      </c>
      <c r="B22" s="14">
        <v>45875</v>
      </c>
      <c r="C22" s="13" t="str">
        <f t="shared" si="0"/>
        <v>Quarta-Feira</v>
      </c>
      <c r="D22" s="20">
        <v>0.72638888888888886</v>
      </c>
      <c r="E22" s="13">
        <f t="shared" si="1"/>
        <v>100</v>
      </c>
      <c r="F22" s="13">
        <f t="shared" si="2"/>
        <v>100</v>
      </c>
      <c r="G22" s="13">
        <v>1</v>
      </c>
      <c r="H22" s="13">
        <v>1</v>
      </c>
      <c r="I22" s="13">
        <v>1</v>
      </c>
      <c r="J22" s="13">
        <v>1</v>
      </c>
      <c r="K22" s="19">
        <v>12.5</v>
      </c>
    </row>
    <row r="23" spans="1:11" x14ac:dyDescent="0.25">
      <c r="A23" s="13">
        <v>101</v>
      </c>
      <c r="B23" s="14">
        <v>45875</v>
      </c>
      <c r="C23" s="13" t="str">
        <f t="shared" si="0"/>
        <v>Quarta-Feira</v>
      </c>
      <c r="D23" s="20">
        <v>0.74097222222222225</v>
      </c>
      <c r="E23" s="13">
        <f t="shared" si="1"/>
        <v>101</v>
      </c>
      <c r="F23" s="13">
        <f t="shared" si="2"/>
        <v>101</v>
      </c>
      <c r="G23" s="13">
        <v>2</v>
      </c>
      <c r="H23" s="13">
        <v>1</v>
      </c>
      <c r="I23" s="13">
        <v>1</v>
      </c>
      <c r="J23" s="13">
        <v>1</v>
      </c>
      <c r="K23" s="19">
        <v>10.5</v>
      </c>
    </row>
    <row r="24" spans="1:11" x14ac:dyDescent="0.25">
      <c r="A24" s="13">
        <v>102</v>
      </c>
      <c r="B24" s="14">
        <v>45875</v>
      </c>
      <c r="C24" s="13" t="str">
        <f t="shared" si="0"/>
        <v>Quarta-Feira</v>
      </c>
      <c r="D24" s="20">
        <v>0.74513888888888891</v>
      </c>
      <c r="E24" s="13">
        <f t="shared" si="1"/>
        <v>102</v>
      </c>
      <c r="F24" s="13">
        <f t="shared" si="2"/>
        <v>102</v>
      </c>
      <c r="G24" s="13">
        <v>1</v>
      </c>
      <c r="H24" s="13">
        <v>1</v>
      </c>
      <c r="I24" s="13">
        <v>1</v>
      </c>
      <c r="J24" s="13">
        <v>1</v>
      </c>
      <c r="K24" s="19">
        <v>32.700000000000003</v>
      </c>
    </row>
    <row r="25" spans="1:11" x14ac:dyDescent="0.25">
      <c r="A25" s="13">
        <v>103</v>
      </c>
      <c r="B25" s="14">
        <v>45875</v>
      </c>
      <c r="C25" s="13" t="str">
        <f t="shared" si="0"/>
        <v>Quarta-Feira</v>
      </c>
      <c r="D25" s="20">
        <v>0.77083333333333337</v>
      </c>
      <c r="E25" s="13">
        <f t="shared" si="1"/>
        <v>103</v>
      </c>
      <c r="F25" s="13">
        <f t="shared" si="2"/>
        <v>103</v>
      </c>
      <c r="G25" s="13">
        <v>2</v>
      </c>
      <c r="H25" s="13">
        <v>1</v>
      </c>
      <c r="I25" s="13">
        <v>1</v>
      </c>
      <c r="J25" s="13">
        <v>1</v>
      </c>
      <c r="K25" s="19">
        <v>24.9</v>
      </c>
    </row>
    <row r="26" spans="1:11" x14ac:dyDescent="0.25">
      <c r="A26" s="13">
        <v>104</v>
      </c>
      <c r="B26" s="14">
        <v>45875</v>
      </c>
      <c r="C26" s="13" t="str">
        <f t="shared" si="0"/>
        <v>Quarta-Feira</v>
      </c>
      <c r="D26" s="20">
        <v>0.79861111111111116</v>
      </c>
      <c r="E26" s="13">
        <f t="shared" si="1"/>
        <v>104</v>
      </c>
      <c r="F26" s="13">
        <f t="shared" si="2"/>
        <v>104</v>
      </c>
      <c r="G26" s="13">
        <v>2</v>
      </c>
      <c r="H26" s="13">
        <v>1</v>
      </c>
      <c r="I26" s="13">
        <v>1</v>
      </c>
      <c r="J26" s="13">
        <v>1</v>
      </c>
      <c r="K26" s="19">
        <v>3.5</v>
      </c>
    </row>
    <row r="27" spans="1:11" x14ac:dyDescent="0.25">
      <c r="A27" s="13">
        <v>105</v>
      </c>
      <c r="B27" s="14">
        <v>45876</v>
      </c>
      <c r="C27" s="13" t="str">
        <f t="shared" si="0"/>
        <v>Quinta-Feira</v>
      </c>
      <c r="D27" s="20">
        <v>0.7284722222222223</v>
      </c>
      <c r="E27" s="13">
        <f t="shared" si="1"/>
        <v>105</v>
      </c>
      <c r="F27" s="13">
        <f t="shared" si="2"/>
        <v>105</v>
      </c>
      <c r="G27" s="13">
        <v>4</v>
      </c>
      <c r="H27" s="13">
        <v>1</v>
      </c>
      <c r="I27" s="13">
        <v>1</v>
      </c>
      <c r="J27" s="13">
        <v>1</v>
      </c>
      <c r="K27" s="19">
        <v>0</v>
      </c>
    </row>
    <row r="28" spans="1:11" x14ac:dyDescent="0.25">
      <c r="A28" s="13">
        <v>106</v>
      </c>
      <c r="B28" s="14">
        <v>45876</v>
      </c>
      <c r="C28" s="13" t="str">
        <f t="shared" si="0"/>
        <v>Quinta-Feira</v>
      </c>
      <c r="D28" s="20">
        <v>0.73125000000000007</v>
      </c>
      <c r="E28" s="13">
        <f t="shared" si="1"/>
        <v>106</v>
      </c>
      <c r="F28" s="13">
        <f t="shared" si="2"/>
        <v>106</v>
      </c>
      <c r="G28" s="13">
        <v>2</v>
      </c>
      <c r="H28" s="13">
        <v>1</v>
      </c>
      <c r="I28" s="13">
        <v>1</v>
      </c>
      <c r="J28" s="13">
        <v>1</v>
      </c>
      <c r="K28" s="19">
        <v>10.199999999999999</v>
      </c>
    </row>
    <row r="29" spans="1:11" x14ac:dyDescent="0.25">
      <c r="A29" s="13">
        <v>107</v>
      </c>
      <c r="B29" s="14">
        <v>45876</v>
      </c>
      <c r="C29" s="13" t="str">
        <f t="shared" si="0"/>
        <v>Quinta-Feira</v>
      </c>
      <c r="D29" s="20">
        <v>0.74583333333333324</v>
      </c>
      <c r="E29" s="13">
        <f t="shared" si="1"/>
        <v>107</v>
      </c>
      <c r="F29" s="13">
        <f t="shared" si="2"/>
        <v>107</v>
      </c>
      <c r="G29" s="13">
        <v>2</v>
      </c>
      <c r="H29" s="13">
        <v>1</v>
      </c>
      <c r="I29" s="13">
        <v>1</v>
      </c>
      <c r="J29" s="13">
        <v>1</v>
      </c>
      <c r="K29" s="19">
        <v>12</v>
      </c>
    </row>
    <row r="30" spans="1:11" x14ac:dyDescent="0.25">
      <c r="A30" s="13">
        <v>108</v>
      </c>
      <c r="B30" s="14">
        <v>45876</v>
      </c>
      <c r="C30" s="13" t="str">
        <f t="shared" si="0"/>
        <v>Quinta-Feira</v>
      </c>
      <c r="D30" s="20">
        <v>0.76041666666666663</v>
      </c>
      <c r="E30" s="13">
        <f t="shared" si="1"/>
        <v>108</v>
      </c>
      <c r="F30" s="13">
        <f t="shared" si="2"/>
        <v>108</v>
      </c>
      <c r="G30" s="13">
        <v>2</v>
      </c>
      <c r="H30" s="13">
        <v>1</v>
      </c>
      <c r="I30" s="13">
        <v>1</v>
      </c>
      <c r="J30" s="13">
        <v>1</v>
      </c>
      <c r="K30" s="19">
        <v>12.1</v>
      </c>
    </row>
    <row r="31" spans="1:11" x14ac:dyDescent="0.25">
      <c r="A31" s="13">
        <v>109</v>
      </c>
      <c r="B31" s="14">
        <v>45876</v>
      </c>
      <c r="C31" s="13" t="str">
        <f t="shared" si="0"/>
        <v>Quinta-Feira</v>
      </c>
      <c r="D31" s="20">
        <v>0.77222222222222225</v>
      </c>
      <c r="E31" s="13">
        <f t="shared" si="1"/>
        <v>109</v>
      </c>
      <c r="F31" s="13">
        <f t="shared" si="2"/>
        <v>109</v>
      </c>
      <c r="G31" s="13">
        <v>2</v>
      </c>
      <c r="H31" s="13">
        <v>1</v>
      </c>
      <c r="I31" s="13">
        <v>1</v>
      </c>
      <c r="J31" s="13">
        <v>1</v>
      </c>
      <c r="K31" s="19">
        <v>4.9000000000000004</v>
      </c>
    </row>
    <row r="32" spans="1:11" x14ac:dyDescent="0.25">
      <c r="A32" s="13">
        <v>110</v>
      </c>
      <c r="B32" s="14">
        <v>45876</v>
      </c>
      <c r="C32" s="13" t="str">
        <f t="shared" si="0"/>
        <v>Quinta-Feira</v>
      </c>
      <c r="D32" s="20">
        <v>0.77847222222222223</v>
      </c>
      <c r="E32" s="13">
        <f t="shared" si="1"/>
        <v>110</v>
      </c>
      <c r="F32" s="13">
        <f t="shared" si="2"/>
        <v>110</v>
      </c>
      <c r="G32" s="13">
        <v>4</v>
      </c>
      <c r="H32" s="13">
        <v>1</v>
      </c>
      <c r="I32" s="13">
        <v>1</v>
      </c>
      <c r="J32" s="13">
        <v>1</v>
      </c>
      <c r="K32" s="19">
        <v>0</v>
      </c>
    </row>
    <row r="33" spans="1:11" x14ac:dyDescent="0.25">
      <c r="A33" s="13">
        <v>111</v>
      </c>
      <c r="B33" s="14">
        <v>45876</v>
      </c>
      <c r="C33" s="13" t="str">
        <f t="shared" si="0"/>
        <v>Quinta-Feira</v>
      </c>
      <c r="D33" s="20">
        <v>0.77847222222222223</v>
      </c>
      <c r="E33" s="13">
        <f t="shared" si="1"/>
        <v>111</v>
      </c>
      <c r="F33" s="13">
        <f t="shared" si="2"/>
        <v>111</v>
      </c>
      <c r="G33" s="13">
        <v>2</v>
      </c>
      <c r="H33" s="13">
        <v>1</v>
      </c>
      <c r="I33" s="13">
        <v>1</v>
      </c>
      <c r="J33" s="13">
        <v>1</v>
      </c>
      <c r="K33" s="19">
        <v>31.7</v>
      </c>
    </row>
    <row r="34" spans="1:11" x14ac:dyDescent="0.25">
      <c r="A34" s="13">
        <v>112</v>
      </c>
      <c r="B34" s="14">
        <v>45876</v>
      </c>
      <c r="C34" s="13" t="str">
        <f t="shared" si="0"/>
        <v>Quinta-Feira</v>
      </c>
      <c r="D34" s="20">
        <v>0.80555555555555547</v>
      </c>
      <c r="E34" s="13">
        <f t="shared" si="1"/>
        <v>112</v>
      </c>
      <c r="F34" s="13">
        <f t="shared" si="2"/>
        <v>112</v>
      </c>
      <c r="G34" s="13">
        <v>2</v>
      </c>
      <c r="H34" s="13">
        <v>1</v>
      </c>
      <c r="I34" s="13">
        <v>1</v>
      </c>
      <c r="J34" s="13">
        <v>1</v>
      </c>
      <c r="K34" s="19">
        <v>18.350000000000001</v>
      </c>
    </row>
    <row r="35" spans="1:11" x14ac:dyDescent="0.25">
      <c r="A35" s="13">
        <v>113</v>
      </c>
      <c r="B35" s="14">
        <v>45878</v>
      </c>
      <c r="C35" s="13" t="str">
        <f t="shared" si="0"/>
        <v>Sábado</v>
      </c>
      <c r="D35" s="20">
        <v>0.49861111111111112</v>
      </c>
      <c r="E35" s="13">
        <f t="shared" si="1"/>
        <v>113</v>
      </c>
      <c r="F35" s="13">
        <f t="shared" si="2"/>
        <v>113</v>
      </c>
      <c r="G35" s="13">
        <v>2</v>
      </c>
      <c r="H35" s="13">
        <v>1</v>
      </c>
      <c r="I35" s="13">
        <v>1</v>
      </c>
      <c r="J35" s="13">
        <v>1</v>
      </c>
      <c r="K35" s="19">
        <v>46.6</v>
      </c>
    </row>
    <row r="36" spans="1:11" x14ac:dyDescent="0.25">
      <c r="A36" s="13">
        <v>114</v>
      </c>
      <c r="B36" s="14">
        <v>45878</v>
      </c>
      <c r="C36" s="13" t="str">
        <f t="shared" si="0"/>
        <v>Sábado</v>
      </c>
      <c r="D36" s="20">
        <v>0.53402777777777777</v>
      </c>
      <c r="E36" s="13">
        <f t="shared" si="1"/>
        <v>114</v>
      </c>
      <c r="F36" s="13">
        <f t="shared" si="2"/>
        <v>114</v>
      </c>
      <c r="G36" s="13">
        <v>2</v>
      </c>
      <c r="H36" s="13">
        <v>1</v>
      </c>
      <c r="I36" s="13">
        <v>1</v>
      </c>
      <c r="J36" s="13">
        <v>1</v>
      </c>
      <c r="K36" s="19">
        <v>39.799999999999997</v>
      </c>
    </row>
    <row r="37" spans="1:11" x14ac:dyDescent="0.25">
      <c r="A37" s="13">
        <v>115</v>
      </c>
      <c r="B37" s="14">
        <v>45878</v>
      </c>
      <c r="C37" s="13" t="str">
        <f t="shared" si="0"/>
        <v>Sábado</v>
      </c>
      <c r="D37" s="20">
        <v>0.69513888888888886</v>
      </c>
      <c r="E37" s="13">
        <f t="shared" si="1"/>
        <v>115</v>
      </c>
      <c r="F37" s="13">
        <f t="shared" si="2"/>
        <v>115</v>
      </c>
      <c r="G37" s="13">
        <v>2</v>
      </c>
      <c r="H37" s="13">
        <v>1</v>
      </c>
      <c r="I37" s="13">
        <v>1</v>
      </c>
      <c r="J37" s="13">
        <v>1</v>
      </c>
      <c r="K37" s="19">
        <v>7.4</v>
      </c>
    </row>
    <row r="38" spans="1:11" x14ac:dyDescent="0.25">
      <c r="A38" s="13">
        <v>116</v>
      </c>
      <c r="B38" s="14">
        <v>45878</v>
      </c>
      <c r="C38" s="13" t="str">
        <f t="shared" si="0"/>
        <v>Sábado</v>
      </c>
      <c r="D38" s="20">
        <v>0.70347222222222217</v>
      </c>
      <c r="E38" s="13">
        <f t="shared" si="1"/>
        <v>116</v>
      </c>
      <c r="F38" s="13">
        <f t="shared" si="2"/>
        <v>116</v>
      </c>
      <c r="G38" s="13">
        <v>2</v>
      </c>
      <c r="H38" s="13">
        <v>1</v>
      </c>
      <c r="I38" s="13">
        <v>1</v>
      </c>
      <c r="J38" s="13">
        <v>1</v>
      </c>
      <c r="K38" s="19">
        <v>8</v>
      </c>
    </row>
    <row r="39" spans="1:11" x14ac:dyDescent="0.25">
      <c r="A39" s="13">
        <v>117</v>
      </c>
      <c r="B39" s="14">
        <v>45878</v>
      </c>
      <c r="C39" s="13" t="str">
        <f t="shared" si="0"/>
        <v>Sábado</v>
      </c>
      <c r="D39" s="20">
        <v>0.72361111111111109</v>
      </c>
      <c r="E39" s="13">
        <f t="shared" si="1"/>
        <v>117</v>
      </c>
      <c r="F39" s="13">
        <f t="shared" si="2"/>
        <v>117</v>
      </c>
      <c r="G39" s="13">
        <v>2</v>
      </c>
      <c r="H39" s="13">
        <v>1</v>
      </c>
      <c r="I39" s="13">
        <v>1</v>
      </c>
      <c r="J39" s="13">
        <v>1</v>
      </c>
      <c r="K39" s="19">
        <v>4.0999999999999996</v>
      </c>
    </row>
    <row r="40" spans="1:11" x14ac:dyDescent="0.25">
      <c r="A40" s="13">
        <v>118</v>
      </c>
      <c r="B40" s="14">
        <v>45878</v>
      </c>
      <c r="C40" s="13" t="str">
        <f t="shared" si="0"/>
        <v>Sábado</v>
      </c>
      <c r="D40" s="20">
        <v>0.73055555555555562</v>
      </c>
      <c r="E40" s="13">
        <f t="shared" si="1"/>
        <v>118</v>
      </c>
      <c r="F40" s="13">
        <f t="shared" si="2"/>
        <v>118</v>
      </c>
      <c r="G40" s="13">
        <v>2</v>
      </c>
      <c r="H40" s="13">
        <v>1</v>
      </c>
      <c r="I40" s="13">
        <v>1</v>
      </c>
      <c r="J40" s="13">
        <v>1</v>
      </c>
      <c r="K40" s="19">
        <v>18.75</v>
      </c>
    </row>
    <row r="41" spans="1:11" x14ac:dyDescent="0.25">
      <c r="A41" s="13">
        <v>119</v>
      </c>
      <c r="B41" s="14">
        <v>45878</v>
      </c>
      <c r="C41" s="13" t="str">
        <f t="shared" si="0"/>
        <v>Sábado</v>
      </c>
      <c r="D41" s="20">
        <v>0.74861111111111101</v>
      </c>
      <c r="E41" s="13">
        <f t="shared" si="1"/>
        <v>119</v>
      </c>
      <c r="F41" s="13">
        <f t="shared" si="2"/>
        <v>119</v>
      </c>
      <c r="G41" s="13">
        <v>2</v>
      </c>
      <c r="H41" s="13">
        <v>1</v>
      </c>
      <c r="I41" s="13">
        <v>1</v>
      </c>
      <c r="J41" s="13">
        <v>1</v>
      </c>
      <c r="K41" s="19">
        <v>17.5</v>
      </c>
    </row>
    <row r="42" spans="1:11" x14ac:dyDescent="0.25">
      <c r="A42" s="13">
        <v>120</v>
      </c>
      <c r="B42" s="14">
        <v>45878</v>
      </c>
      <c r="C42" s="13" t="str">
        <f t="shared" si="0"/>
        <v>Sábado</v>
      </c>
      <c r="D42" s="20">
        <v>0.7631944444444444</v>
      </c>
      <c r="E42" s="13">
        <f t="shared" si="1"/>
        <v>120</v>
      </c>
      <c r="F42" s="13">
        <f t="shared" si="2"/>
        <v>120</v>
      </c>
      <c r="G42" s="13">
        <v>2</v>
      </c>
      <c r="H42" s="13">
        <v>1</v>
      </c>
      <c r="I42" s="13">
        <v>1</v>
      </c>
      <c r="J42" s="13">
        <v>1</v>
      </c>
      <c r="K42" s="19">
        <v>31.65</v>
      </c>
    </row>
    <row r="43" spans="1:11" x14ac:dyDescent="0.25">
      <c r="A43" s="13">
        <v>121</v>
      </c>
      <c r="B43" s="14">
        <v>45878</v>
      </c>
      <c r="C43" s="13" t="str">
        <f t="shared" si="0"/>
        <v>Sábado</v>
      </c>
      <c r="D43" s="20">
        <v>0.78541666666666676</v>
      </c>
      <c r="E43" s="13">
        <f t="shared" si="1"/>
        <v>121</v>
      </c>
      <c r="F43" s="13">
        <f t="shared" si="2"/>
        <v>121</v>
      </c>
      <c r="G43" s="13">
        <v>2</v>
      </c>
      <c r="H43" s="13">
        <v>1</v>
      </c>
      <c r="I43" s="13">
        <v>1</v>
      </c>
      <c r="J43" s="13">
        <v>1</v>
      </c>
      <c r="K43" s="19">
        <v>33</v>
      </c>
    </row>
    <row r="44" spans="1:11" x14ac:dyDescent="0.25">
      <c r="A44" s="13">
        <v>122</v>
      </c>
      <c r="B44" s="14">
        <v>45878</v>
      </c>
      <c r="C44" s="13" t="str">
        <f t="shared" si="0"/>
        <v>Sábado</v>
      </c>
      <c r="D44" s="20">
        <v>0.80694444444444446</v>
      </c>
      <c r="E44" s="13">
        <f t="shared" si="1"/>
        <v>122</v>
      </c>
      <c r="F44" s="13">
        <f t="shared" si="2"/>
        <v>122</v>
      </c>
      <c r="G44" s="13">
        <v>2</v>
      </c>
      <c r="H44" s="13">
        <v>1</v>
      </c>
      <c r="I44" s="13">
        <v>1</v>
      </c>
      <c r="J44" s="13">
        <v>1</v>
      </c>
      <c r="K44" s="19">
        <v>9.5</v>
      </c>
    </row>
    <row r="45" spans="1:11" x14ac:dyDescent="0.25">
      <c r="A45" s="13">
        <v>123</v>
      </c>
      <c r="B45" s="14">
        <v>45878</v>
      </c>
      <c r="C45" s="13" t="str">
        <f t="shared" si="0"/>
        <v>Sábado</v>
      </c>
      <c r="D45" s="20">
        <v>0.82916666666666661</v>
      </c>
      <c r="E45" s="13">
        <f t="shared" si="1"/>
        <v>123</v>
      </c>
      <c r="F45" s="13">
        <f t="shared" si="2"/>
        <v>123</v>
      </c>
      <c r="G45" s="13">
        <v>2</v>
      </c>
      <c r="H45" s="13">
        <v>1</v>
      </c>
      <c r="I45" s="13">
        <v>1</v>
      </c>
      <c r="J45" s="13">
        <v>1</v>
      </c>
      <c r="K45" s="19">
        <v>8.25</v>
      </c>
    </row>
    <row r="46" spans="1:11" x14ac:dyDescent="0.25">
      <c r="A46" s="13">
        <v>124</v>
      </c>
      <c r="B46" s="14">
        <v>45880</v>
      </c>
      <c r="C46" s="13" t="str">
        <f t="shared" si="0"/>
        <v>Segunda-Feira</v>
      </c>
      <c r="D46" s="20">
        <v>0.76874999999999993</v>
      </c>
      <c r="E46" s="13">
        <f t="shared" si="1"/>
        <v>124</v>
      </c>
      <c r="F46" s="13">
        <f t="shared" si="2"/>
        <v>124</v>
      </c>
      <c r="G46" s="13">
        <v>2</v>
      </c>
      <c r="H46" s="13">
        <v>1</v>
      </c>
      <c r="I46" s="13">
        <v>1</v>
      </c>
      <c r="J46" s="13">
        <v>1</v>
      </c>
      <c r="K46" s="19">
        <v>23.7</v>
      </c>
    </row>
    <row r="47" spans="1:11" x14ac:dyDescent="0.25">
      <c r="A47" s="13">
        <v>125</v>
      </c>
      <c r="B47" s="14">
        <v>45880</v>
      </c>
      <c r="C47" s="13" t="str">
        <f t="shared" si="0"/>
        <v>Segunda-Feira</v>
      </c>
      <c r="D47" s="20">
        <v>0.78888888888888886</v>
      </c>
      <c r="E47" s="13">
        <f t="shared" si="1"/>
        <v>125</v>
      </c>
      <c r="F47" s="13">
        <f t="shared" si="2"/>
        <v>125</v>
      </c>
      <c r="G47" s="13">
        <v>2</v>
      </c>
      <c r="H47" s="13">
        <v>1</v>
      </c>
      <c r="I47" s="13">
        <v>1</v>
      </c>
      <c r="J47" s="13">
        <v>1</v>
      </c>
      <c r="K47" s="19">
        <v>13.1</v>
      </c>
    </row>
    <row r="48" spans="1:11" x14ac:dyDescent="0.25">
      <c r="A48" s="13">
        <v>126</v>
      </c>
      <c r="B48" s="14">
        <v>45880</v>
      </c>
      <c r="C48" s="13" t="str">
        <f t="shared" si="0"/>
        <v>Segunda-Feira</v>
      </c>
      <c r="D48" s="20">
        <v>0.80555555555555547</v>
      </c>
      <c r="E48" s="13">
        <f t="shared" si="1"/>
        <v>126</v>
      </c>
      <c r="F48" s="13">
        <f t="shared" si="2"/>
        <v>126</v>
      </c>
      <c r="G48" s="13">
        <v>2</v>
      </c>
      <c r="H48" s="13">
        <v>1</v>
      </c>
      <c r="I48" s="13">
        <v>1</v>
      </c>
      <c r="J48" s="13">
        <v>1</v>
      </c>
      <c r="K48" s="19">
        <v>14.75</v>
      </c>
    </row>
    <row r="49" spans="1:11" x14ac:dyDescent="0.25">
      <c r="A49" s="13">
        <v>127</v>
      </c>
      <c r="B49" s="14">
        <v>45880</v>
      </c>
      <c r="C49" s="13" t="str">
        <f t="shared" si="0"/>
        <v>Segunda-Feira</v>
      </c>
      <c r="D49" s="20">
        <v>0.82708333333333339</v>
      </c>
      <c r="E49" s="13">
        <f t="shared" si="1"/>
        <v>127</v>
      </c>
      <c r="F49" s="13">
        <f t="shared" si="2"/>
        <v>127</v>
      </c>
      <c r="G49" s="13">
        <v>2</v>
      </c>
      <c r="H49" s="13">
        <v>1</v>
      </c>
      <c r="I49" s="13">
        <v>1</v>
      </c>
      <c r="J49" s="13">
        <v>1</v>
      </c>
      <c r="K49" s="19">
        <v>14.8</v>
      </c>
    </row>
    <row r="50" spans="1:11" x14ac:dyDescent="0.25">
      <c r="A50" s="13">
        <v>128</v>
      </c>
      <c r="B50" s="14">
        <v>45891</v>
      </c>
      <c r="C50" s="13" t="str">
        <f t="shared" si="0"/>
        <v>Sexta-Feira</v>
      </c>
      <c r="D50" s="20">
        <v>0.77708333333333324</v>
      </c>
      <c r="E50" s="13">
        <f t="shared" si="1"/>
        <v>128</v>
      </c>
      <c r="F50" s="13">
        <f t="shared" si="2"/>
        <v>128</v>
      </c>
      <c r="G50" s="13">
        <v>1</v>
      </c>
      <c r="H50" s="13">
        <v>1</v>
      </c>
      <c r="I50" s="13">
        <v>1</v>
      </c>
      <c r="J50" s="13">
        <v>1</v>
      </c>
      <c r="K50" s="19">
        <v>19.5</v>
      </c>
    </row>
    <row r="51" spans="1:11" x14ac:dyDescent="0.25">
      <c r="A51" s="13">
        <v>129</v>
      </c>
      <c r="B51" s="14">
        <v>45891</v>
      </c>
      <c r="C51" s="13" t="str">
        <f t="shared" si="0"/>
        <v>Sexta-Feira</v>
      </c>
      <c r="D51" s="20">
        <v>0.79166666666666663</v>
      </c>
      <c r="E51" s="13">
        <f t="shared" si="1"/>
        <v>129</v>
      </c>
      <c r="F51" s="13">
        <f t="shared" si="2"/>
        <v>129</v>
      </c>
      <c r="G51" s="13">
        <v>1</v>
      </c>
      <c r="H51" s="13">
        <v>1</v>
      </c>
      <c r="I51" s="13">
        <v>1</v>
      </c>
      <c r="J51" s="13">
        <v>1</v>
      </c>
      <c r="K51" s="19">
        <v>17.399999999999999</v>
      </c>
    </row>
    <row r="52" spans="1:11" x14ac:dyDescent="0.25">
      <c r="A52" s="13">
        <v>130</v>
      </c>
      <c r="B52" s="14">
        <v>45891</v>
      </c>
      <c r="C52" s="13" t="str">
        <f t="shared" si="0"/>
        <v>Sexta-Feira</v>
      </c>
      <c r="D52" s="20">
        <v>0.81180555555555556</v>
      </c>
      <c r="E52" s="13">
        <f t="shared" si="1"/>
        <v>130</v>
      </c>
      <c r="F52" s="13">
        <f t="shared" si="2"/>
        <v>130</v>
      </c>
      <c r="G52" s="13">
        <v>1</v>
      </c>
      <c r="H52" s="13">
        <v>1</v>
      </c>
      <c r="I52" s="13">
        <v>1</v>
      </c>
      <c r="J52" s="13">
        <v>1</v>
      </c>
      <c r="K52" s="19">
        <v>11.6</v>
      </c>
    </row>
    <row r="53" spans="1:11" x14ac:dyDescent="0.25">
      <c r="A53" s="13">
        <v>131</v>
      </c>
      <c r="B53" s="14">
        <v>45892</v>
      </c>
      <c r="C53" s="13" t="str">
        <f t="shared" si="0"/>
        <v>Sábado</v>
      </c>
      <c r="D53" s="20">
        <v>0.55138888888888882</v>
      </c>
      <c r="E53" s="13">
        <f t="shared" si="1"/>
        <v>131</v>
      </c>
      <c r="F53" s="13">
        <f t="shared" si="2"/>
        <v>131</v>
      </c>
      <c r="G53" s="13">
        <v>1</v>
      </c>
      <c r="H53" s="13">
        <v>1</v>
      </c>
      <c r="I53" s="13">
        <v>1</v>
      </c>
      <c r="J53" s="13">
        <v>1</v>
      </c>
      <c r="K53" s="19">
        <v>12.55</v>
      </c>
    </row>
    <row r="54" spans="1:11" x14ac:dyDescent="0.25">
      <c r="A54" s="13">
        <v>132</v>
      </c>
      <c r="B54" s="14">
        <v>45892</v>
      </c>
      <c r="C54" s="13" t="str">
        <f t="shared" si="0"/>
        <v>Sábado</v>
      </c>
      <c r="D54" s="20">
        <v>0.5625</v>
      </c>
      <c r="E54" s="13">
        <f t="shared" si="1"/>
        <v>132</v>
      </c>
      <c r="F54" s="13">
        <f t="shared" si="2"/>
        <v>132</v>
      </c>
      <c r="G54" s="13">
        <v>4</v>
      </c>
      <c r="H54" s="13">
        <v>1</v>
      </c>
      <c r="I54" s="13">
        <v>1</v>
      </c>
      <c r="J54" s="13">
        <v>1</v>
      </c>
      <c r="K54" s="19">
        <v>0</v>
      </c>
    </row>
    <row r="55" spans="1:11" x14ac:dyDescent="0.25">
      <c r="A55" s="13">
        <v>133</v>
      </c>
      <c r="B55" s="14">
        <v>45892</v>
      </c>
      <c r="C55" s="13" t="str">
        <f t="shared" si="0"/>
        <v>Sábado</v>
      </c>
      <c r="D55" s="20">
        <v>0.57222222222222219</v>
      </c>
      <c r="E55" s="13">
        <f t="shared" si="1"/>
        <v>133</v>
      </c>
      <c r="F55" s="13">
        <f t="shared" si="2"/>
        <v>133</v>
      </c>
      <c r="G55" s="13">
        <v>2</v>
      </c>
      <c r="H55" s="13">
        <v>1</v>
      </c>
      <c r="I55" s="13">
        <v>1</v>
      </c>
      <c r="J55" s="13">
        <v>1</v>
      </c>
      <c r="K55" s="19">
        <v>6.2</v>
      </c>
    </row>
    <row r="56" spans="1:11" x14ac:dyDescent="0.25">
      <c r="A56" s="13">
        <v>134</v>
      </c>
      <c r="B56" s="14">
        <v>45892</v>
      </c>
      <c r="C56" s="13" t="str">
        <f t="shared" si="0"/>
        <v>Sábado</v>
      </c>
      <c r="D56" s="20">
        <v>0.57777777777777783</v>
      </c>
      <c r="E56" s="13">
        <f t="shared" si="1"/>
        <v>134</v>
      </c>
      <c r="F56" s="13">
        <f t="shared" si="2"/>
        <v>134</v>
      </c>
      <c r="G56" s="13">
        <v>2</v>
      </c>
      <c r="H56" s="13">
        <v>1</v>
      </c>
      <c r="I56" s="13">
        <v>1</v>
      </c>
      <c r="J56" s="13">
        <v>1</v>
      </c>
      <c r="K56" s="19">
        <v>7.5</v>
      </c>
    </row>
    <row r="57" spans="1:11" x14ac:dyDescent="0.25">
      <c r="A57" s="13">
        <v>135</v>
      </c>
      <c r="B57" s="14">
        <v>45892</v>
      </c>
      <c r="C57" s="13" t="str">
        <f t="shared" si="0"/>
        <v>Sábado</v>
      </c>
      <c r="D57" s="20">
        <v>0.58680555555555558</v>
      </c>
      <c r="E57" s="13">
        <f t="shared" si="1"/>
        <v>135</v>
      </c>
      <c r="F57" s="13">
        <f t="shared" si="2"/>
        <v>135</v>
      </c>
      <c r="G57" s="13">
        <v>2</v>
      </c>
      <c r="H57" s="13">
        <v>1</v>
      </c>
      <c r="I57" s="13">
        <v>1</v>
      </c>
      <c r="J57" s="13">
        <v>1</v>
      </c>
      <c r="K57" s="19">
        <v>24.35</v>
      </c>
    </row>
    <row r="58" spans="1:11" x14ac:dyDescent="0.25">
      <c r="A58" s="13">
        <v>136</v>
      </c>
      <c r="B58" s="14">
        <v>45892</v>
      </c>
      <c r="C58" s="13" t="str">
        <f t="shared" si="0"/>
        <v>Sábado</v>
      </c>
      <c r="D58" s="20">
        <v>0.60486111111111118</v>
      </c>
      <c r="E58" s="13">
        <f t="shared" si="1"/>
        <v>136</v>
      </c>
      <c r="F58" s="13">
        <f t="shared" si="2"/>
        <v>136</v>
      </c>
      <c r="G58" s="13">
        <v>2</v>
      </c>
      <c r="H58" s="13">
        <v>1</v>
      </c>
      <c r="I58" s="13">
        <v>1</v>
      </c>
      <c r="J58" s="13">
        <v>1</v>
      </c>
      <c r="K58" s="19">
        <v>29.6</v>
      </c>
    </row>
    <row r="59" spans="1:11" x14ac:dyDescent="0.25">
      <c r="A59" s="13">
        <v>137</v>
      </c>
      <c r="B59" s="14">
        <v>45892</v>
      </c>
      <c r="C59" s="13" t="str">
        <f t="shared" si="0"/>
        <v>Sábado</v>
      </c>
      <c r="D59" s="20">
        <v>0.64027777777777783</v>
      </c>
      <c r="E59" s="13">
        <f t="shared" si="1"/>
        <v>137</v>
      </c>
      <c r="F59" s="13">
        <f t="shared" si="2"/>
        <v>137</v>
      </c>
      <c r="G59" s="13">
        <v>2</v>
      </c>
      <c r="H59" s="13">
        <v>1</v>
      </c>
      <c r="I59" s="13">
        <v>1</v>
      </c>
      <c r="J59" s="13">
        <v>1</v>
      </c>
      <c r="K59" s="19">
        <v>7.2</v>
      </c>
    </row>
    <row r="60" spans="1:11" x14ac:dyDescent="0.25">
      <c r="A60" s="13">
        <v>138</v>
      </c>
      <c r="B60" s="14">
        <v>45892</v>
      </c>
      <c r="C60" s="13" t="str">
        <f t="shared" si="0"/>
        <v>Sábado</v>
      </c>
      <c r="D60" s="20">
        <v>0.6479166666666667</v>
      </c>
      <c r="E60" s="13">
        <f t="shared" si="1"/>
        <v>138</v>
      </c>
      <c r="F60" s="13">
        <f t="shared" si="2"/>
        <v>138</v>
      </c>
      <c r="G60" s="13">
        <v>1</v>
      </c>
      <c r="H60" s="13">
        <v>1</v>
      </c>
      <c r="I60" s="13">
        <v>1</v>
      </c>
      <c r="J60" s="13">
        <v>1</v>
      </c>
      <c r="K60" s="19">
        <v>13.3</v>
      </c>
    </row>
    <row r="61" spans="1:11" x14ac:dyDescent="0.25">
      <c r="A61" s="13">
        <v>139</v>
      </c>
      <c r="B61" s="14">
        <v>45892</v>
      </c>
      <c r="C61" s="13" t="str">
        <f t="shared" si="0"/>
        <v>Sábado</v>
      </c>
      <c r="D61" s="20">
        <v>0.66319444444444442</v>
      </c>
      <c r="E61" s="13">
        <f t="shared" si="1"/>
        <v>139</v>
      </c>
      <c r="F61" s="13">
        <f t="shared" si="2"/>
        <v>139</v>
      </c>
      <c r="G61" s="13">
        <v>2</v>
      </c>
      <c r="H61" s="13">
        <v>1</v>
      </c>
      <c r="I61" s="13">
        <v>1</v>
      </c>
      <c r="J61" s="13">
        <v>1</v>
      </c>
      <c r="K61" s="19">
        <v>8.4</v>
      </c>
    </row>
    <row r="62" spans="1:11" x14ac:dyDescent="0.25">
      <c r="A62" s="13">
        <v>140</v>
      </c>
      <c r="B62" s="14">
        <v>45892</v>
      </c>
      <c r="C62" s="13" t="str">
        <f t="shared" si="0"/>
        <v>Sábado</v>
      </c>
      <c r="D62" s="20">
        <v>0.67291666666666661</v>
      </c>
      <c r="E62" s="13">
        <f t="shared" si="1"/>
        <v>140</v>
      </c>
      <c r="F62" s="13">
        <f t="shared" si="2"/>
        <v>140</v>
      </c>
      <c r="G62" s="13">
        <v>2</v>
      </c>
      <c r="H62" s="13">
        <v>1</v>
      </c>
      <c r="I62" s="13">
        <v>1</v>
      </c>
      <c r="J62" s="13">
        <v>1</v>
      </c>
      <c r="K62" s="19">
        <v>25.9</v>
      </c>
    </row>
    <row r="63" spans="1:11" x14ac:dyDescent="0.25">
      <c r="A63" s="13">
        <v>141</v>
      </c>
      <c r="B63" s="14">
        <v>45900</v>
      </c>
      <c r="C63" s="13" t="str">
        <f t="shared" si="0"/>
        <v>Domingo</v>
      </c>
      <c r="D63" s="20">
        <v>0.63055555555555554</v>
      </c>
      <c r="E63" s="13">
        <f t="shared" si="1"/>
        <v>141</v>
      </c>
      <c r="F63" s="13">
        <f t="shared" si="2"/>
        <v>141</v>
      </c>
      <c r="G63" s="13">
        <v>1</v>
      </c>
      <c r="H63" s="13">
        <v>1</v>
      </c>
      <c r="I63" s="13">
        <v>1</v>
      </c>
      <c r="J63" s="13">
        <v>1</v>
      </c>
      <c r="K63" s="19">
        <v>8.8000000000000007</v>
      </c>
    </row>
    <row r="64" spans="1:11" x14ac:dyDescent="0.25">
      <c r="A64" s="13">
        <v>142</v>
      </c>
      <c r="B64" s="14">
        <v>45900</v>
      </c>
      <c r="C64" s="13" t="str">
        <f t="shared" si="0"/>
        <v>Domingo</v>
      </c>
      <c r="D64" s="20">
        <v>0.64027777777777783</v>
      </c>
      <c r="E64" s="13">
        <f t="shared" si="1"/>
        <v>142</v>
      </c>
      <c r="F64" s="13">
        <f t="shared" si="2"/>
        <v>142</v>
      </c>
      <c r="G64" s="13">
        <v>2</v>
      </c>
      <c r="H64" s="13">
        <v>1</v>
      </c>
      <c r="I64" s="13">
        <v>1</v>
      </c>
      <c r="J64" s="13">
        <v>1</v>
      </c>
      <c r="K64" s="19">
        <v>15.75</v>
      </c>
    </row>
    <row r="65" spans="1:11" x14ac:dyDescent="0.25">
      <c r="A65" s="13">
        <v>143</v>
      </c>
      <c r="B65" s="14">
        <v>45900</v>
      </c>
      <c r="C65" s="13" t="str">
        <f t="shared" si="0"/>
        <v>Domingo</v>
      </c>
      <c r="D65" s="20">
        <v>0.64097222222222217</v>
      </c>
      <c r="E65" s="13">
        <f t="shared" si="1"/>
        <v>143</v>
      </c>
      <c r="F65" s="13">
        <f t="shared" si="2"/>
        <v>143</v>
      </c>
      <c r="G65" s="13">
        <v>1</v>
      </c>
      <c r="H65" s="13">
        <v>1</v>
      </c>
      <c r="I65" s="13">
        <v>1</v>
      </c>
      <c r="J65" s="13">
        <v>1</v>
      </c>
      <c r="K65" s="19">
        <v>12.05</v>
      </c>
    </row>
    <row r="66" spans="1:11" x14ac:dyDescent="0.25">
      <c r="A66" s="13">
        <v>144</v>
      </c>
      <c r="B66" s="14">
        <v>45900</v>
      </c>
      <c r="C66" s="13" t="str">
        <f t="shared" ref="C66:C129" si="3">PROPER(TEXT(WEEKDAY(B66),"dddd"))</f>
        <v>Domingo</v>
      </c>
      <c r="D66" s="20">
        <v>0.67013888888888884</v>
      </c>
      <c r="E66" s="13">
        <f t="shared" ref="E66:E129" si="4">A66</f>
        <v>144</v>
      </c>
      <c r="F66" s="13">
        <f t="shared" ref="F66:F129" si="5">A66</f>
        <v>144</v>
      </c>
      <c r="G66" s="13">
        <v>2</v>
      </c>
      <c r="H66" s="13">
        <v>1</v>
      </c>
      <c r="I66" s="13">
        <v>1</v>
      </c>
      <c r="J66" s="13">
        <v>1</v>
      </c>
      <c r="K66" s="19">
        <v>11.15</v>
      </c>
    </row>
    <row r="67" spans="1:11" x14ac:dyDescent="0.25">
      <c r="A67" s="13">
        <v>145</v>
      </c>
      <c r="B67" s="14">
        <v>45900</v>
      </c>
      <c r="C67" s="13" t="str">
        <f t="shared" si="3"/>
        <v>Domingo</v>
      </c>
      <c r="D67" s="20">
        <v>0.68472222222222223</v>
      </c>
      <c r="E67" s="13">
        <f t="shared" si="4"/>
        <v>145</v>
      </c>
      <c r="F67" s="13">
        <f t="shared" si="5"/>
        <v>145</v>
      </c>
      <c r="G67" s="13">
        <v>4</v>
      </c>
      <c r="H67" s="13">
        <v>1</v>
      </c>
      <c r="I67" s="13">
        <v>1</v>
      </c>
      <c r="J67" s="13">
        <v>1</v>
      </c>
      <c r="K67" s="19">
        <v>0</v>
      </c>
    </row>
    <row r="68" spans="1:11" x14ac:dyDescent="0.25">
      <c r="A68" s="13">
        <v>146</v>
      </c>
      <c r="B68" s="14">
        <v>45900</v>
      </c>
      <c r="C68" s="13" t="str">
        <f t="shared" si="3"/>
        <v>Domingo</v>
      </c>
      <c r="D68" s="20">
        <v>0.69305555555555554</v>
      </c>
      <c r="E68" s="13">
        <f t="shared" si="4"/>
        <v>146</v>
      </c>
      <c r="F68" s="13">
        <f t="shared" si="5"/>
        <v>146</v>
      </c>
      <c r="G68" s="13">
        <v>2</v>
      </c>
      <c r="H68" s="13">
        <v>1</v>
      </c>
      <c r="I68" s="13">
        <v>1</v>
      </c>
      <c r="J68" s="13">
        <v>1</v>
      </c>
      <c r="K68" s="19">
        <v>8.1999999999999993</v>
      </c>
    </row>
    <row r="69" spans="1:11" x14ac:dyDescent="0.25">
      <c r="A69" s="13">
        <v>147</v>
      </c>
      <c r="B69" s="14">
        <v>45900</v>
      </c>
      <c r="C69" s="13" t="str">
        <f t="shared" si="3"/>
        <v>Domingo</v>
      </c>
      <c r="D69" s="20">
        <v>0.69930555555555562</v>
      </c>
      <c r="E69" s="13">
        <f t="shared" si="4"/>
        <v>147</v>
      </c>
      <c r="F69" s="13">
        <f t="shared" si="5"/>
        <v>147</v>
      </c>
      <c r="G69" s="13">
        <v>2</v>
      </c>
      <c r="H69" s="13">
        <v>1</v>
      </c>
      <c r="I69" s="13">
        <v>1</v>
      </c>
      <c r="J69" s="13">
        <v>1</v>
      </c>
      <c r="K69" s="19">
        <v>22.75</v>
      </c>
    </row>
    <row r="70" spans="1:11" x14ac:dyDescent="0.25">
      <c r="A70" s="13">
        <v>148</v>
      </c>
      <c r="B70" s="14">
        <v>45900</v>
      </c>
      <c r="C70" s="13" t="str">
        <f t="shared" si="3"/>
        <v>Domingo</v>
      </c>
      <c r="D70" s="20">
        <v>0.70138888888888884</v>
      </c>
      <c r="E70" s="13">
        <f t="shared" si="4"/>
        <v>148</v>
      </c>
      <c r="F70" s="13">
        <f t="shared" si="5"/>
        <v>148</v>
      </c>
      <c r="G70" s="13">
        <v>2</v>
      </c>
      <c r="H70" s="13">
        <v>1</v>
      </c>
      <c r="I70" s="13">
        <v>1</v>
      </c>
      <c r="J70" s="13">
        <v>1</v>
      </c>
      <c r="K70" s="19">
        <v>19.55</v>
      </c>
    </row>
    <row r="71" spans="1:11" x14ac:dyDescent="0.25">
      <c r="A71" s="13">
        <v>149</v>
      </c>
      <c r="B71" s="14">
        <v>45900</v>
      </c>
      <c r="C71" s="13" t="str">
        <f t="shared" si="3"/>
        <v>Domingo</v>
      </c>
      <c r="D71" s="20">
        <v>0.73749999999999993</v>
      </c>
      <c r="E71" s="13">
        <f t="shared" si="4"/>
        <v>149</v>
      </c>
      <c r="F71" s="13">
        <f t="shared" si="5"/>
        <v>149</v>
      </c>
      <c r="G71" s="13">
        <v>2</v>
      </c>
      <c r="H71" s="13">
        <v>1</v>
      </c>
      <c r="I71" s="13">
        <v>1</v>
      </c>
      <c r="J71" s="13">
        <v>1</v>
      </c>
      <c r="K71" s="19">
        <v>16.149999999999999</v>
      </c>
    </row>
    <row r="72" spans="1:11" x14ac:dyDescent="0.25">
      <c r="A72" s="13">
        <v>150</v>
      </c>
      <c r="B72" s="14">
        <v>45901</v>
      </c>
      <c r="C72" s="13" t="str">
        <f t="shared" si="3"/>
        <v>Segunda-Feira</v>
      </c>
      <c r="D72" s="20">
        <v>0.72013888888888899</v>
      </c>
      <c r="E72" s="13">
        <f t="shared" si="4"/>
        <v>150</v>
      </c>
      <c r="F72" s="13">
        <f t="shared" si="5"/>
        <v>150</v>
      </c>
      <c r="G72" s="13">
        <v>2</v>
      </c>
      <c r="H72" s="13">
        <v>1</v>
      </c>
      <c r="I72" s="13">
        <v>1</v>
      </c>
      <c r="J72" s="13">
        <v>1</v>
      </c>
      <c r="K72" s="19">
        <v>14.4</v>
      </c>
    </row>
    <row r="73" spans="1:11" x14ac:dyDescent="0.25">
      <c r="A73" s="13">
        <v>151</v>
      </c>
      <c r="B73" s="14">
        <v>45901</v>
      </c>
      <c r="C73" s="13" t="str">
        <f t="shared" si="3"/>
        <v>Segunda-Feira</v>
      </c>
      <c r="D73" s="20">
        <v>0.72361111111111109</v>
      </c>
      <c r="E73" s="13">
        <f t="shared" si="4"/>
        <v>151</v>
      </c>
      <c r="F73" s="13">
        <f t="shared" si="5"/>
        <v>151</v>
      </c>
      <c r="G73" s="13">
        <v>2</v>
      </c>
      <c r="H73" s="13">
        <v>1</v>
      </c>
      <c r="I73" s="13">
        <v>1</v>
      </c>
      <c r="J73" s="13">
        <v>1</v>
      </c>
      <c r="K73" s="19">
        <v>9.6</v>
      </c>
    </row>
    <row r="74" spans="1:11" x14ac:dyDescent="0.25">
      <c r="A74" s="13">
        <v>152</v>
      </c>
      <c r="B74" s="14">
        <v>45901</v>
      </c>
      <c r="C74" s="13" t="str">
        <f t="shared" si="3"/>
        <v>Segunda-Feira</v>
      </c>
      <c r="D74" s="20">
        <v>0.73333333333333339</v>
      </c>
      <c r="E74" s="13">
        <f t="shared" si="4"/>
        <v>152</v>
      </c>
      <c r="F74" s="13">
        <f t="shared" si="5"/>
        <v>152</v>
      </c>
      <c r="G74" s="13">
        <v>3</v>
      </c>
      <c r="H74" s="13">
        <v>1</v>
      </c>
      <c r="I74" s="13">
        <v>1</v>
      </c>
      <c r="J74" s="13">
        <v>1</v>
      </c>
      <c r="K74" s="19">
        <v>0</v>
      </c>
    </row>
    <row r="75" spans="1:11" x14ac:dyDescent="0.25">
      <c r="A75" s="13">
        <v>153</v>
      </c>
      <c r="B75" s="14">
        <v>45901</v>
      </c>
      <c r="C75" s="13" t="str">
        <f t="shared" si="3"/>
        <v>Segunda-Feira</v>
      </c>
      <c r="D75" s="20">
        <v>0.7402777777777777</v>
      </c>
      <c r="E75" s="13">
        <f t="shared" si="4"/>
        <v>153</v>
      </c>
      <c r="F75" s="13">
        <f t="shared" si="5"/>
        <v>153</v>
      </c>
      <c r="G75" s="13">
        <v>2</v>
      </c>
      <c r="H75" s="13">
        <v>1</v>
      </c>
      <c r="I75" s="13">
        <v>1</v>
      </c>
      <c r="J75" s="13">
        <v>1</v>
      </c>
      <c r="K75" s="19">
        <v>20.2</v>
      </c>
    </row>
    <row r="76" spans="1:11" x14ac:dyDescent="0.25">
      <c r="A76" s="13">
        <v>154</v>
      </c>
      <c r="B76" s="14">
        <v>45901</v>
      </c>
      <c r="C76" s="13" t="str">
        <f t="shared" si="3"/>
        <v>Segunda-Feira</v>
      </c>
      <c r="D76" s="20">
        <v>0.75555555555555554</v>
      </c>
      <c r="E76" s="13">
        <f t="shared" si="4"/>
        <v>154</v>
      </c>
      <c r="F76" s="13">
        <f t="shared" si="5"/>
        <v>154</v>
      </c>
      <c r="G76" s="13">
        <v>2</v>
      </c>
      <c r="H76" s="13">
        <v>1</v>
      </c>
      <c r="I76" s="13">
        <v>1</v>
      </c>
      <c r="J76" s="13">
        <v>1</v>
      </c>
      <c r="K76" s="19">
        <v>23.85</v>
      </c>
    </row>
    <row r="77" spans="1:11" x14ac:dyDescent="0.25">
      <c r="A77" s="13">
        <v>155</v>
      </c>
      <c r="B77" s="14">
        <v>45901</v>
      </c>
      <c r="C77" s="13" t="str">
        <f t="shared" si="3"/>
        <v>Segunda-Feira</v>
      </c>
      <c r="D77" s="20">
        <v>0.77569444444444446</v>
      </c>
      <c r="E77" s="13">
        <f t="shared" si="4"/>
        <v>155</v>
      </c>
      <c r="F77" s="13">
        <f t="shared" si="5"/>
        <v>155</v>
      </c>
      <c r="G77" s="13">
        <v>4</v>
      </c>
      <c r="H77" s="13">
        <v>1</v>
      </c>
      <c r="I77" s="13">
        <v>1</v>
      </c>
      <c r="J77" s="13">
        <v>1</v>
      </c>
      <c r="K77" s="19">
        <v>0</v>
      </c>
    </row>
    <row r="78" spans="1:11" x14ac:dyDescent="0.25">
      <c r="A78" s="13">
        <v>156</v>
      </c>
      <c r="B78" s="14">
        <v>45904</v>
      </c>
      <c r="C78" s="13" t="str">
        <f t="shared" si="3"/>
        <v>Quinta-Feira</v>
      </c>
      <c r="D78" s="20">
        <v>0.71875</v>
      </c>
      <c r="E78" s="13">
        <f t="shared" si="4"/>
        <v>156</v>
      </c>
      <c r="F78" s="13">
        <f t="shared" si="5"/>
        <v>156</v>
      </c>
      <c r="G78" s="13">
        <v>1</v>
      </c>
      <c r="H78" s="13">
        <v>1</v>
      </c>
      <c r="I78" s="13">
        <v>1</v>
      </c>
      <c r="J78" s="13">
        <v>1</v>
      </c>
      <c r="K78" s="19">
        <v>8</v>
      </c>
    </row>
    <row r="79" spans="1:11" x14ac:dyDescent="0.25">
      <c r="A79" s="13">
        <v>157</v>
      </c>
      <c r="B79" s="14">
        <v>45904</v>
      </c>
      <c r="C79" s="13" t="str">
        <f t="shared" si="3"/>
        <v>Quinta-Feira</v>
      </c>
      <c r="D79" s="20">
        <v>0.72569444444444453</v>
      </c>
      <c r="E79" s="13">
        <f t="shared" si="4"/>
        <v>157</v>
      </c>
      <c r="F79" s="13">
        <f t="shared" si="5"/>
        <v>157</v>
      </c>
      <c r="G79" s="13">
        <v>1</v>
      </c>
      <c r="H79" s="13">
        <v>1</v>
      </c>
      <c r="I79" s="13">
        <v>1</v>
      </c>
      <c r="J79" s="13">
        <v>1</v>
      </c>
      <c r="K79" s="19">
        <v>28.15</v>
      </c>
    </row>
    <row r="80" spans="1:11" x14ac:dyDescent="0.25">
      <c r="A80" s="13">
        <v>158</v>
      </c>
      <c r="B80" s="14">
        <v>45904</v>
      </c>
      <c r="C80" s="13" t="str">
        <f t="shared" si="3"/>
        <v>Quinta-Feira</v>
      </c>
      <c r="D80" s="20">
        <v>0.74652777777777779</v>
      </c>
      <c r="E80" s="13">
        <f t="shared" si="4"/>
        <v>158</v>
      </c>
      <c r="F80" s="13">
        <f t="shared" si="5"/>
        <v>158</v>
      </c>
      <c r="G80" s="13">
        <v>2</v>
      </c>
      <c r="H80" s="13">
        <v>1</v>
      </c>
      <c r="I80" s="13">
        <v>1</v>
      </c>
      <c r="J80" s="13">
        <v>1</v>
      </c>
      <c r="K80" s="19">
        <v>17.149999999999999</v>
      </c>
    </row>
    <row r="81" spans="1:11" x14ac:dyDescent="0.25">
      <c r="A81" s="13">
        <v>159</v>
      </c>
      <c r="B81" s="14">
        <v>45904</v>
      </c>
      <c r="C81" s="13" t="str">
        <f t="shared" si="3"/>
        <v>Quinta-Feira</v>
      </c>
      <c r="D81" s="20">
        <v>0.76111111111111107</v>
      </c>
      <c r="E81" s="13">
        <f t="shared" si="4"/>
        <v>159</v>
      </c>
      <c r="F81" s="13">
        <f t="shared" si="5"/>
        <v>159</v>
      </c>
      <c r="G81" s="13">
        <v>2</v>
      </c>
      <c r="H81" s="13">
        <v>1</v>
      </c>
      <c r="I81" s="13">
        <v>1</v>
      </c>
      <c r="J81" s="13">
        <v>1</v>
      </c>
      <c r="K81" s="19">
        <v>14.15</v>
      </c>
    </row>
    <row r="82" spans="1:11" x14ac:dyDescent="0.25">
      <c r="A82" s="13">
        <v>160</v>
      </c>
      <c r="B82" s="14">
        <v>45904</v>
      </c>
      <c r="C82" s="13" t="str">
        <f t="shared" si="3"/>
        <v>Quinta-Feira</v>
      </c>
      <c r="D82" s="20">
        <v>0.77777777777777779</v>
      </c>
      <c r="E82" s="13">
        <f t="shared" si="4"/>
        <v>160</v>
      </c>
      <c r="F82" s="13">
        <f t="shared" si="5"/>
        <v>160</v>
      </c>
      <c r="G82" s="13">
        <v>2</v>
      </c>
      <c r="H82" s="13">
        <v>1</v>
      </c>
      <c r="I82" s="13">
        <v>1</v>
      </c>
      <c r="J82" s="13">
        <v>1</v>
      </c>
      <c r="K82" s="19">
        <v>5.5</v>
      </c>
    </row>
    <row r="83" spans="1:11" x14ac:dyDescent="0.25">
      <c r="A83" s="13">
        <v>161</v>
      </c>
      <c r="B83" s="14">
        <v>45904</v>
      </c>
      <c r="C83" s="13" t="str">
        <f t="shared" si="3"/>
        <v>Quinta-Feira</v>
      </c>
      <c r="D83" s="20">
        <v>0.78472222222222221</v>
      </c>
      <c r="E83" s="13">
        <f t="shared" si="4"/>
        <v>161</v>
      </c>
      <c r="F83" s="13">
        <f t="shared" si="5"/>
        <v>161</v>
      </c>
      <c r="G83" s="13">
        <v>1</v>
      </c>
      <c r="H83" s="13">
        <v>1</v>
      </c>
      <c r="I83" s="13">
        <v>1</v>
      </c>
      <c r="J83" s="13">
        <v>1</v>
      </c>
      <c r="K83" s="19">
        <v>16.100000000000001</v>
      </c>
    </row>
    <row r="84" spans="1:11" x14ac:dyDescent="0.25">
      <c r="A84" s="13">
        <v>162</v>
      </c>
      <c r="B84" s="14">
        <v>45906</v>
      </c>
      <c r="C84" s="13" t="str">
        <f t="shared" si="3"/>
        <v>Sábado</v>
      </c>
      <c r="D84" s="20">
        <v>0.4513888888888889</v>
      </c>
      <c r="E84" s="13">
        <f t="shared" si="4"/>
        <v>162</v>
      </c>
      <c r="F84" s="13">
        <f t="shared" si="5"/>
        <v>162</v>
      </c>
      <c r="G84" s="13">
        <v>2</v>
      </c>
      <c r="H84" s="13">
        <v>1</v>
      </c>
      <c r="I84" s="13">
        <v>1</v>
      </c>
      <c r="J84" s="13">
        <v>1</v>
      </c>
      <c r="K84" s="19">
        <v>24.9</v>
      </c>
    </row>
    <row r="85" spans="1:11" x14ac:dyDescent="0.25">
      <c r="A85" s="13">
        <v>163</v>
      </c>
      <c r="B85" s="14">
        <v>45906</v>
      </c>
      <c r="C85" s="13" t="str">
        <f t="shared" si="3"/>
        <v>Sábado</v>
      </c>
      <c r="D85" s="20">
        <v>0.47013888888888888</v>
      </c>
      <c r="E85" s="13">
        <f t="shared" si="4"/>
        <v>163</v>
      </c>
      <c r="F85" s="13">
        <f t="shared" si="5"/>
        <v>163</v>
      </c>
      <c r="G85" s="13">
        <v>1</v>
      </c>
      <c r="H85" s="13">
        <v>1</v>
      </c>
      <c r="I85" s="13">
        <v>1</v>
      </c>
      <c r="J85" s="13">
        <v>1</v>
      </c>
      <c r="K85" s="19">
        <v>6.6</v>
      </c>
    </row>
    <row r="86" spans="1:11" x14ac:dyDescent="0.25">
      <c r="A86" s="13">
        <v>164</v>
      </c>
      <c r="B86" s="14">
        <v>45906</v>
      </c>
      <c r="C86" s="13" t="str">
        <f t="shared" si="3"/>
        <v>Sábado</v>
      </c>
      <c r="D86" s="20">
        <v>0.47430555555555554</v>
      </c>
      <c r="E86" s="13">
        <f t="shared" si="4"/>
        <v>164</v>
      </c>
      <c r="F86" s="13">
        <f t="shared" si="5"/>
        <v>164</v>
      </c>
      <c r="G86" s="13">
        <v>2</v>
      </c>
      <c r="H86" s="13">
        <v>1</v>
      </c>
      <c r="I86" s="13">
        <v>1</v>
      </c>
      <c r="J86" s="13">
        <v>1</v>
      </c>
      <c r="K86" s="19">
        <v>20.45</v>
      </c>
    </row>
    <row r="87" spans="1:11" x14ac:dyDescent="0.25">
      <c r="A87" s="13">
        <v>165</v>
      </c>
      <c r="B87" s="14">
        <v>45906</v>
      </c>
      <c r="C87" s="13" t="str">
        <f t="shared" si="3"/>
        <v>Sábado</v>
      </c>
      <c r="D87" s="20">
        <v>0.48194444444444445</v>
      </c>
      <c r="E87" s="13">
        <f t="shared" si="4"/>
        <v>165</v>
      </c>
      <c r="F87" s="13">
        <f t="shared" si="5"/>
        <v>165</v>
      </c>
      <c r="G87" s="13">
        <v>3</v>
      </c>
      <c r="H87" s="13">
        <v>1</v>
      </c>
      <c r="I87" s="13">
        <v>1</v>
      </c>
      <c r="J87" s="13">
        <v>1</v>
      </c>
      <c r="K87" s="19">
        <v>0</v>
      </c>
    </row>
    <row r="88" spans="1:11" x14ac:dyDescent="0.25">
      <c r="A88" s="13">
        <v>166</v>
      </c>
      <c r="B88" s="14">
        <v>45906</v>
      </c>
      <c r="C88" s="13" t="str">
        <f t="shared" si="3"/>
        <v>Sábado</v>
      </c>
      <c r="D88" s="20">
        <v>0.49513888888888885</v>
      </c>
      <c r="E88" s="13">
        <f t="shared" si="4"/>
        <v>166</v>
      </c>
      <c r="F88" s="13">
        <f t="shared" si="5"/>
        <v>166</v>
      </c>
      <c r="G88" s="13">
        <v>2</v>
      </c>
      <c r="H88" s="13">
        <v>1</v>
      </c>
      <c r="I88" s="13">
        <v>1</v>
      </c>
      <c r="J88" s="13">
        <v>1</v>
      </c>
      <c r="K88" s="19">
        <v>12.65</v>
      </c>
    </row>
    <row r="89" spans="1:11" x14ac:dyDescent="0.25">
      <c r="A89" s="13">
        <v>167</v>
      </c>
      <c r="B89" s="14">
        <v>45906</v>
      </c>
      <c r="C89" s="13" t="str">
        <f t="shared" si="3"/>
        <v>Sábado</v>
      </c>
      <c r="D89" s="20">
        <v>0.50624999999999998</v>
      </c>
      <c r="E89" s="13">
        <f t="shared" si="4"/>
        <v>167</v>
      </c>
      <c r="F89" s="13">
        <f t="shared" si="5"/>
        <v>167</v>
      </c>
      <c r="G89" s="13">
        <v>2</v>
      </c>
      <c r="H89" s="13">
        <v>1</v>
      </c>
      <c r="I89" s="13">
        <v>1</v>
      </c>
      <c r="J89" s="13">
        <v>1</v>
      </c>
      <c r="K89" s="19">
        <v>45.1</v>
      </c>
    </row>
    <row r="90" spans="1:11" x14ac:dyDescent="0.25">
      <c r="A90" s="13">
        <v>168</v>
      </c>
      <c r="B90" s="14">
        <v>45906</v>
      </c>
      <c r="C90" s="13" t="str">
        <f t="shared" si="3"/>
        <v>Sábado</v>
      </c>
      <c r="D90" s="20">
        <v>0.54791666666666672</v>
      </c>
      <c r="E90" s="13">
        <f t="shared" si="4"/>
        <v>168</v>
      </c>
      <c r="F90" s="13">
        <f t="shared" si="5"/>
        <v>168</v>
      </c>
      <c r="G90" s="13">
        <v>2</v>
      </c>
      <c r="H90" s="13">
        <v>1</v>
      </c>
      <c r="I90" s="13">
        <v>1</v>
      </c>
      <c r="J90" s="13">
        <v>1</v>
      </c>
      <c r="K90" s="19">
        <v>2.15</v>
      </c>
    </row>
    <row r="91" spans="1:11" x14ac:dyDescent="0.25">
      <c r="A91" s="13">
        <v>169</v>
      </c>
      <c r="B91" s="14">
        <v>45906</v>
      </c>
      <c r="C91" s="13" t="str">
        <f t="shared" si="3"/>
        <v>Sábado</v>
      </c>
      <c r="D91" s="20">
        <v>0.55277777777777781</v>
      </c>
      <c r="E91" s="13">
        <f t="shared" si="4"/>
        <v>169</v>
      </c>
      <c r="F91" s="13">
        <f t="shared" si="5"/>
        <v>169</v>
      </c>
      <c r="G91" s="13">
        <v>2</v>
      </c>
      <c r="H91" s="13">
        <v>1</v>
      </c>
      <c r="I91" s="13">
        <v>1</v>
      </c>
      <c r="J91" s="13">
        <v>1</v>
      </c>
      <c r="K91" s="19">
        <v>26.25</v>
      </c>
    </row>
    <row r="92" spans="1:11" x14ac:dyDescent="0.25">
      <c r="A92" s="13">
        <v>170</v>
      </c>
      <c r="B92" s="14">
        <v>45906</v>
      </c>
      <c r="C92" s="13" t="str">
        <f t="shared" si="3"/>
        <v>Sábado</v>
      </c>
      <c r="D92" s="20">
        <v>0.58611111111111114</v>
      </c>
      <c r="E92" s="13">
        <f t="shared" si="4"/>
        <v>170</v>
      </c>
      <c r="F92" s="13">
        <f t="shared" si="5"/>
        <v>170</v>
      </c>
      <c r="G92" s="13">
        <v>2</v>
      </c>
      <c r="H92" s="13">
        <v>1</v>
      </c>
      <c r="I92" s="13">
        <v>1</v>
      </c>
      <c r="J92" s="13">
        <v>1</v>
      </c>
      <c r="K92" s="19">
        <v>14.15</v>
      </c>
    </row>
    <row r="93" spans="1:11" x14ac:dyDescent="0.25">
      <c r="A93" s="13">
        <v>171</v>
      </c>
      <c r="B93" s="14">
        <v>45906</v>
      </c>
      <c r="C93" s="13" t="str">
        <f t="shared" si="3"/>
        <v>Sábado</v>
      </c>
      <c r="D93" s="20">
        <v>0.59722222222222221</v>
      </c>
      <c r="E93" s="13">
        <f t="shared" si="4"/>
        <v>171</v>
      </c>
      <c r="F93" s="13">
        <f t="shared" si="5"/>
        <v>171</v>
      </c>
      <c r="G93" s="13">
        <v>2</v>
      </c>
      <c r="H93" s="13">
        <v>1</v>
      </c>
      <c r="I93" s="13">
        <v>1</v>
      </c>
      <c r="J93" s="13">
        <v>1</v>
      </c>
      <c r="K93" s="19">
        <v>5.5</v>
      </c>
    </row>
    <row r="94" spans="1:11" x14ac:dyDescent="0.25">
      <c r="A94" s="13">
        <v>172</v>
      </c>
      <c r="B94" s="14">
        <v>45906</v>
      </c>
      <c r="C94" s="13" t="str">
        <f t="shared" si="3"/>
        <v>Sábado</v>
      </c>
      <c r="D94" s="20">
        <v>0.60625000000000007</v>
      </c>
      <c r="E94" s="13">
        <f t="shared" si="4"/>
        <v>172</v>
      </c>
      <c r="F94" s="13">
        <f t="shared" si="5"/>
        <v>172</v>
      </c>
      <c r="G94" s="13">
        <v>2</v>
      </c>
      <c r="H94" s="13">
        <v>1</v>
      </c>
      <c r="I94" s="13">
        <v>1</v>
      </c>
      <c r="J94" s="13">
        <v>1</v>
      </c>
      <c r="K94" s="19">
        <v>6.9</v>
      </c>
    </row>
    <row r="95" spans="1:11" x14ac:dyDescent="0.25">
      <c r="A95" s="13">
        <v>173</v>
      </c>
      <c r="B95" s="14">
        <v>45906</v>
      </c>
      <c r="C95" s="13" t="str">
        <f t="shared" si="3"/>
        <v>Sábado</v>
      </c>
      <c r="D95" s="20">
        <v>0.61736111111111114</v>
      </c>
      <c r="E95" s="13">
        <f t="shared" si="4"/>
        <v>173</v>
      </c>
      <c r="F95" s="13">
        <f t="shared" si="5"/>
        <v>173</v>
      </c>
      <c r="G95" s="13">
        <v>2</v>
      </c>
      <c r="H95" s="13">
        <v>1</v>
      </c>
      <c r="I95" s="13">
        <v>1</v>
      </c>
      <c r="J95" s="13">
        <v>1</v>
      </c>
      <c r="K95" s="19">
        <v>16.649999999999999</v>
      </c>
    </row>
    <row r="96" spans="1:11" x14ac:dyDescent="0.25">
      <c r="A96" s="13">
        <v>174</v>
      </c>
      <c r="B96" s="14">
        <v>45908</v>
      </c>
      <c r="C96" s="13" t="str">
        <f t="shared" si="3"/>
        <v>Segunda-Feira</v>
      </c>
      <c r="D96" s="20">
        <v>0.72569444444444453</v>
      </c>
      <c r="E96" s="13">
        <f t="shared" si="4"/>
        <v>174</v>
      </c>
      <c r="F96" s="13">
        <f t="shared" si="5"/>
        <v>174</v>
      </c>
      <c r="G96" s="13">
        <v>2</v>
      </c>
      <c r="H96" s="13">
        <v>1</v>
      </c>
      <c r="I96" s="13">
        <v>1</v>
      </c>
      <c r="J96" s="13">
        <v>1</v>
      </c>
      <c r="K96" s="19">
        <v>7.25</v>
      </c>
    </row>
    <row r="97" spans="1:11" x14ac:dyDescent="0.25">
      <c r="A97" s="13">
        <v>175</v>
      </c>
      <c r="B97" s="14">
        <v>45908</v>
      </c>
      <c r="C97" s="13" t="str">
        <f t="shared" si="3"/>
        <v>Segunda-Feira</v>
      </c>
      <c r="D97" s="20">
        <v>0.73402777777777783</v>
      </c>
      <c r="E97" s="13">
        <f t="shared" si="4"/>
        <v>175</v>
      </c>
      <c r="F97" s="13">
        <f t="shared" si="5"/>
        <v>175</v>
      </c>
      <c r="G97" s="13">
        <v>1</v>
      </c>
      <c r="H97" s="13">
        <v>1</v>
      </c>
      <c r="I97" s="13">
        <v>1</v>
      </c>
      <c r="J97" s="13">
        <v>1</v>
      </c>
      <c r="K97" s="19">
        <v>6.45</v>
      </c>
    </row>
    <row r="98" spans="1:11" x14ac:dyDescent="0.25">
      <c r="A98" s="13">
        <v>176</v>
      </c>
      <c r="B98" s="14">
        <v>45908</v>
      </c>
      <c r="C98" s="13" t="str">
        <f t="shared" si="3"/>
        <v>Segunda-Feira</v>
      </c>
      <c r="D98" s="20">
        <v>0.7402777777777777</v>
      </c>
      <c r="E98" s="13">
        <f t="shared" si="4"/>
        <v>176</v>
      </c>
      <c r="F98" s="13">
        <f t="shared" si="5"/>
        <v>176</v>
      </c>
      <c r="G98" s="13">
        <v>2</v>
      </c>
      <c r="H98" s="13">
        <v>1</v>
      </c>
      <c r="I98" s="13">
        <v>1</v>
      </c>
      <c r="J98" s="13">
        <v>1</v>
      </c>
      <c r="K98" s="19">
        <v>13.65</v>
      </c>
    </row>
    <row r="99" spans="1:11" x14ac:dyDescent="0.25">
      <c r="A99" s="13">
        <v>177</v>
      </c>
      <c r="B99" s="14">
        <v>45908</v>
      </c>
      <c r="C99" s="13" t="str">
        <f t="shared" si="3"/>
        <v>Segunda-Feira</v>
      </c>
      <c r="D99" s="20">
        <v>0.75138888888888899</v>
      </c>
      <c r="E99" s="13">
        <f t="shared" si="4"/>
        <v>177</v>
      </c>
      <c r="F99" s="13">
        <f t="shared" si="5"/>
        <v>177</v>
      </c>
      <c r="G99" s="13">
        <v>2</v>
      </c>
      <c r="H99" s="13">
        <v>1</v>
      </c>
      <c r="I99" s="13">
        <v>1</v>
      </c>
      <c r="J99" s="13">
        <v>1</v>
      </c>
      <c r="K99" s="19">
        <v>10</v>
      </c>
    </row>
    <row r="100" spans="1:11" x14ac:dyDescent="0.25">
      <c r="A100" s="13">
        <v>178</v>
      </c>
      <c r="B100" s="14">
        <v>45908</v>
      </c>
      <c r="C100" s="13" t="str">
        <f t="shared" si="3"/>
        <v>Segunda-Feira</v>
      </c>
      <c r="D100" s="20">
        <v>0.76527777777777783</v>
      </c>
      <c r="E100" s="13">
        <f t="shared" si="4"/>
        <v>178</v>
      </c>
      <c r="F100" s="13">
        <f t="shared" si="5"/>
        <v>178</v>
      </c>
      <c r="G100" s="13">
        <v>1</v>
      </c>
      <c r="H100" s="13">
        <v>1</v>
      </c>
      <c r="I100" s="13">
        <v>1</v>
      </c>
      <c r="J100" s="13">
        <v>1</v>
      </c>
      <c r="K100" s="19">
        <v>10.3</v>
      </c>
    </row>
    <row r="101" spans="1:11" x14ac:dyDescent="0.25">
      <c r="A101" s="13">
        <v>179</v>
      </c>
      <c r="B101" s="14">
        <v>45908</v>
      </c>
      <c r="C101" s="13" t="str">
        <f t="shared" si="3"/>
        <v>Segunda-Feira</v>
      </c>
      <c r="D101" s="20">
        <v>0.77361111111111114</v>
      </c>
      <c r="E101" s="13">
        <f t="shared" si="4"/>
        <v>179</v>
      </c>
      <c r="F101" s="13">
        <f t="shared" si="5"/>
        <v>179</v>
      </c>
      <c r="G101" s="13">
        <v>2</v>
      </c>
      <c r="H101" s="13">
        <v>1</v>
      </c>
      <c r="I101" s="13">
        <v>1</v>
      </c>
      <c r="J101" s="13">
        <v>1</v>
      </c>
      <c r="K101" s="19">
        <v>9.6</v>
      </c>
    </row>
    <row r="102" spans="1:11" x14ac:dyDescent="0.25">
      <c r="A102" s="13">
        <v>180</v>
      </c>
      <c r="B102" s="14">
        <v>45908</v>
      </c>
      <c r="C102" s="13" t="str">
        <f t="shared" si="3"/>
        <v>Segunda-Feira</v>
      </c>
      <c r="D102" s="20">
        <v>0.78611111111111109</v>
      </c>
      <c r="E102" s="13">
        <f t="shared" si="4"/>
        <v>180</v>
      </c>
      <c r="F102" s="13">
        <f t="shared" si="5"/>
        <v>180</v>
      </c>
      <c r="G102" s="13">
        <v>2</v>
      </c>
      <c r="H102" s="13">
        <v>1</v>
      </c>
      <c r="I102" s="13">
        <v>1</v>
      </c>
      <c r="J102" s="13">
        <v>1</v>
      </c>
      <c r="K102" s="19">
        <v>7.5</v>
      </c>
    </row>
    <row r="103" spans="1:11" x14ac:dyDescent="0.25">
      <c r="A103" s="13">
        <v>181</v>
      </c>
      <c r="B103" s="14">
        <v>45909</v>
      </c>
      <c r="C103" s="13" t="str">
        <f t="shared" si="3"/>
        <v>Terça-Feira</v>
      </c>
      <c r="D103" s="20">
        <v>0.73402777777777783</v>
      </c>
      <c r="E103" s="13">
        <f t="shared" si="4"/>
        <v>181</v>
      </c>
      <c r="F103" s="13">
        <f t="shared" si="5"/>
        <v>181</v>
      </c>
      <c r="G103" s="13">
        <v>2</v>
      </c>
      <c r="H103" s="13">
        <v>1</v>
      </c>
      <c r="I103" s="13">
        <v>1</v>
      </c>
      <c r="J103" s="13">
        <v>1</v>
      </c>
      <c r="K103" s="19">
        <v>10.1</v>
      </c>
    </row>
    <row r="104" spans="1:11" x14ac:dyDescent="0.25">
      <c r="A104" s="13">
        <v>182</v>
      </c>
      <c r="B104" s="14">
        <v>45909</v>
      </c>
      <c r="C104" s="13" t="str">
        <f t="shared" si="3"/>
        <v>Terça-Feira</v>
      </c>
      <c r="D104" s="20">
        <v>0.7416666666666667</v>
      </c>
      <c r="E104" s="13">
        <f t="shared" si="4"/>
        <v>182</v>
      </c>
      <c r="F104" s="13">
        <f t="shared" si="5"/>
        <v>182</v>
      </c>
      <c r="G104" s="13">
        <v>2</v>
      </c>
      <c r="H104" s="13">
        <v>1</v>
      </c>
      <c r="I104" s="13">
        <v>1</v>
      </c>
      <c r="J104" s="13">
        <v>1</v>
      </c>
      <c r="K104" s="19">
        <v>20.100000000000001</v>
      </c>
    </row>
    <row r="105" spans="1:11" x14ac:dyDescent="0.25">
      <c r="A105" s="13">
        <v>183</v>
      </c>
      <c r="B105" s="14">
        <v>45909</v>
      </c>
      <c r="C105" s="13" t="str">
        <f t="shared" si="3"/>
        <v>Terça-Feira</v>
      </c>
      <c r="D105" s="20">
        <v>0.75694444444444453</v>
      </c>
      <c r="E105" s="13">
        <f t="shared" si="4"/>
        <v>183</v>
      </c>
      <c r="F105" s="13">
        <f t="shared" si="5"/>
        <v>183</v>
      </c>
      <c r="G105" s="13">
        <v>2</v>
      </c>
      <c r="H105" s="13">
        <v>1</v>
      </c>
      <c r="I105" s="13">
        <v>1</v>
      </c>
      <c r="J105" s="13">
        <v>1</v>
      </c>
      <c r="K105" s="19">
        <v>29.5</v>
      </c>
    </row>
    <row r="106" spans="1:11" x14ac:dyDescent="0.25">
      <c r="A106" s="13">
        <v>184</v>
      </c>
      <c r="B106" s="14">
        <v>45909</v>
      </c>
      <c r="C106" s="13" t="str">
        <f t="shared" si="3"/>
        <v>Terça-Feira</v>
      </c>
      <c r="D106" s="20">
        <v>0.78263888888888899</v>
      </c>
      <c r="E106" s="13">
        <f t="shared" si="4"/>
        <v>184</v>
      </c>
      <c r="F106" s="13">
        <f t="shared" si="5"/>
        <v>184</v>
      </c>
      <c r="G106" s="13">
        <v>2</v>
      </c>
      <c r="H106" s="13">
        <v>1</v>
      </c>
      <c r="I106" s="13">
        <v>1</v>
      </c>
      <c r="J106" s="13">
        <v>1</v>
      </c>
      <c r="K106" s="19">
        <v>5.35</v>
      </c>
    </row>
    <row r="107" spans="1:11" x14ac:dyDescent="0.25">
      <c r="A107" s="13">
        <v>2</v>
      </c>
      <c r="B107" s="14">
        <v>45911</v>
      </c>
      <c r="C107" s="13" t="str">
        <f t="shared" si="3"/>
        <v>Quinta-Feira</v>
      </c>
      <c r="D107" s="20">
        <v>0.65208333333333335</v>
      </c>
      <c r="E107" s="13">
        <f t="shared" si="4"/>
        <v>2</v>
      </c>
      <c r="F107" s="13">
        <f t="shared" si="5"/>
        <v>2</v>
      </c>
      <c r="G107" s="13">
        <v>2</v>
      </c>
      <c r="H107" s="13">
        <v>1</v>
      </c>
      <c r="I107" s="13">
        <v>1</v>
      </c>
      <c r="J107" s="13">
        <v>2</v>
      </c>
      <c r="K107" s="19">
        <v>8.51</v>
      </c>
    </row>
    <row r="108" spans="1:11" x14ac:dyDescent="0.25">
      <c r="A108" s="13">
        <v>185</v>
      </c>
      <c r="B108" s="14">
        <v>45911</v>
      </c>
      <c r="C108" s="13" t="str">
        <f t="shared" si="3"/>
        <v>Quinta-Feira</v>
      </c>
      <c r="D108" s="20">
        <v>0.63194444444444442</v>
      </c>
      <c r="E108" s="13">
        <f t="shared" si="4"/>
        <v>185</v>
      </c>
      <c r="F108" s="13">
        <f t="shared" si="5"/>
        <v>185</v>
      </c>
      <c r="G108" s="13">
        <v>2</v>
      </c>
      <c r="H108" s="13">
        <v>1</v>
      </c>
      <c r="I108" s="13">
        <v>1</v>
      </c>
      <c r="J108" s="13">
        <v>1</v>
      </c>
      <c r="K108" s="19">
        <v>3</v>
      </c>
    </row>
    <row r="109" spans="1:11" x14ac:dyDescent="0.25">
      <c r="A109" s="13">
        <v>186</v>
      </c>
      <c r="B109" s="14">
        <v>45911</v>
      </c>
      <c r="C109" s="13" t="str">
        <f t="shared" si="3"/>
        <v>Quinta-Feira</v>
      </c>
      <c r="D109" s="20">
        <v>0.64236111111111105</v>
      </c>
      <c r="E109" s="13">
        <f t="shared" si="4"/>
        <v>186</v>
      </c>
      <c r="F109" s="13">
        <f t="shared" si="5"/>
        <v>186</v>
      </c>
      <c r="G109" s="13">
        <v>1</v>
      </c>
      <c r="H109" s="13">
        <v>1</v>
      </c>
      <c r="I109" s="13">
        <v>1</v>
      </c>
      <c r="J109" s="13">
        <v>1</v>
      </c>
      <c r="K109" s="19">
        <v>4.3499999999999996</v>
      </c>
    </row>
    <row r="110" spans="1:11" x14ac:dyDescent="0.25">
      <c r="A110" s="13">
        <v>187</v>
      </c>
      <c r="B110" s="14">
        <v>45911</v>
      </c>
      <c r="C110" s="13" t="str">
        <f t="shared" si="3"/>
        <v>Quinta-Feira</v>
      </c>
      <c r="D110" s="20">
        <v>0.65694444444444444</v>
      </c>
      <c r="E110" s="13">
        <f t="shared" si="4"/>
        <v>187</v>
      </c>
      <c r="F110" s="13">
        <f t="shared" si="5"/>
        <v>187</v>
      </c>
      <c r="G110" s="13">
        <v>2</v>
      </c>
      <c r="H110" s="13">
        <v>1</v>
      </c>
      <c r="I110" s="13">
        <v>1</v>
      </c>
      <c r="J110" s="13">
        <v>1</v>
      </c>
      <c r="K110" s="19">
        <v>8.0500000000000007</v>
      </c>
    </row>
    <row r="111" spans="1:11" x14ac:dyDescent="0.25">
      <c r="A111" s="13">
        <v>188</v>
      </c>
      <c r="B111" s="14">
        <v>45911</v>
      </c>
      <c r="C111" s="13" t="str">
        <f t="shared" si="3"/>
        <v>Quinta-Feira</v>
      </c>
      <c r="D111" s="20">
        <v>0.67083333333333339</v>
      </c>
      <c r="E111" s="13">
        <f t="shared" si="4"/>
        <v>188</v>
      </c>
      <c r="F111" s="13">
        <f t="shared" si="5"/>
        <v>188</v>
      </c>
      <c r="G111" s="13">
        <v>2</v>
      </c>
      <c r="H111" s="13">
        <v>1</v>
      </c>
      <c r="I111" s="13">
        <v>1</v>
      </c>
      <c r="J111" s="13">
        <v>1</v>
      </c>
      <c r="K111" s="19">
        <v>13.15</v>
      </c>
    </row>
    <row r="112" spans="1:11" x14ac:dyDescent="0.25">
      <c r="A112" s="13">
        <v>189</v>
      </c>
      <c r="B112" s="14">
        <v>45911</v>
      </c>
      <c r="C112" s="13" t="str">
        <f t="shared" si="3"/>
        <v>Quinta-Feira</v>
      </c>
      <c r="D112" s="20">
        <v>0.68194444444444446</v>
      </c>
      <c r="E112" s="13">
        <f t="shared" si="4"/>
        <v>189</v>
      </c>
      <c r="F112" s="13">
        <f t="shared" si="5"/>
        <v>189</v>
      </c>
      <c r="G112" s="13">
        <v>2</v>
      </c>
      <c r="H112" s="13">
        <v>1</v>
      </c>
      <c r="I112" s="13">
        <v>1</v>
      </c>
      <c r="J112" s="13">
        <v>1</v>
      </c>
      <c r="K112" s="19">
        <v>10</v>
      </c>
    </row>
    <row r="113" spans="1:11" x14ac:dyDescent="0.25">
      <c r="A113" s="13">
        <v>190</v>
      </c>
      <c r="B113" s="14">
        <v>45911</v>
      </c>
      <c r="C113" s="13" t="str">
        <f t="shared" si="3"/>
        <v>Quinta-Feira</v>
      </c>
      <c r="D113" s="20">
        <v>0.69791666666666663</v>
      </c>
      <c r="E113" s="13">
        <f t="shared" si="4"/>
        <v>190</v>
      </c>
      <c r="F113" s="13">
        <f t="shared" si="5"/>
        <v>190</v>
      </c>
      <c r="G113" s="13">
        <v>2</v>
      </c>
      <c r="H113" s="13">
        <v>1</v>
      </c>
      <c r="I113" s="13">
        <v>1</v>
      </c>
      <c r="J113" s="13">
        <v>1</v>
      </c>
      <c r="K113" s="19">
        <v>7.25</v>
      </c>
    </row>
    <row r="114" spans="1:11" x14ac:dyDescent="0.25">
      <c r="A114" s="13">
        <v>191</v>
      </c>
      <c r="B114" s="14">
        <v>45911</v>
      </c>
      <c r="C114" s="13" t="str">
        <f t="shared" si="3"/>
        <v>Quinta-Feira</v>
      </c>
      <c r="D114" s="20">
        <v>0.70624999999999993</v>
      </c>
      <c r="E114" s="13">
        <f t="shared" si="4"/>
        <v>191</v>
      </c>
      <c r="F114" s="13">
        <f t="shared" si="5"/>
        <v>191</v>
      </c>
      <c r="G114" s="13">
        <v>2</v>
      </c>
      <c r="H114" s="13">
        <v>1</v>
      </c>
      <c r="I114" s="13">
        <v>1</v>
      </c>
      <c r="J114" s="13">
        <v>1</v>
      </c>
      <c r="K114" s="19">
        <v>10.75</v>
      </c>
    </row>
    <row r="115" spans="1:11" x14ac:dyDescent="0.25">
      <c r="A115" s="13">
        <v>192</v>
      </c>
      <c r="B115" s="14">
        <v>45911</v>
      </c>
      <c r="C115" s="13" t="str">
        <f t="shared" si="3"/>
        <v>Quinta-Feira</v>
      </c>
      <c r="D115" s="20">
        <v>0.71388888888888891</v>
      </c>
      <c r="E115" s="13">
        <f t="shared" si="4"/>
        <v>192</v>
      </c>
      <c r="F115" s="13">
        <f t="shared" si="5"/>
        <v>192</v>
      </c>
      <c r="G115" s="13">
        <v>1</v>
      </c>
      <c r="H115" s="13">
        <v>1</v>
      </c>
      <c r="I115" s="13">
        <v>1</v>
      </c>
      <c r="J115" s="13">
        <v>1</v>
      </c>
      <c r="K115" s="19">
        <v>12.6</v>
      </c>
    </row>
    <row r="116" spans="1:11" x14ac:dyDescent="0.25">
      <c r="A116" s="13">
        <v>193</v>
      </c>
      <c r="B116" s="14">
        <v>45911</v>
      </c>
      <c r="C116" s="13" t="str">
        <f t="shared" si="3"/>
        <v>Quinta-Feira</v>
      </c>
      <c r="D116" s="20">
        <v>0.72916666666666663</v>
      </c>
      <c r="E116" s="13">
        <f t="shared" si="4"/>
        <v>193</v>
      </c>
      <c r="F116" s="13">
        <f t="shared" si="5"/>
        <v>193</v>
      </c>
      <c r="G116" s="13">
        <v>2</v>
      </c>
      <c r="H116" s="13">
        <v>1</v>
      </c>
      <c r="I116" s="13">
        <v>1</v>
      </c>
      <c r="J116" s="13">
        <v>1</v>
      </c>
      <c r="K116" s="19">
        <v>27.6</v>
      </c>
    </row>
    <row r="117" spans="1:11" x14ac:dyDescent="0.25">
      <c r="A117" s="13">
        <v>3</v>
      </c>
      <c r="B117" s="14">
        <v>45913</v>
      </c>
      <c r="C117" s="13" t="str">
        <f t="shared" si="3"/>
        <v>Sábado</v>
      </c>
      <c r="D117" s="20">
        <v>0.47638888888888892</v>
      </c>
      <c r="E117" s="13">
        <f t="shared" si="4"/>
        <v>3</v>
      </c>
      <c r="F117" s="13">
        <f t="shared" si="5"/>
        <v>3</v>
      </c>
      <c r="G117" s="13">
        <v>1</v>
      </c>
      <c r="H117" s="13">
        <v>1</v>
      </c>
      <c r="I117" s="13">
        <v>1</v>
      </c>
      <c r="J117" s="13">
        <v>2</v>
      </c>
      <c r="K117" s="19">
        <v>8.35</v>
      </c>
    </row>
    <row r="118" spans="1:11" x14ac:dyDescent="0.25">
      <c r="A118" s="13">
        <v>4</v>
      </c>
      <c r="B118" s="14">
        <v>45913</v>
      </c>
      <c r="C118" s="13" t="str">
        <f t="shared" si="3"/>
        <v>Sábado</v>
      </c>
      <c r="D118" s="20">
        <v>0.5</v>
      </c>
      <c r="E118" s="13">
        <f t="shared" si="4"/>
        <v>4</v>
      </c>
      <c r="F118" s="13">
        <f t="shared" si="5"/>
        <v>4</v>
      </c>
      <c r="G118" s="13">
        <v>1</v>
      </c>
      <c r="H118" s="13">
        <v>1</v>
      </c>
      <c r="I118" s="13">
        <v>1</v>
      </c>
      <c r="J118" s="13">
        <v>2</v>
      </c>
      <c r="K118" s="19">
        <v>10.8</v>
      </c>
    </row>
    <row r="119" spans="1:11" x14ac:dyDescent="0.25">
      <c r="A119" s="13">
        <v>5</v>
      </c>
      <c r="B119" s="14">
        <v>45913</v>
      </c>
      <c r="C119" s="13" t="str">
        <f t="shared" si="3"/>
        <v>Sábado</v>
      </c>
      <c r="D119" s="20">
        <v>0.52847222222222223</v>
      </c>
      <c r="E119" s="13">
        <f t="shared" si="4"/>
        <v>5</v>
      </c>
      <c r="F119" s="13">
        <f t="shared" si="5"/>
        <v>5</v>
      </c>
      <c r="G119" s="13">
        <v>2</v>
      </c>
      <c r="H119" s="13">
        <v>1</v>
      </c>
      <c r="I119" s="13">
        <v>1</v>
      </c>
      <c r="J119" s="13">
        <v>2</v>
      </c>
      <c r="K119" s="19">
        <v>15.6</v>
      </c>
    </row>
    <row r="120" spans="1:11" x14ac:dyDescent="0.25">
      <c r="A120" s="13">
        <v>6</v>
      </c>
      <c r="B120" s="14">
        <v>45913</v>
      </c>
      <c r="C120" s="13" t="str">
        <f t="shared" si="3"/>
        <v>Sábado</v>
      </c>
      <c r="D120" s="20">
        <v>0.54166666666666663</v>
      </c>
      <c r="E120" s="13">
        <f t="shared" si="4"/>
        <v>6</v>
      </c>
      <c r="F120" s="13">
        <f t="shared" si="5"/>
        <v>6</v>
      </c>
      <c r="G120" s="13">
        <v>3</v>
      </c>
      <c r="H120" s="13">
        <v>1</v>
      </c>
      <c r="I120" s="13">
        <v>1</v>
      </c>
      <c r="J120" s="13">
        <v>2</v>
      </c>
      <c r="K120" s="19">
        <v>0</v>
      </c>
    </row>
    <row r="121" spans="1:11" x14ac:dyDescent="0.25">
      <c r="A121" s="13">
        <v>7</v>
      </c>
      <c r="B121" s="14">
        <v>45913</v>
      </c>
      <c r="C121" s="13" t="str">
        <f t="shared" si="3"/>
        <v>Sábado</v>
      </c>
      <c r="D121" s="20">
        <v>0.60833333333333328</v>
      </c>
      <c r="E121" s="13">
        <f t="shared" si="4"/>
        <v>7</v>
      </c>
      <c r="F121" s="13">
        <f t="shared" si="5"/>
        <v>7</v>
      </c>
      <c r="G121" s="13">
        <v>2</v>
      </c>
      <c r="H121" s="13">
        <v>1</v>
      </c>
      <c r="I121" s="13">
        <v>1</v>
      </c>
      <c r="J121" s="13">
        <v>2</v>
      </c>
      <c r="K121" s="19">
        <v>14.51</v>
      </c>
    </row>
    <row r="122" spans="1:11" x14ac:dyDescent="0.25">
      <c r="A122" s="13">
        <v>8</v>
      </c>
      <c r="B122" s="14">
        <v>45913</v>
      </c>
      <c r="C122" s="13" t="str">
        <f t="shared" si="3"/>
        <v>Sábado</v>
      </c>
      <c r="D122" s="20">
        <v>0.62430555555555556</v>
      </c>
      <c r="E122" s="13">
        <f t="shared" si="4"/>
        <v>8</v>
      </c>
      <c r="F122" s="13">
        <f t="shared" si="5"/>
        <v>8</v>
      </c>
      <c r="G122" s="13">
        <v>5</v>
      </c>
      <c r="H122" s="13">
        <v>1</v>
      </c>
      <c r="I122" s="13">
        <v>1</v>
      </c>
      <c r="J122" s="13">
        <v>2</v>
      </c>
      <c r="K122" s="19">
        <v>0</v>
      </c>
    </row>
    <row r="123" spans="1:11" x14ac:dyDescent="0.25">
      <c r="A123" s="13">
        <v>9</v>
      </c>
      <c r="B123" s="14">
        <v>45913</v>
      </c>
      <c r="C123" s="13" t="str">
        <f t="shared" si="3"/>
        <v>Sábado</v>
      </c>
      <c r="D123" s="20">
        <v>0.63958333333333328</v>
      </c>
      <c r="E123" s="13">
        <f t="shared" si="4"/>
        <v>9</v>
      </c>
      <c r="F123" s="13">
        <f t="shared" si="5"/>
        <v>9</v>
      </c>
      <c r="G123" s="13">
        <v>2</v>
      </c>
      <c r="H123" s="13">
        <v>1</v>
      </c>
      <c r="I123" s="13">
        <v>1</v>
      </c>
      <c r="J123" s="13">
        <v>2</v>
      </c>
      <c r="K123" s="19">
        <v>13.3</v>
      </c>
    </row>
    <row r="124" spans="1:11" x14ac:dyDescent="0.25">
      <c r="A124" s="13">
        <v>194</v>
      </c>
      <c r="B124" s="14">
        <v>45913</v>
      </c>
      <c r="C124" s="13" t="str">
        <f t="shared" si="3"/>
        <v>Sábado</v>
      </c>
      <c r="D124" s="20">
        <v>0.42152777777777778</v>
      </c>
      <c r="E124" s="13">
        <f t="shared" si="4"/>
        <v>194</v>
      </c>
      <c r="F124" s="13">
        <f t="shared" si="5"/>
        <v>194</v>
      </c>
      <c r="G124" s="13">
        <v>2</v>
      </c>
      <c r="H124" s="13">
        <v>1</v>
      </c>
      <c r="I124" s="13">
        <v>1</v>
      </c>
      <c r="J124" s="13">
        <v>1</v>
      </c>
      <c r="K124" s="19">
        <v>13</v>
      </c>
    </row>
    <row r="125" spans="1:11" x14ac:dyDescent="0.25">
      <c r="A125" s="13">
        <v>195</v>
      </c>
      <c r="B125" s="14">
        <v>45913</v>
      </c>
      <c r="C125" s="13" t="str">
        <f t="shared" si="3"/>
        <v>Sábado</v>
      </c>
      <c r="D125" s="20">
        <v>0.44444444444444442</v>
      </c>
      <c r="E125" s="13">
        <f t="shared" si="4"/>
        <v>195</v>
      </c>
      <c r="F125" s="13">
        <f t="shared" si="5"/>
        <v>195</v>
      </c>
      <c r="G125" s="13">
        <v>2</v>
      </c>
      <c r="H125" s="13">
        <v>1</v>
      </c>
      <c r="I125" s="13">
        <v>1</v>
      </c>
      <c r="J125" s="13">
        <v>1</v>
      </c>
      <c r="K125" s="19">
        <v>17.899999999999999</v>
      </c>
    </row>
    <row r="126" spans="1:11" x14ac:dyDescent="0.25">
      <c r="A126" s="13">
        <v>196</v>
      </c>
      <c r="B126" s="14">
        <v>45913</v>
      </c>
      <c r="C126" s="13" t="str">
        <f t="shared" si="3"/>
        <v>Sábado</v>
      </c>
      <c r="D126" s="20">
        <v>0.49305555555555558</v>
      </c>
      <c r="E126" s="13">
        <f t="shared" si="4"/>
        <v>196</v>
      </c>
      <c r="F126" s="13">
        <f t="shared" si="5"/>
        <v>196</v>
      </c>
      <c r="G126" s="13">
        <v>2</v>
      </c>
      <c r="H126" s="13">
        <v>1</v>
      </c>
      <c r="I126" s="13">
        <v>1</v>
      </c>
      <c r="J126" s="13">
        <v>1</v>
      </c>
      <c r="K126" s="19">
        <v>7</v>
      </c>
    </row>
    <row r="127" spans="1:11" x14ac:dyDescent="0.25">
      <c r="A127" s="13">
        <v>197</v>
      </c>
      <c r="B127" s="14">
        <v>45913</v>
      </c>
      <c r="C127" s="13" t="str">
        <f t="shared" si="3"/>
        <v>Sábado</v>
      </c>
      <c r="D127" s="20">
        <v>0.51666666666666672</v>
      </c>
      <c r="E127" s="13">
        <f t="shared" si="4"/>
        <v>197</v>
      </c>
      <c r="F127" s="13">
        <f t="shared" si="5"/>
        <v>197</v>
      </c>
      <c r="G127" s="13">
        <v>2</v>
      </c>
      <c r="H127" s="13">
        <v>1</v>
      </c>
      <c r="I127" s="13">
        <v>1</v>
      </c>
      <c r="J127" s="13">
        <v>1</v>
      </c>
      <c r="K127" s="19">
        <v>12.46</v>
      </c>
    </row>
    <row r="128" spans="1:11" x14ac:dyDescent="0.25">
      <c r="A128" s="13">
        <v>198</v>
      </c>
      <c r="B128" s="14">
        <v>45913</v>
      </c>
      <c r="C128" s="13" t="str">
        <f t="shared" si="3"/>
        <v>Sábado</v>
      </c>
      <c r="D128" s="20">
        <v>0.54236111111111118</v>
      </c>
      <c r="E128" s="13">
        <f t="shared" si="4"/>
        <v>198</v>
      </c>
      <c r="F128" s="13">
        <f t="shared" si="5"/>
        <v>198</v>
      </c>
      <c r="G128" s="13">
        <v>2</v>
      </c>
      <c r="H128" s="13">
        <v>1</v>
      </c>
      <c r="I128" s="13">
        <v>1</v>
      </c>
      <c r="J128" s="13">
        <v>1</v>
      </c>
      <c r="K128" s="19">
        <v>19.8</v>
      </c>
    </row>
    <row r="129" spans="1:11" x14ac:dyDescent="0.25">
      <c r="A129" s="13">
        <v>199</v>
      </c>
      <c r="B129" s="14">
        <v>45913</v>
      </c>
      <c r="C129" s="13" t="str">
        <f t="shared" si="3"/>
        <v>Sábado</v>
      </c>
      <c r="D129" s="20">
        <v>0.57222222222222219</v>
      </c>
      <c r="E129" s="13">
        <f t="shared" si="4"/>
        <v>199</v>
      </c>
      <c r="F129" s="13">
        <f t="shared" si="5"/>
        <v>199</v>
      </c>
      <c r="G129" s="13">
        <v>2</v>
      </c>
      <c r="H129" s="13">
        <v>1</v>
      </c>
      <c r="I129" s="13">
        <v>1</v>
      </c>
      <c r="J129" s="13">
        <v>1</v>
      </c>
      <c r="K129" s="19">
        <v>27.85</v>
      </c>
    </row>
    <row r="130" spans="1:11" x14ac:dyDescent="0.25">
      <c r="A130" s="13">
        <v>200</v>
      </c>
      <c r="B130" s="14">
        <v>45913</v>
      </c>
      <c r="C130" s="13" t="str">
        <f t="shared" ref="C130:C193" si="6">PROPER(TEXT(WEEKDAY(B130),"dddd"))</f>
        <v>Sábado</v>
      </c>
      <c r="D130" s="20">
        <v>0.59097222222222223</v>
      </c>
      <c r="E130" s="13">
        <f t="shared" ref="E130:E193" si="7">A130</f>
        <v>200</v>
      </c>
      <c r="F130" s="13">
        <f t="shared" ref="F130:F193" si="8">A130</f>
        <v>200</v>
      </c>
      <c r="G130" s="13">
        <v>2</v>
      </c>
      <c r="H130" s="13">
        <v>1</v>
      </c>
      <c r="I130" s="13">
        <v>1</v>
      </c>
      <c r="J130" s="13">
        <v>1</v>
      </c>
      <c r="K130" s="19">
        <v>9.8000000000000007</v>
      </c>
    </row>
    <row r="131" spans="1:11" x14ac:dyDescent="0.25">
      <c r="A131" s="13">
        <v>201</v>
      </c>
      <c r="B131" s="14">
        <v>45913</v>
      </c>
      <c r="C131" s="13" t="str">
        <f t="shared" si="6"/>
        <v>Sábado</v>
      </c>
      <c r="D131" s="20">
        <v>0.60972222222222217</v>
      </c>
      <c r="E131" s="13">
        <f t="shared" si="7"/>
        <v>201</v>
      </c>
      <c r="F131" s="13">
        <f t="shared" si="8"/>
        <v>201</v>
      </c>
      <c r="G131" s="13">
        <v>3</v>
      </c>
      <c r="H131" s="13">
        <v>1</v>
      </c>
      <c r="I131" s="13">
        <v>1</v>
      </c>
      <c r="J131" s="13">
        <v>1</v>
      </c>
      <c r="K131" s="19">
        <v>0</v>
      </c>
    </row>
    <row r="132" spans="1:11" x14ac:dyDescent="0.25">
      <c r="A132" s="13">
        <v>202</v>
      </c>
      <c r="B132" s="14">
        <v>45913</v>
      </c>
      <c r="C132" s="13" t="str">
        <f t="shared" si="6"/>
        <v>Sábado</v>
      </c>
      <c r="D132" s="20">
        <v>0.62291666666666667</v>
      </c>
      <c r="E132" s="13">
        <f t="shared" si="7"/>
        <v>202</v>
      </c>
      <c r="F132" s="13">
        <f t="shared" si="8"/>
        <v>202</v>
      </c>
      <c r="G132" s="13">
        <v>2</v>
      </c>
      <c r="H132" s="13">
        <v>1</v>
      </c>
      <c r="I132" s="13">
        <v>1</v>
      </c>
      <c r="J132" s="13">
        <v>1</v>
      </c>
      <c r="K132" s="19">
        <v>11.2</v>
      </c>
    </row>
    <row r="133" spans="1:11" x14ac:dyDescent="0.25">
      <c r="A133" s="13">
        <v>203</v>
      </c>
      <c r="B133" s="14">
        <v>45913</v>
      </c>
      <c r="C133" s="13" t="str">
        <f t="shared" si="6"/>
        <v>Sábado</v>
      </c>
      <c r="D133" s="20">
        <v>0.65486111111111112</v>
      </c>
      <c r="E133" s="13">
        <f t="shared" si="7"/>
        <v>203</v>
      </c>
      <c r="F133" s="13">
        <f t="shared" si="8"/>
        <v>203</v>
      </c>
      <c r="G133" s="13">
        <v>2</v>
      </c>
      <c r="H133" s="13">
        <v>1</v>
      </c>
      <c r="I133" s="13">
        <v>1</v>
      </c>
      <c r="J133" s="13">
        <v>1</v>
      </c>
      <c r="K133" s="19">
        <v>6.1</v>
      </c>
    </row>
    <row r="134" spans="1:11" x14ac:dyDescent="0.25">
      <c r="A134" s="13">
        <v>204</v>
      </c>
      <c r="B134" s="14">
        <v>45913</v>
      </c>
      <c r="C134" s="13" t="str">
        <f t="shared" si="6"/>
        <v>Sábado</v>
      </c>
      <c r="D134" s="20">
        <v>0.6645833333333333</v>
      </c>
      <c r="E134" s="13">
        <f t="shared" si="7"/>
        <v>204</v>
      </c>
      <c r="F134" s="13">
        <f t="shared" si="8"/>
        <v>204</v>
      </c>
      <c r="G134" s="13">
        <v>1</v>
      </c>
      <c r="H134" s="13">
        <v>1</v>
      </c>
      <c r="I134" s="13">
        <v>1</v>
      </c>
      <c r="J134" s="13">
        <v>1</v>
      </c>
      <c r="K134" s="19">
        <v>10</v>
      </c>
    </row>
    <row r="135" spans="1:11" x14ac:dyDescent="0.25">
      <c r="A135" s="13">
        <v>205</v>
      </c>
      <c r="B135" s="14">
        <v>45913</v>
      </c>
      <c r="C135" s="13" t="str">
        <f t="shared" si="6"/>
        <v>Sábado</v>
      </c>
      <c r="D135" s="20">
        <v>0.6743055555555556</v>
      </c>
      <c r="E135" s="13">
        <f t="shared" si="7"/>
        <v>205</v>
      </c>
      <c r="F135" s="13">
        <f t="shared" si="8"/>
        <v>205</v>
      </c>
      <c r="G135" s="13">
        <v>2</v>
      </c>
      <c r="H135" s="13">
        <v>1</v>
      </c>
      <c r="I135" s="13">
        <v>1</v>
      </c>
      <c r="J135" s="13">
        <v>1</v>
      </c>
      <c r="K135" s="19">
        <v>10.55</v>
      </c>
    </row>
    <row r="136" spans="1:11" x14ac:dyDescent="0.25">
      <c r="A136" s="13">
        <v>206</v>
      </c>
      <c r="B136" s="14">
        <v>45913</v>
      </c>
      <c r="C136" s="13" t="str">
        <f t="shared" si="6"/>
        <v>Sábado</v>
      </c>
      <c r="D136" s="20">
        <v>0.68125000000000002</v>
      </c>
      <c r="E136" s="13">
        <f t="shared" si="7"/>
        <v>206</v>
      </c>
      <c r="F136" s="13">
        <f t="shared" si="8"/>
        <v>206</v>
      </c>
      <c r="G136" s="13">
        <v>1</v>
      </c>
      <c r="H136" s="13">
        <v>1</v>
      </c>
      <c r="I136" s="13">
        <v>1</v>
      </c>
      <c r="J136" s="13">
        <v>1</v>
      </c>
      <c r="K136" s="19">
        <v>6.85</v>
      </c>
    </row>
    <row r="137" spans="1:11" x14ac:dyDescent="0.25">
      <c r="A137" s="13">
        <v>207</v>
      </c>
      <c r="B137" s="14">
        <v>45914</v>
      </c>
      <c r="C137" s="13" t="str">
        <f t="shared" si="6"/>
        <v>Domingo</v>
      </c>
      <c r="D137" s="20">
        <v>0.65486111111111112</v>
      </c>
      <c r="E137" s="13">
        <f t="shared" si="7"/>
        <v>207</v>
      </c>
      <c r="F137" s="13">
        <f t="shared" si="8"/>
        <v>207</v>
      </c>
      <c r="G137" s="13">
        <v>2</v>
      </c>
      <c r="H137" s="13">
        <v>1</v>
      </c>
      <c r="I137" s="13">
        <v>1</v>
      </c>
      <c r="J137" s="13">
        <v>1</v>
      </c>
      <c r="K137" s="19">
        <v>5.2</v>
      </c>
    </row>
    <row r="138" spans="1:11" x14ac:dyDescent="0.25">
      <c r="A138" s="13">
        <v>208</v>
      </c>
      <c r="B138" s="14">
        <v>45914</v>
      </c>
      <c r="C138" s="13" t="str">
        <f t="shared" si="6"/>
        <v>Domingo</v>
      </c>
      <c r="D138" s="20">
        <v>0.68194444444444446</v>
      </c>
      <c r="E138" s="13">
        <f t="shared" si="7"/>
        <v>208</v>
      </c>
      <c r="F138" s="13">
        <f t="shared" si="8"/>
        <v>208</v>
      </c>
      <c r="G138" s="13">
        <v>1</v>
      </c>
      <c r="H138" s="13">
        <v>1</v>
      </c>
      <c r="I138" s="13">
        <v>1</v>
      </c>
      <c r="J138" s="13">
        <v>1</v>
      </c>
      <c r="K138" s="19">
        <v>22.2</v>
      </c>
    </row>
    <row r="139" spans="1:11" x14ac:dyDescent="0.25">
      <c r="A139" s="13">
        <v>209</v>
      </c>
      <c r="B139" s="14">
        <v>45914</v>
      </c>
      <c r="C139" s="13" t="str">
        <f t="shared" si="6"/>
        <v>Domingo</v>
      </c>
      <c r="D139" s="20">
        <v>0.70138888888888884</v>
      </c>
      <c r="E139" s="13">
        <f t="shared" si="7"/>
        <v>209</v>
      </c>
      <c r="F139" s="13">
        <f t="shared" si="8"/>
        <v>209</v>
      </c>
      <c r="G139" s="13">
        <v>1</v>
      </c>
      <c r="H139" s="13">
        <v>1</v>
      </c>
      <c r="I139" s="13">
        <v>1</v>
      </c>
      <c r="J139" s="13">
        <v>1</v>
      </c>
      <c r="K139" s="19">
        <v>29.4</v>
      </c>
    </row>
    <row r="140" spans="1:11" x14ac:dyDescent="0.25">
      <c r="A140" s="13">
        <v>210</v>
      </c>
      <c r="B140" s="14">
        <v>45914</v>
      </c>
      <c r="C140" s="13" t="str">
        <f t="shared" si="6"/>
        <v>Domingo</v>
      </c>
      <c r="D140" s="20">
        <v>0.72222222222222221</v>
      </c>
      <c r="E140" s="13">
        <f t="shared" si="7"/>
        <v>210</v>
      </c>
      <c r="F140" s="13">
        <f t="shared" si="8"/>
        <v>210</v>
      </c>
      <c r="G140" s="13">
        <v>1</v>
      </c>
      <c r="H140" s="13">
        <v>1</v>
      </c>
      <c r="I140" s="13">
        <v>1</v>
      </c>
      <c r="J140" s="13">
        <v>1</v>
      </c>
      <c r="K140" s="19">
        <v>19.2</v>
      </c>
    </row>
    <row r="141" spans="1:11" x14ac:dyDescent="0.25">
      <c r="A141" s="13">
        <v>211</v>
      </c>
      <c r="B141" s="14">
        <v>45916</v>
      </c>
      <c r="C141" s="13" t="str">
        <f t="shared" si="6"/>
        <v>Terça-Feira</v>
      </c>
      <c r="D141" s="20">
        <v>0.7368055555555556</v>
      </c>
      <c r="E141" s="13">
        <f t="shared" si="7"/>
        <v>211</v>
      </c>
      <c r="F141" s="13">
        <f t="shared" si="8"/>
        <v>211</v>
      </c>
      <c r="G141" s="13">
        <v>2</v>
      </c>
      <c r="H141" s="13">
        <v>1</v>
      </c>
      <c r="I141" s="13">
        <v>1</v>
      </c>
      <c r="J141" s="13">
        <v>1</v>
      </c>
      <c r="K141" s="19">
        <v>44.3</v>
      </c>
    </row>
    <row r="142" spans="1:11" x14ac:dyDescent="0.25">
      <c r="A142" s="13">
        <v>212</v>
      </c>
      <c r="B142" s="14">
        <v>45917</v>
      </c>
      <c r="C142" s="13" t="str">
        <f t="shared" si="6"/>
        <v>Quarta-Feira</v>
      </c>
      <c r="D142" s="20">
        <v>0.7416666666666667</v>
      </c>
      <c r="E142" s="13">
        <f t="shared" si="7"/>
        <v>212</v>
      </c>
      <c r="F142" s="13">
        <f t="shared" si="8"/>
        <v>212</v>
      </c>
      <c r="G142" s="13">
        <v>1</v>
      </c>
      <c r="H142" s="13">
        <v>1</v>
      </c>
      <c r="I142" s="13">
        <v>1</v>
      </c>
      <c r="J142" s="13">
        <v>1</v>
      </c>
      <c r="K142" s="19">
        <v>17.899999999999999</v>
      </c>
    </row>
    <row r="143" spans="1:11" x14ac:dyDescent="0.25">
      <c r="A143" s="13">
        <v>213</v>
      </c>
      <c r="B143" s="14">
        <v>45917</v>
      </c>
      <c r="C143" s="13" t="str">
        <f t="shared" si="6"/>
        <v>Quarta-Feira</v>
      </c>
      <c r="D143" s="20">
        <v>0.75486111111111109</v>
      </c>
      <c r="E143" s="13">
        <f t="shared" si="7"/>
        <v>213</v>
      </c>
      <c r="F143" s="13">
        <f t="shared" si="8"/>
        <v>213</v>
      </c>
      <c r="G143" s="13">
        <v>1</v>
      </c>
      <c r="H143" s="13">
        <v>1</v>
      </c>
      <c r="I143" s="13">
        <v>1</v>
      </c>
      <c r="J143" s="13">
        <v>1</v>
      </c>
      <c r="K143" s="19">
        <v>7.85</v>
      </c>
    </row>
    <row r="144" spans="1:11" x14ac:dyDescent="0.25">
      <c r="A144" s="13">
        <v>214</v>
      </c>
      <c r="B144" s="14">
        <v>45917</v>
      </c>
      <c r="C144" s="13" t="str">
        <f t="shared" si="6"/>
        <v>Quarta-Feira</v>
      </c>
      <c r="D144" s="20">
        <v>0.7583333333333333</v>
      </c>
      <c r="E144" s="13">
        <f t="shared" si="7"/>
        <v>214</v>
      </c>
      <c r="F144" s="13">
        <f t="shared" si="8"/>
        <v>214</v>
      </c>
      <c r="G144" s="13">
        <v>2</v>
      </c>
      <c r="H144" s="13">
        <v>1</v>
      </c>
      <c r="I144" s="13">
        <v>1</v>
      </c>
      <c r="J144" s="13">
        <v>1</v>
      </c>
      <c r="K144" s="19">
        <v>7.8</v>
      </c>
    </row>
    <row r="145" spans="1:11" x14ac:dyDescent="0.25">
      <c r="A145" s="13">
        <v>215</v>
      </c>
      <c r="B145" s="14">
        <v>45917</v>
      </c>
      <c r="C145" s="13" t="str">
        <f t="shared" si="6"/>
        <v>Quarta-Feira</v>
      </c>
      <c r="D145" s="20">
        <v>0.76944444444444438</v>
      </c>
      <c r="E145" s="13">
        <f t="shared" si="7"/>
        <v>215</v>
      </c>
      <c r="F145" s="13">
        <f t="shared" si="8"/>
        <v>215</v>
      </c>
      <c r="G145" s="13">
        <v>2</v>
      </c>
      <c r="H145" s="13">
        <v>1</v>
      </c>
      <c r="I145" s="13">
        <v>1</v>
      </c>
      <c r="J145" s="13">
        <v>1</v>
      </c>
      <c r="K145" s="19">
        <v>8.8000000000000007</v>
      </c>
    </row>
    <row r="146" spans="1:11" x14ac:dyDescent="0.25">
      <c r="A146" s="13">
        <v>216</v>
      </c>
      <c r="B146" s="14">
        <v>45917</v>
      </c>
      <c r="C146" s="13" t="str">
        <f t="shared" si="6"/>
        <v>Quarta-Feira</v>
      </c>
      <c r="D146" s="20">
        <v>0.78125</v>
      </c>
      <c r="E146" s="13">
        <f t="shared" si="7"/>
        <v>216</v>
      </c>
      <c r="F146" s="13">
        <f t="shared" si="8"/>
        <v>216</v>
      </c>
      <c r="G146" s="13">
        <v>2</v>
      </c>
      <c r="H146" s="13">
        <v>1</v>
      </c>
      <c r="I146" s="13">
        <v>1</v>
      </c>
      <c r="J146" s="13">
        <v>1</v>
      </c>
      <c r="K146" s="19">
        <v>6.3</v>
      </c>
    </row>
    <row r="147" spans="1:11" x14ac:dyDescent="0.25">
      <c r="A147" s="13">
        <v>217</v>
      </c>
      <c r="B147" s="14">
        <v>45919</v>
      </c>
      <c r="C147" s="13" t="str">
        <f t="shared" si="6"/>
        <v>Sexta-Feira</v>
      </c>
      <c r="D147" s="20">
        <v>0.64583333333333337</v>
      </c>
      <c r="E147" s="13">
        <f t="shared" si="7"/>
        <v>217</v>
      </c>
      <c r="F147" s="13">
        <f t="shared" si="8"/>
        <v>217</v>
      </c>
      <c r="G147" s="13">
        <v>2</v>
      </c>
      <c r="H147" s="13">
        <v>1</v>
      </c>
      <c r="I147" s="13">
        <v>1</v>
      </c>
      <c r="J147" s="13">
        <v>1</v>
      </c>
      <c r="K147" s="19">
        <v>5.5</v>
      </c>
    </row>
    <row r="148" spans="1:11" x14ac:dyDescent="0.25">
      <c r="A148" s="13">
        <v>218</v>
      </c>
      <c r="B148" s="14">
        <v>45919</v>
      </c>
      <c r="C148" s="13" t="str">
        <f t="shared" si="6"/>
        <v>Sexta-Feira</v>
      </c>
      <c r="D148" s="20">
        <v>0.65486111111111112</v>
      </c>
      <c r="E148" s="13">
        <f t="shared" si="7"/>
        <v>218</v>
      </c>
      <c r="F148" s="13">
        <f t="shared" si="8"/>
        <v>218</v>
      </c>
      <c r="G148" s="13">
        <v>2</v>
      </c>
      <c r="H148" s="13">
        <v>1</v>
      </c>
      <c r="I148" s="13">
        <v>1</v>
      </c>
      <c r="J148" s="13">
        <v>1</v>
      </c>
      <c r="K148" s="19">
        <v>10.25</v>
      </c>
    </row>
    <row r="149" spans="1:11" x14ac:dyDescent="0.25">
      <c r="A149" s="13">
        <v>219</v>
      </c>
      <c r="B149" s="14">
        <v>45919</v>
      </c>
      <c r="C149" s="13" t="str">
        <f t="shared" si="6"/>
        <v>Sexta-Feira</v>
      </c>
      <c r="D149" s="20">
        <v>0.6791666666666667</v>
      </c>
      <c r="E149" s="13">
        <f t="shared" si="7"/>
        <v>219</v>
      </c>
      <c r="F149" s="13">
        <f t="shared" si="8"/>
        <v>219</v>
      </c>
      <c r="G149" s="13">
        <v>2</v>
      </c>
      <c r="H149" s="13">
        <v>1</v>
      </c>
      <c r="I149" s="13">
        <v>1</v>
      </c>
      <c r="J149" s="13">
        <v>1</v>
      </c>
      <c r="K149" s="19">
        <v>17.45</v>
      </c>
    </row>
    <row r="150" spans="1:11" x14ac:dyDescent="0.25">
      <c r="A150" s="13">
        <v>220</v>
      </c>
      <c r="B150" s="14">
        <v>45919</v>
      </c>
      <c r="C150" s="13" t="str">
        <f t="shared" si="6"/>
        <v>Sexta-Feira</v>
      </c>
      <c r="D150" s="20">
        <v>0.68541666666666667</v>
      </c>
      <c r="E150" s="13">
        <f t="shared" si="7"/>
        <v>220</v>
      </c>
      <c r="F150" s="13">
        <f t="shared" si="8"/>
        <v>220</v>
      </c>
      <c r="G150" s="13">
        <v>2</v>
      </c>
      <c r="H150" s="13">
        <v>1</v>
      </c>
      <c r="I150" s="13">
        <v>1</v>
      </c>
      <c r="J150" s="13">
        <v>1</v>
      </c>
      <c r="K150" s="19">
        <v>36</v>
      </c>
    </row>
    <row r="151" spans="1:11" x14ac:dyDescent="0.25">
      <c r="A151" s="13">
        <v>221</v>
      </c>
      <c r="B151" s="14">
        <v>45919</v>
      </c>
      <c r="C151" s="13" t="str">
        <f t="shared" si="6"/>
        <v>Sexta-Feira</v>
      </c>
      <c r="D151" s="20">
        <v>0.72291666666666676</v>
      </c>
      <c r="E151" s="13">
        <f t="shared" si="7"/>
        <v>221</v>
      </c>
      <c r="F151" s="13">
        <f t="shared" si="8"/>
        <v>221</v>
      </c>
      <c r="G151" s="13">
        <v>2</v>
      </c>
      <c r="H151" s="13">
        <v>1</v>
      </c>
      <c r="I151" s="13">
        <v>1</v>
      </c>
      <c r="J151" s="13">
        <v>1</v>
      </c>
      <c r="K151" s="19">
        <v>6</v>
      </c>
    </row>
    <row r="152" spans="1:11" x14ac:dyDescent="0.25">
      <c r="A152" s="13">
        <v>222</v>
      </c>
      <c r="B152" s="14">
        <v>45919</v>
      </c>
      <c r="C152" s="13" t="str">
        <f t="shared" si="6"/>
        <v>Sexta-Feira</v>
      </c>
      <c r="D152" s="20">
        <v>0.72361111111111109</v>
      </c>
      <c r="E152" s="13">
        <f t="shared" si="7"/>
        <v>222</v>
      </c>
      <c r="F152" s="13">
        <f t="shared" si="8"/>
        <v>222</v>
      </c>
      <c r="G152" s="13">
        <v>2</v>
      </c>
      <c r="H152" s="13">
        <v>1</v>
      </c>
      <c r="I152" s="13">
        <v>1</v>
      </c>
      <c r="J152" s="13">
        <v>1</v>
      </c>
      <c r="K152" s="19">
        <v>10.25</v>
      </c>
    </row>
    <row r="153" spans="1:11" x14ac:dyDescent="0.25">
      <c r="A153" s="13">
        <v>223</v>
      </c>
      <c r="B153" s="14">
        <v>45919</v>
      </c>
      <c r="C153" s="13" t="str">
        <f t="shared" si="6"/>
        <v>Sexta-Feira</v>
      </c>
      <c r="D153" s="20">
        <v>0.76458333333333339</v>
      </c>
      <c r="E153" s="13">
        <f t="shared" si="7"/>
        <v>223</v>
      </c>
      <c r="F153" s="13">
        <f t="shared" si="8"/>
        <v>223</v>
      </c>
      <c r="G153" s="13">
        <v>1</v>
      </c>
      <c r="H153" s="13">
        <v>1</v>
      </c>
      <c r="I153" s="13">
        <v>1</v>
      </c>
      <c r="J153" s="13">
        <v>1</v>
      </c>
      <c r="K153" s="19">
        <v>30.65</v>
      </c>
    </row>
    <row r="154" spans="1:11" x14ac:dyDescent="0.25">
      <c r="A154" s="13">
        <v>224</v>
      </c>
      <c r="B154" s="14">
        <v>45919</v>
      </c>
      <c r="C154" s="13" t="str">
        <f t="shared" si="6"/>
        <v>Sexta-Feira</v>
      </c>
      <c r="D154" s="20">
        <v>0.78611111111111109</v>
      </c>
      <c r="E154" s="13">
        <f t="shared" si="7"/>
        <v>224</v>
      </c>
      <c r="F154" s="13">
        <f t="shared" si="8"/>
        <v>224</v>
      </c>
      <c r="G154" s="13">
        <v>2</v>
      </c>
      <c r="H154" s="13">
        <v>1</v>
      </c>
      <c r="I154" s="13">
        <v>1</v>
      </c>
      <c r="J154" s="13">
        <v>1</v>
      </c>
      <c r="K154" s="19">
        <v>30.5</v>
      </c>
    </row>
    <row r="155" spans="1:11" x14ac:dyDescent="0.25">
      <c r="A155" s="13">
        <v>225</v>
      </c>
      <c r="B155" s="14">
        <v>45921</v>
      </c>
      <c r="C155" s="13" t="str">
        <f t="shared" si="6"/>
        <v>Domingo</v>
      </c>
      <c r="D155" s="20">
        <v>0.41250000000000003</v>
      </c>
      <c r="E155" s="13">
        <f t="shared" si="7"/>
        <v>225</v>
      </c>
      <c r="F155" s="13">
        <f t="shared" si="8"/>
        <v>225</v>
      </c>
      <c r="G155" s="13">
        <v>2</v>
      </c>
      <c r="H155" s="13">
        <v>1</v>
      </c>
      <c r="I155" s="13">
        <v>1</v>
      </c>
      <c r="J155" s="13">
        <v>1</v>
      </c>
      <c r="K155" s="19">
        <v>4.8</v>
      </c>
    </row>
    <row r="156" spans="1:11" x14ac:dyDescent="0.25">
      <c r="A156" s="13">
        <v>226</v>
      </c>
      <c r="B156" s="14">
        <v>45921</v>
      </c>
      <c r="C156" s="13" t="str">
        <f t="shared" si="6"/>
        <v>Domingo</v>
      </c>
      <c r="D156" s="20">
        <v>0.41805555555555557</v>
      </c>
      <c r="E156" s="13">
        <f t="shared" si="7"/>
        <v>226</v>
      </c>
      <c r="F156" s="13">
        <f t="shared" si="8"/>
        <v>226</v>
      </c>
      <c r="G156" s="13">
        <v>1</v>
      </c>
      <c r="H156" s="13">
        <v>1</v>
      </c>
      <c r="I156" s="13">
        <v>1</v>
      </c>
      <c r="J156" s="13">
        <v>1</v>
      </c>
      <c r="K156" s="19">
        <v>8.1999999999999993</v>
      </c>
    </row>
    <row r="157" spans="1:11" x14ac:dyDescent="0.25">
      <c r="A157" s="13">
        <v>227</v>
      </c>
      <c r="B157" s="14">
        <v>45921</v>
      </c>
      <c r="C157" s="13" t="str">
        <f t="shared" si="6"/>
        <v>Domingo</v>
      </c>
      <c r="D157" s="20">
        <v>0.49444444444444446</v>
      </c>
      <c r="E157" s="13">
        <f t="shared" si="7"/>
        <v>227</v>
      </c>
      <c r="F157" s="13">
        <f t="shared" si="8"/>
        <v>227</v>
      </c>
      <c r="G157" s="13">
        <v>2</v>
      </c>
      <c r="H157" s="13">
        <v>1</v>
      </c>
      <c r="I157" s="13">
        <v>1</v>
      </c>
      <c r="J157" s="13">
        <v>1</v>
      </c>
      <c r="K157" s="19">
        <v>8.85</v>
      </c>
    </row>
    <row r="158" spans="1:11" x14ac:dyDescent="0.25">
      <c r="A158" s="13">
        <v>228</v>
      </c>
      <c r="B158" s="14">
        <v>45921</v>
      </c>
      <c r="C158" s="13" t="str">
        <f t="shared" si="6"/>
        <v>Domingo</v>
      </c>
      <c r="D158" s="20">
        <v>0.50555555555555554</v>
      </c>
      <c r="E158" s="13">
        <f t="shared" si="7"/>
        <v>228</v>
      </c>
      <c r="F158" s="13">
        <f t="shared" si="8"/>
        <v>228</v>
      </c>
      <c r="G158" s="13">
        <v>1</v>
      </c>
      <c r="H158" s="13">
        <v>1</v>
      </c>
      <c r="I158" s="13">
        <v>1</v>
      </c>
      <c r="J158" s="13">
        <v>1</v>
      </c>
      <c r="K158" s="19">
        <v>16.55</v>
      </c>
    </row>
    <row r="159" spans="1:11" x14ac:dyDescent="0.25">
      <c r="A159" s="13">
        <v>229</v>
      </c>
      <c r="B159" s="14">
        <v>45921</v>
      </c>
      <c r="C159" s="13" t="str">
        <f t="shared" si="6"/>
        <v>Domingo</v>
      </c>
      <c r="D159" s="20">
        <v>0.51874999999999993</v>
      </c>
      <c r="E159" s="13">
        <f t="shared" si="7"/>
        <v>229</v>
      </c>
      <c r="F159" s="13">
        <f t="shared" si="8"/>
        <v>229</v>
      </c>
      <c r="G159" s="13">
        <v>2</v>
      </c>
      <c r="H159" s="13">
        <v>1</v>
      </c>
      <c r="I159" s="13">
        <v>1</v>
      </c>
      <c r="J159" s="13">
        <v>1</v>
      </c>
      <c r="K159" s="19">
        <v>5.8</v>
      </c>
    </row>
    <row r="160" spans="1:11" x14ac:dyDescent="0.25">
      <c r="A160" s="13">
        <v>230</v>
      </c>
      <c r="B160" s="14">
        <v>45921</v>
      </c>
      <c r="C160" s="13" t="str">
        <f t="shared" si="6"/>
        <v>Domingo</v>
      </c>
      <c r="D160" s="20">
        <v>0.53263888888888888</v>
      </c>
      <c r="E160" s="13">
        <f t="shared" si="7"/>
        <v>230</v>
      </c>
      <c r="F160" s="13">
        <f t="shared" si="8"/>
        <v>230</v>
      </c>
      <c r="G160" s="13">
        <v>2</v>
      </c>
      <c r="H160" s="13">
        <v>1</v>
      </c>
      <c r="I160" s="13">
        <v>1</v>
      </c>
      <c r="J160" s="13">
        <v>1</v>
      </c>
      <c r="K160" s="19">
        <v>29.1</v>
      </c>
    </row>
    <row r="161" spans="1:11" x14ac:dyDescent="0.25">
      <c r="A161" s="13">
        <v>231</v>
      </c>
      <c r="B161" s="14">
        <v>45921</v>
      </c>
      <c r="C161" s="13" t="str">
        <f t="shared" si="6"/>
        <v>Domingo</v>
      </c>
      <c r="D161" s="20">
        <v>0.56388888888888888</v>
      </c>
      <c r="E161" s="13">
        <f t="shared" si="7"/>
        <v>231</v>
      </c>
      <c r="F161" s="13">
        <f t="shared" si="8"/>
        <v>231</v>
      </c>
      <c r="G161" s="13">
        <v>2</v>
      </c>
      <c r="H161" s="13">
        <v>1</v>
      </c>
      <c r="I161" s="13">
        <v>1</v>
      </c>
      <c r="J161" s="13">
        <v>1</v>
      </c>
      <c r="K161" s="19">
        <v>26.6</v>
      </c>
    </row>
    <row r="162" spans="1:11" x14ac:dyDescent="0.25">
      <c r="A162" s="13">
        <v>232</v>
      </c>
      <c r="B162" s="14">
        <v>45921</v>
      </c>
      <c r="C162" s="13" t="str">
        <f t="shared" si="6"/>
        <v>Domingo</v>
      </c>
      <c r="D162" s="20">
        <v>0.59027777777777779</v>
      </c>
      <c r="E162" s="13">
        <f t="shared" si="7"/>
        <v>232</v>
      </c>
      <c r="F162" s="13">
        <f t="shared" si="8"/>
        <v>232</v>
      </c>
      <c r="G162" s="13">
        <v>2</v>
      </c>
      <c r="H162" s="13">
        <v>1</v>
      </c>
      <c r="I162" s="13">
        <v>1</v>
      </c>
      <c r="J162" s="13">
        <v>1</v>
      </c>
      <c r="K162" s="19">
        <v>9.9</v>
      </c>
    </row>
    <row r="163" spans="1:11" x14ac:dyDescent="0.25">
      <c r="A163" s="13">
        <v>233</v>
      </c>
      <c r="B163" s="14">
        <v>45921</v>
      </c>
      <c r="C163" s="13" t="str">
        <f t="shared" si="6"/>
        <v>Domingo</v>
      </c>
      <c r="D163" s="20">
        <v>0.59236111111111112</v>
      </c>
      <c r="E163" s="13">
        <f t="shared" si="7"/>
        <v>233</v>
      </c>
      <c r="F163" s="13">
        <f t="shared" si="8"/>
        <v>233</v>
      </c>
      <c r="G163" s="13">
        <v>2</v>
      </c>
      <c r="H163" s="13">
        <v>1</v>
      </c>
      <c r="I163" s="13">
        <v>1</v>
      </c>
      <c r="J163" s="13">
        <v>1</v>
      </c>
      <c r="K163" s="19">
        <v>19.5</v>
      </c>
    </row>
    <row r="164" spans="1:11" x14ac:dyDescent="0.25">
      <c r="A164" s="13">
        <v>234</v>
      </c>
      <c r="B164" s="14">
        <v>45921</v>
      </c>
      <c r="C164" s="13" t="str">
        <f t="shared" si="6"/>
        <v>Domingo</v>
      </c>
      <c r="D164" s="20">
        <v>0.61805555555555558</v>
      </c>
      <c r="E164" s="13">
        <f t="shared" si="7"/>
        <v>234</v>
      </c>
      <c r="F164" s="13">
        <f t="shared" si="8"/>
        <v>234</v>
      </c>
      <c r="G164" s="13">
        <v>2</v>
      </c>
      <c r="H164" s="13">
        <v>1</v>
      </c>
      <c r="I164" s="13">
        <v>1</v>
      </c>
      <c r="J164" s="13">
        <v>1</v>
      </c>
      <c r="K164" s="19">
        <v>19.899999999999999</v>
      </c>
    </row>
    <row r="165" spans="1:11" x14ac:dyDescent="0.25">
      <c r="A165" s="13">
        <v>235</v>
      </c>
      <c r="B165" s="14">
        <v>45921</v>
      </c>
      <c r="C165" s="13" t="str">
        <f t="shared" si="6"/>
        <v>Domingo</v>
      </c>
      <c r="D165" s="20">
        <v>0.64236111111111105</v>
      </c>
      <c r="E165" s="13">
        <f t="shared" si="7"/>
        <v>235</v>
      </c>
      <c r="F165" s="13">
        <f t="shared" si="8"/>
        <v>235</v>
      </c>
      <c r="G165" s="13">
        <v>2</v>
      </c>
      <c r="H165" s="13">
        <v>1</v>
      </c>
      <c r="I165" s="13">
        <v>1</v>
      </c>
      <c r="J165" s="13">
        <v>1</v>
      </c>
      <c r="K165" s="19">
        <v>18.5</v>
      </c>
    </row>
    <row r="166" spans="1:11" x14ac:dyDescent="0.25">
      <c r="A166" s="13">
        <v>236</v>
      </c>
      <c r="B166" s="14">
        <v>45921</v>
      </c>
      <c r="C166" s="13" t="str">
        <f t="shared" si="6"/>
        <v>Domingo</v>
      </c>
      <c r="D166" s="20">
        <v>0.6645833333333333</v>
      </c>
      <c r="E166" s="13">
        <f t="shared" si="7"/>
        <v>236</v>
      </c>
      <c r="F166" s="13">
        <f t="shared" si="8"/>
        <v>236</v>
      </c>
      <c r="G166" s="13">
        <v>2</v>
      </c>
      <c r="H166" s="13">
        <v>1</v>
      </c>
      <c r="I166" s="13">
        <v>1</v>
      </c>
      <c r="J166" s="13">
        <v>1</v>
      </c>
      <c r="K166" s="19">
        <v>4.2</v>
      </c>
    </row>
    <row r="167" spans="1:11" x14ac:dyDescent="0.25">
      <c r="A167" s="13">
        <v>237</v>
      </c>
      <c r="B167" s="14">
        <v>45921</v>
      </c>
      <c r="C167" s="13" t="str">
        <f t="shared" si="6"/>
        <v>Domingo</v>
      </c>
      <c r="D167" s="20">
        <v>0.67291666666666661</v>
      </c>
      <c r="E167" s="13">
        <f t="shared" si="7"/>
        <v>237</v>
      </c>
      <c r="F167" s="13">
        <f t="shared" si="8"/>
        <v>237</v>
      </c>
      <c r="G167" s="13">
        <v>2</v>
      </c>
      <c r="H167" s="13">
        <v>1</v>
      </c>
      <c r="I167" s="13">
        <v>1</v>
      </c>
      <c r="J167" s="13">
        <v>1</v>
      </c>
      <c r="K167" s="19">
        <v>6.9</v>
      </c>
    </row>
    <row r="168" spans="1:11" x14ac:dyDescent="0.25">
      <c r="A168" s="13">
        <v>238</v>
      </c>
      <c r="B168" s="14">
        <v>45921</v>
      </c>
      <c r="C168" s="13" t="str">
        <f t="shared" si="6"/>
        <v>Domingo</v>
      </c>
      <c r="D168" s="20">
        <v>0.68055555555555547</v>
      </c>
      <c r="E168" s="13">
        <f t="shared" si="7"/>
        <v>238</v>
      </c>
      <c r="F168" s="13">
        <f t="shared" si="8"/>
        <v>238</v>
      </c>
      <c r="G168" s="13">
        <v>2</v>
      </c>
      <c r="H168" s="13">
        <v>1</v>
      </c>
      <c r="I168" s="13">
        <v>1</v>
      </c>
      <c r="J168" s="13">
        <v>1</v>
      </c>
      <c r="K168" s="19">
        <v>15.3</v>
      </c>
    </row>
    <row r="169" spans="1:11" x14ac:dyDescent="0.25">
      <c r="A169" s="13">
        <v>239</v>
      </c>
      <c r="B169" s="14">
        <v>45921</v>
      </c>
      <c r="C169" s="13" t="str">
        <f t="shared" si="6"/>
        <v>Domingo</v>
      </c>
      <c r="D169" s="20">
        <v>0.70347222222222217</v>
      </c>
      <c r="E169" s="13">
        <f t="shared" si="7"/>
        <v>239</v>
      </c>
      <c r="F169" s="13">
        <f t="shared" si="8"/>
        <v>239</v>
      </c>
      <c r="G169" s="13">
        <v>2</v>
      </c>
      <c r="H169" s="13">
        <v>1</v>
      </c>
      <c r="I169" s="13">
        <v>1</v>
      </c>
      <c r="J169" s="13">
        <v>1</v>
      </c>
      <c r="K169" s="19">
        <v>7.8</v>
      </c>
    </row>
    <row r="170" spans="1:11" x14ac:dyDescent="0.25">
      <c r="A170" s="13">
        <v>240</v>
      </c>
      <c r="B170" s="14">
        <v>45927</v>
      </c>
      <c r="C170" s="13" t="str">
        <f t="shared" si="6"/>
        <v>Sábado</v>
      </c>
      <c r="D170" s="20">
        <v>0.47847222222222219</v>
      </c>
      <c r="E170" s="13">
        <f t="shared" si="7"/>
        <v>240</v>
      </c>
      <c r="F170" s="13">
        <f t="shared" si="8"/>
        <v>240</v>
      </c>
      <c r="G170" s="13">
        <v>2</v>
      </c>
      <c r="H170" s="13">
        <v>1</v>
      </c>
      <c r="I170" s="13">
        <v>1</v>
      </c>
      <c r="J170" s="13">
        <v>1</v>
      </c>
      <c r="K170" s="19">
        <v>12.2</v>
      </c>
    </row>
    <row r="171" spans="1:11" x14ac:dyDescent="0.25">
      <c r="A171" s="13">
        <v>241</v>
      </c>
      <c r="B171" s="14">
        <v>45927</v>
      </c>
      <c r="C171" s="13" t="str">
        <f t="shared" si="6"/>
        <v>Sábado</v>
      </c>
      <c r="D171" s="20">
        <v>0.48888888888888887</v>
      </c>
      <c r="E171" s="13">
        <f t="shared" si="7"/>
        <v>241</v>
      </c>
      <c r="F171" s="13">
        <f t="shared" si="8"/>
        <v>241</v>
      </c>
      <c r="G171" s="13">
        <v>2</v>
      </c>
      <c r="H171" s="13">
        <v>1</v>
      </c>
      <c r="I171" s="13">
        <v>1</v>
      </c>
      <c r="J171" s="13">
        <v>1</v>
      </c>
      <c r="K171" s="19">
        <v>19.5</v>
      </c>
    </row>
    <row r="172" spans="1:11" x14ac:dyDescent="0.25">
      <c r="A172" s="13">
        <v>242</v>
      </c>
      <c r="B172" s="14">
        <v>45927</v>
      </c>
      <c r="C172" s="13" t="str">
        <f t="shared" si="6"/>
        <v>Sábado</v>
      </c>
      <c r="D172" s="20">
        <v>0.50763888888888886</v>
      </c>
      <c r="E172" s="13">
        <f t="shared" si="7"/>
        <v>242</v>
      </c>
      <c r="F172" s="13">
        <f t="shared" si="8"/>
        <v>242</v>
      </c>
      <c r="G172" s="13">
        <v>2</v>
      </c>
      <c r="H172" s="13">
        <v>1</v>
      </c>
      <c r="I172" s="13">
        <v>1</v>
      </c>
      <c r="J172" s="13">
        <v>1</v>
      </c>
      <c r="K172" s="19">
        <v>10.199999999999999</v>
      </c>
    </row>
    <row r="173" spans="1:11" x14ac:dyDescent="0.25">
      <c r="A173" s="13">
        <v>243</v>
      </c>
      <c r="B173" s="14">
        <v>45927</v>
      </c>
      <c r="C173" s="13" t="str">
        <f t="shared" si="6"/>
        <v>Sábado</v>
      </c>
      <c r="D173" s="20">
        <v>0.52013888888888882</v>
      </c>
      <c r="E173" s="13">
        <f t="shared" si="7"/>
        <v>243</v>
      </c>
      <c r="F173" s="13">
        <f t="shared" si="8"/>
        <v>243</v>
      </c>
      <c r="G173" s="13">
        <v>1</v>
      </c>
      <c r="H173" s="13">
        <v>1</v>
      </c>
      <c r="I173" s="13">
        <v>1</v>
      </c>
      <c r="J173" s="13">
        <v>1</v>
      </c>
      <c r="K173" s="19">
        <v>6.8</v>
      </c>
    </row>
    <row r="174" spans="1:11" x14ac:dyDescent="0.25">
      <c r="A174" s="13">
        <v>244</v>
      </c>
      <c r="B174" s="14">
        <v>45927</v>
      </c>
      <c r="C174" s="13" t="str">
        <f t="shared" si="6"/>
        <v>Sábado</v>
      </c>
      <c r="D174" s="20">
        <v>0.53263888888888888</v>
      </c>
      <c r="E174" s="13">
        <f t="shared" si="7"/>
        <v>244</v>
      </c>
      <c r="F174" s="13">
        <f t="shared" si="8"/>
        <v>244</v>
      </c>
      <c r="G174" s="13">
        <v>1</v>
      </c>
      <c r="H174" s="13">
        <v>1</v>
      </c>
      <c r="I174" s="13">
        <v>1</v>
      </c>
      <c r="J174" s="13">
        <v>1</v>
      </c>
      <c r="K174" s="19">
        <v>5.2</v>
      </c>
    </row>
    <row r="175" spans="1:11" x14ac:dyDescent="0.25">
      <c r="A175" s="13">
        <v>245</v>
      </c>
      <c r="B175" s="14">
        <v>45927</v>
      </c>
      <c r="C175" s="13" t="str">
        <f t="shared" si="6"/>
        <v>Sábado</v>
      </c>
      <c r="D175" s="20">
        <v>0.53819444444444442</v>
      </c>
      <c r="E175" s="13">
        <f t="shared" si="7"/>
        <v>245</v>
      </c>
      <c r="F175" s="13">
        <f t="shared" si="8"/>
        <v>245</v>
      </c>
      <c r="G175" s="13">
        <v>1</v>
      </c>
      <c r="H175" s="13">
        <v>1</v>
      </c>
      <c r="I175" s="13">
        <v>1</v>
      </c>
      <c r="J175" s="13">
        <v>1</v>
      </c>
      <c r="K175" s="19">
        <v>3.05</v>
      </c>
    </row>
    <row r="176" spans="1:11" x14ac:dyDescent="0.25">
      <c r="A176" s="13">
        <v>246</v>
      </c>
      <c r="B176" s="14">
        <v>45927</v>
      </c>
      <c r="C176" s="13" t="str">
        <f t="shared" si="6"/>
        <v>Sábado</v>
      </c>
      <c r="D176" s="20">
        <v>0.55138888888888882</v>
      </c>
      <c r="E176" s="13">
        <f t="shared" si="7"/>
        <v>246</v>
      </c>
      <c r="F176" s="13">
        <f t="shared" si="8"/>
        <v>246</v>
      </c>
      <c r="G176" s="13">
        <v>2</v>
      </c>
      <c r="H176" s="13">
        <v>1</v>
      </c>
      <c r="I176" s="13">
        <v>1</v>
      </c>
      <c r="J176" s="13">
        <v>1</v>
      </c>
      <c r="K176" s="19">
        <v>17.100000000000001</v>
      </c>
    </row>
    <row r="177" spans="1:11" x14ac:dyDescent="0.25">
      <c r="A177" s="13">
        <v>247</v>
      </c>
      <c r="B177" s="14">
        <v>45927</v>
      </c>
      <c r="C177" s="13" t="str">
        <f t="shared" si="6"/>
        <v>Sábado</v>
      </c>
      <c r="D177" s="20">
        <v>0.56874999999999998</v>
      </c>
      <c r="E177" s="13">
        <f t="shared" si="7"/>
        <v>247</v>
      </c>
      <c r="F177" s="13">
        <f t="shared" si="8"/>
        <v>247</v>
      </c>
      <c r="G177" s="13">
        <v>2</v>
      </c>
      <c r="H177" s="13">
        <v>1</v>
      </c>
      <c r="I177" s="13">
        <v>1</v>
      </c>
      <c r="J177" s="13">
        <v>1</v>
      </c>
      <c r="K177" s="19">
        <v>10.6</v>
      </c>
    </row>
    <row r="178" spans="1:11" x14ac:dyDescent="0.25">
      <c r="A178" s="13">
        <v>248</v>
      </c>
      <c r="B178" s="14">
        <v>45927</v>
      </c>
      <c r="C178" s="13" t="str">
        <f t="shared" si="6"/>
        <v>Sábado</v>
      </c>
      <c r="D178" s="20">
        <v>0.59444444444444444</v>
      </c>
      <c r="E178" s="13">
        <f t="shared" si="7"/>
        <v>248</v>
      </c>
      <c r="F178" s="13">
        <f t="shared" si="8"/>
        <v>248</v>
      </c>
      <c r="G178" s="13">
        <v>2</v>
      </c>
      <c r="H178" s="13">
        <v>1</v>
      </c>
      <c r="I178" s="13">
        <v>1</v>
      </c>
      <c r="J178" s="13">
        <v>1</v>
      </c>
      <c r="K178" s="19">
        <v>12.85</v>
      </c>
    </row>
    <row r="179" spans="1:11" x14ac:dyDescent="0.25">
      <c r="A179" s="13">
        <v>249</v>
      </c>
      <c r="B179" s="14">
        <v>45927</v>
      </c>
      <c r="C179" s="13" t="str">
        <f t="shared" si="6"/>
        <v>Sábado</v>
      </c>
      <c r="D179" s="20">
        <v>0.74097222222222225</v>
      </c>
      <c r="E179" s="13">
        <f t="shared" si="7"/>
        <v>249</v>
      </c>
      <c r="F179" s="13">
        <f t="shared" si="8"/>
        <v>249</v>
      </c>
      <c r="G179" s="13">
        <v>1</v>
      </c>
      <c r="H179" s="13">
        <v>1</v>
      </c>
      <c r="I179" s="13">
        <v>1</v>
      </c>
      <c r="J179" s="13">
        <v>1</v>
      </c>
      <c r="K179" s="19">
        <v>11.6</v>
      </c>
    </row>
    <row r="180" spans="1:11" x14ac:dyDescent="0.25">
      <c r="A180" s="13">
        <v>250</v>
      </c>
      <c r="B180" s="14">
        <v>45927</v>
      </c>
      <c r="C180" s="13" t="str">
        <f t="shared" si="6"/>
        <v>Sábado</v>
      </c>
      <c r="D180" s="20">
        <v>0.74722222222222223</v>
      </c>
      <c r="E180" s="13">
        <f t="shared" si="7"/>
        <v>250</v>
      </c>
      <c r="F180" s="13">
        <f t="shared" si="8"/>
        <v>250</v>
      </c>
      <c r="G180" s="13">
        <v>1</v>
      </c>
      <c r="H180" s="13">
        <v>1</v>
      </c>
      <c r="I180" s="13">
        <v>1</v>
      </c>
      <c r="J180" s="13">
        <v>1</v>
      </c>
      <c r="K180" s="19">
        <v>9.5</v>
      </c>
    </row>
    <row r="181" spans="1:11" x14ac:dyDescent="0.25">
      <c r="A181" s="13">
        <v>251</v>
      </c>
      <c r="B181" s="14">
        <v>45927</v>
      </c>
      <c r="C181" s="13" t="str">
        <f t="shared" si="6"/>
        <v>Sábado</v>
      </c>
      <c r="D181" s="20">
        <v>0.75416666666666676</v>
      </c>
      <c r="E181" s="13">
        <f t="shared" si="7"/>
        <v>251</v>
      </c>
      <c r="F181" s="13">
        <f t="shared" si="8"/>
        <v>251</v>
      </c>
      <c r="G181" s="13">
        <v>1</v>
      </c>
      <c r="H181" s="13">
        <v>1</v>
      </c>
      <c r="I181" s="13">
        <v>1</v>
      </c>
      <c r="J181" s="13">
        <v>1</v>
      </c>
      <c r="K181" s="19">
        <v>14.4</v>
      </c>
    </row>
    <row r="182" spans="1:11" x14ac:dyDescent="0.25">
      <c r="A182" s="13">
        <v>252</v>
      </c>
      <c r="B182" s="14">
        <v>45927</v>
      </c>
      <c r="C182" s="13" t="str">
        <f t="shared" si="6"/>
        <v>Sábado</v>
      </c>
      <c r="D182" s="20">
        <v>0.77083333333333337</v>
      </c>
      <c r="E182" s="13">
        <f t="shared" si="7"/>
        <v>252</v>
      </c>
      <c r="F182" s="13">
        <f t="shared" si="8"/>
        <v>252</v>
      </c>
      <c r="G182" s="13">
        <v>2</v>
      </c>
      <c r="H182" s="13">
        <v>1</v>
      </c>
      <c r="I182" s="13">
        <v>1</v>
      </c>
      <c r="J182" s="13">
        <v>1</v>
      </c>
      <c r="K182" s="19">
        <v>18.5</v>
      </c>
    </row>
    <row r="183" spans="1:11" x14ac:dyDescent="0.25">
      <c r="A183" s="13">
        <v>253</v>
      </c>
      <c r="B183" s="14">
        <v>45927</v>
      </c>
      <c r="C183" s="13" t="str">
        <f t="shared" si="6"/>
        <v>Sábado</v>
      </c>
      <c r="D183" s="20">
        <v>0.7895833333333333</v>
      </c>
      <c r="E183" s="13">
        <f t="shared" si="7"/>
        <v>253</v>
      </c>
      <c r="F183" s="13">
        <f t="shared" si="8"/>
        <v>253</v>
      </c>
      <c r="G183" s="13">
        <v>2</v>
      </c>
      <c r="H183" s="13">
        <v>1</v>
      </c>
      <c r="I183" s="13">
        <v>1</v>
      </c>
      <c r="J183" s="13">
        <v>1</v>
      </c>
      <c r="K183" s="19">
        <v>15</v>
      </c>
    </row>
    <row r="184" spans="1:11" x14ac:dyDescent="0.25">
      <c r="A184" s="13">
        <v>254</v>
      </c>
      <c r="B184" s="14">
        <v>45927</v>
      </c>
      <c r="C184" s="13" t="str">
        <f t="shared" si="6"/>
        <v>Sábado</v>
      </c>
      <c r="D184" s="20">
        <v>0.80555555555555547</v>
      </c>
      <c r="E184" s="13">
        <f t="shared" si="7"/>
        <v>254</v>
      </c>
      <c r="F184" s="13">
        <f t="shared" si="8"/>
        <v>254</v>
      </c>
      <c r="G184" s="13">
        <v>2</v>
      </c>
      <c r="H184" s="13">
        <v>1</v>
      </c>
      <c r="I184" s="13">
        <v>1</v>
      </c>
      <c r="J184" s="13">
        <v>1</v>
      </c>
      <c r="K184" s="19">
        <v>12</v>
      </c>
    </row>
    <row r="185" spans="1:11" x14ac:dyDescent="0.25">
      <c r="A185" s="13">
        <v>255</v>
      </c>
      <c r="B185" s="14">
        <v>45927</v>
      </c>
      <c r="C185" s="13" t="str">
        <f t="shared" si="6"/>
        <v>Sábado</v>
      </c>
      <c r="D185" s="20">
        <v>0.83263888888888893</v>
      </c>
      <c r="E185" s="13">
        <f t="shared" si="7"/>
        <v>255</v>
      </c>
      <c r="F185" s="13">
        <f t="shared" si="8"/>
        <v>255</v>
      </c>
      <c r="G185" s="13">
        <v>2</v>
      </c>
      <c r="H185" s="13">
        <v>1</v>
      </c>
      <c r="I185" s="13">
        <v>1</v>
      </c>
      <c r="J185" s="13">
        <v>1</v>
      </c>
      <c r="K185" s="19">
        <v>16.899999999999999</v>
      </c>
    </row>
    <row r="186" spans="1:11" x14ac:dyDescent="0.25">
      <c r="A186" s="13">
        <v>256</v>
      </c>
      <c r="B186" s="14">
        <v>45927</v>
      </c>
      <c r="C186" s="13" t="str">
        <f t="shared" si="6"/>
        <v>Sábado</v>
      </c>
      <c r="D186" s="20">
        <v>0.84513888888888899</v>
      </c>
      <c r="E186" s="13">
        <f t="shared" si="7"/>
        <v>256</v>
      </c>
      <c r="F186" s="13">
        <f t="shared" si="8"/>
        <v>256</v>
      </c>
      <c r="G186" s="13">
        <v>2</v>
      </c>
      <c r="H186" s="13">
        <v>1</v>
      </c>
      <c r="I186" s="13">
        <v>1</v>
      </c>
      <c r="J186" s="13">
        <v>1</v>
      </c>
      <c r="K186" s="19">
        <v>4.05</v>
      </c>
    </row>
    <row r="187" spans="1:11" x14ac:dyDescent="0.25">
      <c r="A187" s="13">
        <v>257</v>
      </c>
      <c r="B187" s="14">
        <v>45928</v>
      </c>
      <c r="C187" s="13" t="str">
        <f t="shared" si="6"/>
        <v>Domingo</v>
      </c>
      <c r="D187" s="20">
        <v>0.51180555555555551</v>
      </c>
      <c r="E187" s="13">
        <f t="shared" si="7"/>
        <v>257</v>
      </c>
      <c r="F187" s="13">
        <f t="shared" si="8"/>
        <v>257</v>
      </c>
      <c r="G187" s="13">
        <v>2</v>
      </c>
      <c r="H187" s="13">
        <v>1</v>
      </c>
      <c r="I187" s="13">
        <v>1</v>
      </c>
      <c r="J187" s="13">
        <v>1</v>
      </c>
      <c r="K187" s="19">
        <v>42.2</v>
      </c>
    </row>
    <row r="188" spans="1:11" x14ac:dyDescent="0.25">
      <c r="A188" s="13">
        <v>258</v>
      </c>
      <c r="B188" s="14">
        <v>45928</v>
      </c>
      <c r="C188" s="13" t="str">
        <f t="shared" si="6"/>
        <v>Domingo</v>
      </c>
      <c r="D188" s="20">
        <v>0.73541666666666661</v>
      </c>
      <c r="E188" s="13">
        <f t="shared" si="7"/>
        <v>258</v>
      </c>
      <c r="F188" s="13">
        <f t="shared" si="8"/>
        <v>258</v>
      </c>
      <c r="G188" s="13">
        <v>2</v>
      </c>
      <c r="H188" s="13">
        <v>1</v>
      </c>
      <c r="I188" s="13">
        <v>1</v>
      </c>
      <c r="J188" s="13">
        <v>1</v>
      </c>
      <c r="K188" s="19">
        <v>49.4</v>
      </c>
    </row>
    <row r="189" spans="1:11" x14ac:dyDescent="0.25">
      <c r="A189" s="13">
        <v>10</v>
      </c>
      <c r="B189" s="14">
        <v>45929</v>
      </c>
      <c r="C189" s="13" t="str">
        <f t="shared" si="6"/>
        <v>Segunda-Feira</v>
      </c>
      <c r="D189" s="20">
        <v>0.46388888888888885</v>
      </c>
      <c r="E189" s="13">
        <f t="shared" si="7"/>
        <v>10</v>
      </c>
      <c r="F189" s="13">
        <f t="shared" si="8"/>
        <v>10</v>
      </c>
      <c r="G189" s="13">
        <v>1</v>
      </c>
      <c r="H189" s="13">
        <v>1</v>
      </c>
      <c r="I189" s="13">
        <v>1</v>
      </c>
      <c r="J189" s="13">
        <v>2</v>
      </c>
      <c r="K189" s="19">
        <v>6.7</v>
      </c>
    </row>
    <row r="190" spans="1:11" x14ac:dyDescent="0.25">
      <c r="A190" s="13">
        <v>11</v>
      </c>
      <c r="B190" s="14">
        <v>45929</v>
      </c>
      <c r="C190" s="13" t="str">
        <f t="shared" si="6"/>
        <v>Segunda-Feira</v>
      </c>
      <c r="D190" s="20">
        <v>0.47361111111111115</v>
      </c>
      <c r="E190" s="13">
        <f t="shared" si="7"/>
        <v>11</v>
      </c>
      <c r="F190" s="13">
        <f t="shared" si="8"/>
        <v>11</v>
      </c>
      <c r="G190" s="13">
        <v>3</v>
      </c>
      <c r="H190" s="13">
        <v>1</v>
      </c>
      <c r="I190" s="13">
        <v>1</v>
      </c>
      <c r="J190" s="13">
        <v>2</v>
      </c>
      <c r="K190" s="19">
        <v>0</v>
      </c>
    </row>
    <row r="191" spans="1:11" x14ac:dyDescent="0.25">
      <c r="A191" s="13">
        <v>259</v>
      </c>
      <c r="B191" s="14">
        <v>45929</v>
      </c>
      <c r="C191" s="13" t="str">
        <f t="shared" si="6"/>
        <v>Segunda-Feira</v>
      </c>
      <c r="D191" s="20">
        <v>0.21527777777777779</v>
      </c>
      <c r="E191" s="13">
        <f t="shared" si="7"/>
        <v>259</v>
      </c>
      <c r="F191" s="13">
        <f t="shared" si="8"/>
        <v>259</v>
      </c>
      <c r="G191" s="13">
        <v>2</v>
      </c>
      <c r="H191" s="13">
        <v>1</v>
      </c>
      <c r="I191" s="13">
        <v>1</v>
      </c>
      <c r="J191" s="13">
        <v>1</v>
      </c>
      <c r="K191" s="19">
        <v>6.5</v>
      </c>
    </row>
    <row r="192" spans="1:11" x14ac:dyDescent="0.25">
      <c r="A192" s="13">
        <v>260</v>
      </c>
      <c r="B192" s="14">
        <v>45929</v>
      </c>
      <c r="C192" s="13" t="str">
        <f t="shared" si="6"/>
        <v>Segunda-Feira</v>
      </c>
      <c r="D192" s="20">
        <v>0.23472222222222219</v>
      </c>
      <c r="E192" s="13">
        <f t="shared" si="7"/>
        <v>260</v>
      </c>
      <c r="F192" s="13">
        <f t="shared" si="8"/>
        <v>260</v>
      </c>
      <c r="G192" s="13">
        <v>2</v>
      </c>
      <c r="H192" s="13">
        <v>1</v>
      </c>
      <c r="I192" s="13">
        <v>1</v>
      </c>
      <c r="J192" s="13">
        <v>1</v>
      </c>
      <c r="K192" s="19">
        <v>35.5</v>
      </c>
    </row>
    <row r="193" spans="1:11" x14ac:dyDescent="0.25">
      <c r="A193" s="13">
        <v>261</v>
      </c>
      <c r="B193" s="14">
        <v>45929</v>
      </c>
      <c r="C193" s="13" t="str">
        <f t="shared" si="6"/>
        <v>Segunda-Feira</v>
      </c>
      <c r="D193" s="20">
        <v>0.26250000000000001</v>
      </c>
      <c r="E193" s="13">
        <f t="shared" si="7"/>
        <v>261</v>
      </c>
      <c r="F193" s="13">
        <f t="shared" si="8"/>
        <v>261</v>
      </c>
      <c r="G193" s="13">
        <v>2</v>
      </c>
      <c r="H193" s="13">
        <v>1</v>
      </c>
      <c r="I193" s="13">
        <v>1</v>
      </c>
      <c r="J193" s="13">
        <v>1</v>
      </c>
      <c r="K193" s="19">
        <v>27</v>
      </c>
    </row>
    <row r="194" spans="1:11" x14ac:dyDescent="0.25">
      <c r="A194" s="13">
        <v>262</v>
      </c>
      <c r="B194" s="14">
        <v>45929</v>
      </c>
      <c r="C194" s="13" t="str">
        <f t="shared" ref="C194:C257" si="9">PROPER(TEXT(WEEKDAY(B194),"dddd"))</f>
        <v>Segunda-Feira</v>
      </c>
      <c r="D194" s="20">
        <v>0.28611111111111115</v>
      </c>
      <c r="E194" s="13">
        <f t="shared" ref="E194:E257" si="10">A194</f>
        <v>262</v>
      </c>
      <c r="F194" s="13">
        <f t="shared" ref="F194:F257" si="11">A194</f>
        <v>262</v>
      </c>
      <c r="G194" s="13">
        <v>1</v>
      </c>
      <c r="H194" s="13">
        <v>1</v>
      </c>
      <c r="I194" s="13">
        <v>1</v>
      </c>
      <c r="J194" s="13">
        <v>1</v>
      </c>
      <c r="K194" s="19">
        <v>14</v>
      </c>
    </row>
    <row r="195" spans="1:11" x14ac:dyDescent="0.25">
      <c r="A195" s="13">
        <v>263</v>
      </c>
      <c r="B195" s="14">
        <v>45929</v>
      </c>
      <c r="C195" s="13" t="str">
        <f t="shared" si="9"/>
        <v>Segunda-Feira</v>
      </c>
      <c r="D195" s="20">
        <v>0.29791666666666666</v>
      </c>
      <c r="E195" s="13">
        <f t="shared" si="10"/>
        <v>263</v>
      </c>
      <c r="F195" s="13">
        <f t="shared" si="11"/>
        <v>263</v>
      </c>
      <c r="G195" s="13">
        <v>2</v>
      </c>
      <c r="H195" s="13">
        <v>1</v>
      </c>
      <c r="I195" s="13">
        <v>1</v>
      </c>
      <c r="J195" s="13">
        <v>1</v>
      </c>
      <c r="K195" s="19">
        <v>4.25</v>
      </c>
    </row>
    <row r="196" spans="1:11" x14ac:dyDescent="0.25">
      <c r="A196" s="13">
        <v>264</v>
      </c>
      <c r="B196" s="14">
        <v>45929</v>
      </c>
      <c r="C196" s="13" t="str">
        <f t="shared" si="9"/>
        <v>Segunda-Feira</v>
      </c>
      <c r="D196" s="20">
        <v>0.30833333333333335</v>
      </c>
      <c r="E196" s="13">
        <f t="shared" si="10"/>
        <v>264</v>
      </c>
      <c r="F196" s="13">
        <f t="shared" si="11"/>
        <v>264</v>
      </c>
      <c r="G196" s="13">
        <v>2</v>
      </c>
      <c r="H196" s="13">
        <v>1</v>
      </c>
      <c r="I196" s="13">
        <v>1</v>
      </c>
      <c r="J196" s="13">
        <v>1</v>
      </c>
      <c r="K196" s="19">
        <v>6.5</v>
      </c>
    </row>
    <row r="197" spans="1:11" x14ac:dyDescent="0.25">
      <c r="A197" s="13">
        <v>265</v>
      </c>
      <c r="B197" s="14">
        <v>45929</v>
      </c>
      <c r="C197" s="13" t="str">
        <f t="shared" si="9"/>
        <v>Segunda-Feira</v>
      </c>
      <c r="D197" s="20">
        <v>0.31527777777777777</v>
      </c>
      <c r="E197" s="13">
        <f t="shared" si="10"/>
        <v>265</v>
      </c>
      <c r="F197" s="13">
        <f t="shared" si="11"/>
        <v>265</v>
      </c>
      <c r="G197" s="13">
        <v>2</v>
      </c>
      <c r="H197" s="13">
        <v>1</v>
      </c>
      <c r="I197" s="13">
        <v>1</v>
      </c>
      <c r="J197" s="13">
        <v>1</v>
      </c>
      <c r="K197" s="19">
        <v>18.600000000000001</v>
      </c>
    </row>
    <row r="198" spans="1:11" x14ac:dyDescent="0.25">
      <c r="A198" s="13">
        <v>266</v>
      </c>
      <c r="B198" s="14">
        <v>45929</v>
      </c>
      <c r="C198" s="13" t="str">
        <f t="shared" si="9"/>
        <v>Segunda-Feira</v>
      </c>
      <c r="D198" s="20">
        <v>0.33263888888888887</v>
      </c>
      <c r="E198" s="13">
        <f t="shared" si="10"/>
        <v>266</v>
      </c>
      <c r="F198" s="13">
        <f t="shared" si="11"/>
        <v>266</v>
      </c>
      <c r="G198" s="13">
        <v>2</v>
      </c>
      <c r="H198" s="13">
        <v>1</v>
      </c>
      <c r="I198" s="13">
        <v>1</v>
      </c>
      <c r="J198" s="13">
        <v>1</v>
      </c>
      <c r="K198" s="19">
        <v>7.75</v>
      </c>
    </row>
    <row r="199" spans="1:11" x14ac:dyDescent="0.25">
      <c r="A199" s="13">
        <v>267</v>
      </c>
      <c r="B199" s="14">
        <v>45929</v>
      </c>
      <c r="C199" s="13" t="str">
        <f t="shared" si="9"/>
        <v>Segunda-Feira</v>
      </c>
      <c r="D199" s="20">
        <v>0.34027777777777773</v>
      </c>
      <c r="E199" s="13">
        <f t="shared" si="10"/>
        <v>267</v>
      </c>
      <c r="F199" s="13">
        <f t="shared" si="11"/>
        <v>267</v>
      </c>
      <c r="G199" s="13">
        <v>1</v>
      </c>
      <c r="H199" s="13">
        <v>1</v>
      </c>
      <c r="I199" s="13">
        <v>1</v>
      </c>
      <c r="J199" s="13">
        <v>1</v>
      </c>
      <c r="K199" s="19">
        <v>13.9</v>
      </c>
    </row>
    <row r="200" spans="1:11" x14ac:dyDescent="0.25">
      <c r="A200" s="13">
        <v>268</v>
      </c>
      <c r="B200" s="14">
        <v>45929</v>
      </c>
      <c r="C200" s="13" t="str">
        <f t="shared" si="9"/>
        <v>Segunda-Feira</v>
      </c>
      <c r="D200" s="20">
        <v>0.36388888888888887</v>
      </c>
      <c r="E200" s="13">
        <f t="shared" si="10"/>
        <v>268</v>
      </c>
      <c r="F200" s="13">
        <f t="shared" si="11"/>
        <v>268</v>
      </c>
      <c r="G200" s="13">
        <v>2</v>
      </c>
      <c r="H200" s="13">
        <v>1</v>
      </c>
      <c r="I200" s="13">
        <v>1</v>
      </c>
      <c r="J200" s="13">
        <v>1</v>
      </c>
      <c r="K200" s="19">
        <v>24.1</v>
      </c>
    </row>
    <row r="201" spans="1:11" x14ac:dyDescent="0.25">
      <c r="A201" s="13">
        <v>269</v>
      </c>
      <c r="B201" s="14">
        <v>45929</v>
      </c>
      <c r="C201" s="13" t="str">
        <f t="shared" si="9"/>
        <v>Segunda-Feira</v>
      </c>
      <c r="D201" s="20">
        <v>0.38680555555555557</v>
      </c>
      <c r="E201" s="13">
        <f t="shared" si="10"/>
        <v>269</v>
      </c>
      <c r="F201" s="13">
        <f t="shared" si="11"/>
        <v>269</v>
      </c>
      <c r="G201" s="13">
        <v>2</v>
      </c>
      <c r="H201" s="13">
        <v>1</v>
      </c>
      <c r="I201" s="13">
        <v>1</v>
      </c>
      <c r="J201" s="13">
        <v>1</v>
      </c>
      <c r="K201" s="19">
        <v>51.45</v>
      </c>
    </row>
    <row r="202" spans="1:11" x14ac:dyDescent="0.25">
      <c r="A202" s="13">
        <v>270</v>
      </c>
      <c r="B202" s="14">
        <v>45929</v>
      </c>
      <c r="C202" s="13" t="str">
        <f t="shared" si="9"/>
        <v>Segunda-Feira</v>
      </c>
      <c r="D202" s="20">
        <v>0.44513888888888892</v>
      </c>
      <c r="E202" s="13">
        <f t="shared" si="10"/>
        <v>270</v>
      </c>
      <c r="F202" s="13">
        <f t="shared" si="11"/>
        <v>270</v>
      </c>
      <c r="G202" s="13">
        <v>2</v>
      </c>
      <c r="H202" s="13">
        <v>1</v>
      </c>
      <c r="I202" s="13">
        <v>1</v>
      </c>
      <c r="J202" s="13">
        <v>1</v>
      </c>
      <c r="K202" s="19">
        <v>16.399999999999999</v>
      </c>
    </row>
    <row r="203" spans="1:11" x14ac:dyDescent="0.25">
      <c r="A203" s="13">
        <v>271</v>
      </c>
      <c r="B203" s="14">
        <v>45929</v>
      </c>
      <c r="C203" s="13" t="str">
        <f t="shared" si="9"/>
        <v>Segunda-Feira</v>
      </c>
      <c r="D203" s="20">
        <v>0.47152777777777777</v>
      </c>
      <c r="E203" s="13">
        <f t="shared" si="10"/>
        <v>271</v>
      </c>
      <c r="F203" s="13">
        <f t="shared" si="11"/>
        <v>271</v>
      </c>
      <c r="G203" s="13">
        <v>2</v>
      </c>
      <c r="H203" s="13">
        <v>1</v>
      </c>
      <c r="I203" s="13">
        <v>1</v>
      </c>
      <c r="J203" s="13">
        <v>1</v>
      </c>
      <c r="K203" s="19">
        <v>4.2</v>
      </c>
    </row>
    <row r="204" spans="1:11" x14ac:dyDescent="0.25">
      <c r="A204" s="13">
        <v>272</v>
      </c>
      <c r="B204" s="14">
        <v>45929</v>
      </c>
      <c r="C204" s="13" t="str">
        <f t="shared" si="9"/>
        <v>Segunda-Feira</v>
      </c>
      <c r="D204" s="20">
        <v>0.49513888888888885</v>
      </c>
      <c r="E204" s="13">
        <f t="shared" si="10"/>
        <v>272</v>
      </c>
      <c r="F204" s="13">
        <f t="shared" si="11"/>
        <v>272</v>
      </c>
      <c r="G204" s="13">
        <v>2</v>
      </c>
      <c r="H204" s="13">
        <v>1</v>
      </c>
      <c r="I204" s="13">
        <v>1</v>
      </c>
      <c r="J204" s="13">
        <v>1</v>
      </c>
      <c r="K204" s="19">
        <v>35.25</v>
      </c>
    </row>
    <row r="205" spans="1:11" x14ac:dyDescent="0.25">
      <c r="A205" s="13">
        <v>273</v>
      </c>
      <c r="B205" s="14">
        <v>45929</v>
      </c>
      <c r="C205" s="13" t="str">
        <f t="shared" si="9"/>
        <v>Segunda-Feira</v>
      </c>
      <c r="D205" s="20">
        <v>0.53125</v>
      </c>
      <c r="E205" s="13">
        <f t="shared" si="10"/>
        <v>273</v>
      </c>
      <c r="F205" s="13">
        <f t="shared" si="11"/>
        <v>273</v>
      </c>
      <c r="G205" s="13">
        <v>2</v>
      </c>
      <c r="H205" s="13">
        <v>1</v>
      </c>
      <c r="I205" s="13">
        <v>1</v>
      </c>
      <c r="J205" s="13">
        <v>1</v>
      </c>
      <c r="K205" s="19">
        <v>31</v>
      </c>
    </row>
    <row r="206" spans="1:11" x14ac:dyDescent="0.25">
      <c r="A206" s="13">
        <v>274</v>
      </c>
      <c r="B206" s="14">
        <v>45929</v>
      </c>
      <c r="C206" s="13" t="str">
        <f t="shared" si="9"/>
        <v>Segunda-Feira</v>
      </c>
      <c r="D206" s="20">
        <v>0.55555555555555558</v>
      </c>
      <c r="E206" s="13">
        <f t="shared" si="10"/>
        <v>274</v>
      </c>
      <c r="F206" s="13">
        <f t="shared" si="11"/>
        <v>274</v>
      </c>
      <c r="G206" s="13">
        <v>2</v>
      </c>
      <c r="H206" s="13">
        <v>1</v>
      </c>
      <c r="I206" s="13">
        <v>1</v>
      </c>
      <c r="J206" s="13">
        <v>1</v>
      </c>
      <c r="K206" s="19">
        <v>10</v>
      </c>
    </row>
    <row r="207" spans="1:11" x14ac:dyDescent="0.25">
      <c r="A207" s="13">
        <v>12</v>
      </c>
      <c r="B207" s="14">
        <v>45932</v>
      </c>
      <c r="C207" s="13" t="str">
        <f t="shared" si="9"/>
        <v>Quinta-Feira</v>
      </c>
      <c r="D207" s="20">
        <v>0.65416666666666667</v>
      </c>
      <c r="E207" s="13">
        <f t="shared" si="10"/>
        <v>12</v>
      </c>
      <c r="F207" s="13">
        <f t="shared" si="11"/>
        <v>12</v>
      </c>
      <c r="G207" s="13">
        <v>1</v>
      </c>
      <c r="H207" s="13">
        <v>1</v>
      </c>
      <c r="I207" s="13">
        <v>1</v>
      </c>
      <c r="J207" s="13">
        <v>2</v>
      </c>
      <c r="K207" s="19">
        <v>13.35</v>
      </c>
    </row>
    <row r="208" spans="1:11" x14ac:dyDescent="0.25">
      <c r="A208" s="13">
        <v>13</v>
      </c>
      <c r="B208" s="14">
        <v>45932</v>
      </c>
      <c r="C208" s="13" t="str">
        <f t="shared" si="9"/>
        <v>Quinta-Feira</v>
      </c>
      <c r="D208" s="20">
        <v>0.66597222222222219</v>
      </c>
      <c r="E208" s="13">
        <f t="shared" si="10"/>
        <v>13</v>
      </c>
      <c r="F208" s="13">
        <f t="shared" si="11"/>
        <v>13</v>
      </c>
      <c r="G208" s="13">
        <v>2</v>
      </c>
      <c r="H208" s="13">
        <v>1</v>
      </c>
      <c r="I208" s="13">
        <v>1</v>
      </c>
      <c r="J208" s="13">
        <v>2</v>
      </c>
      <c r="K208" s="19">
        <v>10.51</v>
      </c>
    </row>
    <row r="209" spans="1:11" x14ac:dyDescent="0.25">
      <c r="A209" s="13">
        <v>14</v>
      </c>
      <c r="B209" s="14">
        <v>45932</v>
      </c>
      <c r="C209" s="13" t="str">
        <f t="shared" si="9"/>
        <v>Quinta-Feira</v>
      </c>
      <c r="D209" s="20">
        <v>0.67986111111111114</v>
      </c>
      <c r="E209" s="13">
        <f t="shared" si="10"/>
        <v>14</v>
      </c>
      <c r="F209" s="13">
        <f t="shared" si="11"/>
        <v>14</v>
      </c>
      <c r="G209" s="13">
        <v>1</v>
      </c>
      <c r="H209" s="13">
        <v>1</v>
      </c>
      <c r="I209" s="13">
        <v>1</v>
      </c>
      <c r="J209" s="13">
        <v>2</v>
      </c>
      <c r="K209" s="19">
        <v>30.5</v>
      </c>
    </row>
    <row r="210" spans="1:11" x14ac:dyDescent="0.25">
      <c r="A210" s="13">
        <v>15</v>
      </c>
      <c r="B210" s="14">
        <v>45932</v>
      </c>
      <c r="C210" s="13" t="str">
        <f t="shared" si="9"/>
        <v>Quinta-Feira</v>
      </c>
      <c r="D210" s="20">
        <v>0.70486111111111116</v>
      </c>
      <c r="E210" s="13">
        <f t="shared" si="10"/>
        <v>15</v>
      </c>
      <c r="F210" s="13">
        <f t="shared" si="11"/>
        <v>15</v>
      </c>
      <c r="G210" s="13">
        <v>1</v>
      </c>
      <c r="H210" s="13">
        <v>1</v>
      </c>
      <c r="I210" s="13">
        <v>1</v>
      </c>
      <c r="J210" s="13">
        <v>2</v>
      </c>
      <c r="K210" s="19">
        <v>37</v>
      </c>
    </row>
    <row r="211" spans="1:11" x14ac:dyDescent="0.25">
      <c r="A211" s="13">
        <v>16</v>
      </c>
      <c r="B211" s="14">
        <v>45932</v>
      </c>
      <c r="C211" s="13" t="str">
        <f t="shared" si="9"/>
        <v>Quinta-Feira</v>
      </c>
      <c r="D211" s="20">
        <v>0.73958333333333337</v>
      </c>
      <c r="E211" s="13">
        <f t="shared" si="10"/>
        <v>16</v>
      </c>
      <c r="F211" s="13">
        <f t="shared" si="11"/>
        <v>16</v>
      </c>
      <c r="G211" s="13">
        <v>2</v>
      </c>
      <c r="H211" s="13">
        <v>1</v>
      </c>
      <c r="I211" s="13">
        <v>1</v>
      </c>
      <c r="J211" s="13">
        <v>2</v>
      </c>
      <c r="K211" s="19">
        <v>9</v>
      </c>
    </row>
    <row r="212" spans="1:11" x14ac:dyDescent="0.25">
      <c r="A212" s="13">
        <v>17</v>
      </c>
      <c r="B212" s="14">
        <v>45932</v>
      </c>
      <c r="C212" s="13" t="str">
        <f t="shared" si="9"/>
        <v>Quinta-Feira</v>
      </c>
      <c r="D212" s="20">
        <v>0.74652777777777779</v>
      </c>
      <c r="E212" s="13">
        <f t="shared" si="10"/>
        <v>17</v>
      </c>
      <c r="F212" s="13">
        <f t="shared" si="11"/>
        <v>17</v>
      </c>
      <c r="G212" s="13">
        <v>1</v>
      </c>
      <c r="H212" s="13">
        <v>1</v>
      </c>
      <c r="I212" s="13">
        <v>1</v>
      </c>
      <c r="J212" s="13">
        <v>2</v>
      </c>
      <c r="K212" s="19">
        <v>12.5</v>
      </c>
    </row>
    <row r="213" spans="1:11" x14ac:dyDescent="0.25">
      <c r="A213" s="13">
        <v>18</v>
      </c>
      <c r="B213" s="14">
        <v>45932</v>
      </c>
      <c r="C213" s="13" t="str">
        <f t="shared" si="9"/>
        <v>Quinta-Feira</v>
      </c>
      <c r="D213" s="20">
        <v>0.77500000000000002</v>
      </c>
      <c r="E213" s="13">
        <f t="shared" si="10"/>
        <v>18</v>
      </c>
      <c r="F213" s="13">
        <f t="shared" si="11"/>
        <v>18</v>
      </c>
      <c r="G213" s="13">
        <v>3</v>
      </c>
      <c r="H213" s="13">
        <v>1</v>
      </c>
      <c r="I213" s="13">
        <v>1</v>
      </c>
      <c r="J213" s="13">
        <v>2</v>
      </c>
      <c r="K213" s="19">
        <v>0</v>
      </c>
    </row>
    <row r="214" spans="1:11" x14ac:dyDescent="0.25">
      <c r="A214" s="13">
        <v>275</v>
      </c>
      <c r="B214" s="14">
        <v>45932</v>
      </c>
      <c r="C214" s="13" t="str">
        <f t="shared" si="9"/>
        <v>Quinta-Feira</v>
      </c>
      <c r="D214" s="20">
        <v>0.60555555555555551</v>
      </c>
      <c r="E214" s="13">
        <f t="shared" si="10"/>
        <v>275</v>
      </c>
      <c r="F214" s="13">
        <f t="shared" si="11"/>
        <v>275</v>
      </c>
      <c r="G214" s="13">
        <v>2</v>
      </c>
      <c r="H214" s="13">
        <v>1</v>
      </c>
      <c r="I214" s="13">
        <v>1</v>
      </c>
      <c r="J214" s="13">
        <v>1</v>
      </c>
      <c r="K214" s="19">
        <v>4</v>
      </c>
    </row>
    <row r="215" spans="1:11" x14ac:dyDescent="0.25">
      <c r="A215" s="13">
        <v>276</v>
      </c>
      <c r="B215" s="14">
        <v>45932</v>
      </c>
      <c r="C215" s="13" t="str">
        <f t="shared" si="9"/>
        <v>Quinta-Feira</v>
      </c>
      <c r="D215" s="20">
        <v>0.60902777777777783</v>
      </c>
      <c r="E215" s="13">
        <f t="shared" si="10"/>
        <v>276</v>
      </c>
      <c r="F215" s="13">
        <f t="shared" si="11"/>
        <v>276</v>
      </c>
      <c r="G215" s="13">
        <v>2</v>
      </c>
      <c r="H215" s="13">
        <v>1</v>
      </c>
      <c r="I215" s="13">
        <v>1</v>
      </c>
      <c r="J215" s="13">
        <v>1</v>
      </c>
      <c r="K215" s="19">
        <v>6</v>
      </c>
    </row>
    <row r="216" spans="1:11" x14ac:dyDescent="0.25">
      <c r="A216" s="13">
        <v>277</v>
      </c>
      <c r="B216" s="14">
        <v>45932</v>
      </c>
      <c r="C216" s="13" t="str">
        <f t="shared" si="9"/>
        <v>Quinta-Feira</v>
      </c>
      <c r="D216" s="20">
        <v>0.62361111111111112</v>
      </c>
      <c r="E216" s="13">
        <f t="shared" si="10"/>
        <v>277</v>
      </c>
      <c r="F216" s="13">
        <f t="shared" si="11"/>
        <v>277</v>
      </c>
      <c r="G216" s="13">
        <v>2</v>
      </c>
      <c r="H216" s="13">
        <v>1</v>
      </c>
      <c r="I216" s="13">
        <v>1</v>
      </c>
      <c r="J216" s="13">
        <v>1</v>
      </c>
      <c r="K216" s="19">
        <v>3.8</v>
      </c>
    </row>
    <row r="217" spans="1:11" x14ac:dyDescent="0.25">
      <c r="A217" s="13">
        <v>278</v>
      </c>
      <c r="B217" s="14">
        <v>45932</v>
      </c>
      <c r="C217" s="13" t="str">
        <f t="shared" si="9"/>
        <v>Quinta-Feira</v>
      </c>
      <c r="D217" s="20">
        <v>0.63194444444444442</v>
      </c>
      <c r="E217" s="13">
        <f t="shared" si="10"/>
        <v>278</v>
      </c>
      <c r="F217" s="13">
        <f t="shared" si="11"/>
        <v>278</v>
      </c>
      <c r="G217" s="13">
        <v>2</v>
      </c>
      <c r="H217" s="13">
        <v>1</v>
      </c>
      <c r="I217" s="13">
        <v>1</v>
      </c>
      <c r="J217" s="13">
        <v>1</v>
      </c>
      <c r="K217" s="19">
        <v>3.2</v>
      </c>
    </row>
    <row r="218" spans="1:11" x14ac:dyDescent="0.25">
      <c r="A218" s="13">
        <v>279</v>
      </c>
      <c r="B218" s="14">
        <v>45932</v>
      </c>
      <c r="C218" s="13" t="str">
        <f t="shared" si="9"/>
        <v>Quinta-Feira</v>
      </c>
      <c r="D218" s="20">
        <v>0.77638888888888891</v>
      </c>
      <c r="E218" s="13">
        <f t="shared" si="10"/>
        <v>279</v>
      </c>
      <c r="F218" s="13">
        <f t="shared" si="11"/>
        <v>279</v>
      </c>
      <c r="G218" s="13">
        <v>2</v>
      </c>
      <c r="H218" s="13">
        <v>1</v>
      </c>
      <c r="I218" s="13">
        <v>1</v>
      </c>
      <c r="J218" s="13">
        <v>1</v>
      </c>
      <c r="K218" s="19">
        <v>36.75</v>
      </c>
    </row>
    <row r="219" spans="1:11" x14ac:dyDescent="0.25">
      <c r="A219" s="13">
        <v>19</v>
      </c>
      <c r="B219" s="14">
        <v>45933</v>
      </c>
      <c r="C219" s="13" t="str">
        <f t="shared" si="9"/>
        <v>Sexta-Feira</v>
      </c>
      <c r="D219" s="20">
        <v>0.59791666666666665</v>
      </c>
      <c r="E219" s="13">
        <f t="shared" si="10"/>
        <v>19</v>
      </c>
      <c r="F219" s="13">
        <f t="shared" si="11"/>
        <v>19</v>
      </c>
      <c r="G219" s="13">
        <v>1</v>
      </c>
      <c r="H219" s="13">
        <v>1</v>
      </c>
      <c r="I219" s="13">
        <v>1</v>
      </c>
      <c r="J219" s="13">
        <v>2</v>
      </c>
      <c r="K219" s="19">
        <v>41.9</v>
      </c>
    </row>
    <row r="220" spans="1:11" x14ac:dyDescent="0.25">
      <c r="A220" s="13">
        <v>20</v>
      </c>
      <c r="B220" s="14">
        <v>45933</v>
      </c>
      <c r="C220" s="13" t="str">
        <f t="shared" si="9"/>
        <v>Sexta-Feira</v>
      </c>
      <c r="D220" s="20">
        <v>0.63958333333333328</v>
      </c>
      <c r="E220" s="13">
        <f t="shared" si="10"/>
        <v>20</v>
      </c>
      <c r="F220" s="13">
        <f t="shared" si="11"/>
        <v>20</v>
      </c>
      <c r="G220" s="13">
        <v>2</v>
      </c>
      <c r="H220" s="13">
        <v>1</v>
      </c>
      <c r="I220" s="13">
        <v>1</v>
      </c>
      <c r="J220" s="13">
        <v>2</v>
      </c>
      <c r="K220" s="19">
        <v>5.6</v>
      </c>
    </row>
    <row r="221" spans="1:11" x14ac:dyDescent="0.25">
      <c r="A221" s="13">
        <v>21</v>
      </c>
      <c r="B221" s="14">
        <v>45933</v>
      </c>
      <c r="C221" s="13" t="str">
        <f t="shared" si="9"/>
        <v>Sexta-Feira</v>
      </c>
      <c r="D221" s="20">
        <v>0.64861111111111114</v>
      </c>
      <c r="E221" s="13">
        <f t="shared" si="10"/>
        <v>21</v>
      </c>
      <c r="F221" s="13">
        <f t="shared" si="11"/>
        <v>21</v>
      </c>
      <c r="G221" s="13">
        <v>2</v>
      </c>
      <c r="H221" s="13">
        <v>1</v>
      </c>
      <c r="I221" s="13">
        <v>1</v>
      </c>
      <c r="J221" s="13">
        <v>2</v>
      </c>
      <c r="K221" s="19">
        <v>6.4</v>
      </c>
    </row>
    <row r="222" spans="1:11" x14ac:dyDescent="0.25">
      <c r="A222" s="13">
        <v>22</v>
      </c>
      <c r="B222" s="14">
        <v>45933</v>
      </c>
      <c r="C222" s="13" t="str">
        <f t="shared" si="9"/>
        <v>Sexta-Feira</v>
      </c>
      <c r="D222" s="20">
        <v>0.66666666666666663</v>
      </c>
      <c r="E222" s="13">
        <f t="shared" si="10"/>
        <v>22</v>
      </c>
      <c r="F222" s="13">
        <f t="shared" si="11"/>
        <v>22</v>
      </c>
      <c r="G222" s="13">
        <v>1</v>
      </c>
      <c r="H222" s="13">
        <v>1</v>
      </c>
      <c r="I222" s="13">
        <v>1</v>
      </c>
      <c r="J222" s="13">
        <v>2</v>
      </c>
      <c r="K222" s="19">
        <v>2.9</v>
      </c>
    </row>
    <row r="223" spans="1:11" x14ac:dyDescent="0.25">
      <c r="A223" s="13">
        <v>280</v>
      </c>
      <c r="B223" s="14">
        <v>45933</v>
      </c>
      <c r="C223" s="13" t="str">
        <f t="shared" si="9"/>
        <v>Sexta-Feira</v>
      </c>
      <c r="D223" s="20">
        <v>0.66249999999999998</v>
      </c>
      <c r="E223" s="13">
        <f t="shared" si="10"/>
        <v>280</v>
      </c>
      <c r="F223" s="13">
        <f t="shared" si="11"/>
        <v>280</v>
      </c>
      <c r="G223" s="13">
        <v>2</v>
      </c>
      <c r="H223" s="13">
        <v>1</v>
      </c>
      <c r="I223" s="13">
        <v>1</v>
      </c>
      <c r="J223" s="13">
        <v>1</v>
      </c>
      <c r="K223" s="19">
        <v>3.1</v>
      </c>
    </row>
    <row r="224" spans="1:11" x14ac:dyDescent="0.25">
      <c r="A224" s="13">
        <v>281</v>
      </c>
      <c r="B224" s="14">
        <v>45933</v>
      </c>
      <c r="C224" s="13" t="str">
        <f t="shared" si="9"/>
        <v>Sexta-Feira</v>
      </c>
      <c r="D224" s="20">
        <v>0.75416666666666676</v>
      </c>
      <c r="E224" s="13">
        <f t="shared" si="10"/>
        <v>281</v>
      </c>
      <c r="F224" s="13">
        <f t="shared" si="11"/>
        <v>281</v>
      </c>
      <c r="G224" s="13">
        <v>2</v>
      </c>
      <c r="H224" s="13">
        <v>1</v>
      </c>
      <c r="I224" s="13">
        <v>1</v>
      </c>
      <c r="J224" s="13">
        <v>1</v>
      </c>
      <c r="K224" s="19">
        <v>37.6</v>
      </c>
    </row>
    <row r="225" spans="1:11" x14ac:dyDescent="0.25">
      <c r="A225" s="13">
        <v>282</v>
      </c>
      <c r="B225" s="14">
        <v>45933</v>
      </c>
      <c r="C225" s="13" t="str">
        <f t="shared" si="9"/>
        <v>Sexta-Feira</v>
      </c>
      <c r="D225" s="20">
        <v>0.78472222222222221</v>
      </c>
      <c r="E225" s="13">
        <f t="shared" si="10"/>
        <v>282</v>
      </c>
      <c r="F225" s="13">
        <f t="shared" si="11"/>
        <v>282</v>
      </c>
      <c r="G225" s="13">
        <v>2</v>
      </c>
      <c r="H225" s="13">
        <v>1</v>
      </c>
      <c r="I225" s="13">
        <v>1</v>
      </c>
      <c r="J225" s="13">
        <v>1</v>
      </c>
      <c r="K225" s="19">
        <v>21.4</v>
      </c>
    </row>
    <row r="226" spans="1:11" x14ac:dyDescent="0.25">
      <c r="A226" s="13">
        <v>283</v>
      </c>
      <c r="B226" s="14">
        <v>45933</v>
      </c>
      <c r="C226" s="13" t="str">
        <f t="shared" si="9"/>
        <v>Sexta-Feira</v>
      </c>
      <c r="D226" s="20">
        <v>0.79999999999999993</v>
      </c>
      <c r="E226" s="13">
        <f t="shared" si="10"/>
        <v>283</v>
      </c>
      <c r="F226" s="13">
        <f t="shared" si="11"/>
        <v>283</v>
      </c>
      <c r="G226" s="13">
        <v>1</v>
      </c>
      <c r="H226" s="13">
        <v>1</v>
      </c>
      <c r="I226" s="13">
        <v>1</v>
      </c>
      <c r="J226" s="13">
        <v>1</v>
      </c>
      <c r="K226" s="19">
        <v>13.8</v>
      </c>
    </row>
    <row r="227" spans="1:11" x14ac:dyDescent="0.25">
      <c r="A227" s="13">
        <v>284</v>
      </c>
      <c r="B227" s="14">
        <v>45933</v>
      </c>
      <c r="C227" s="13" t="str">
        <f t="shared" si="9"/>
        <v>Sexta-Feira</v>
      </c>
      <c r="D227" s="20">
        <v>0.81874999999999998</v>
      </c>
      <c r="E227" s="13">
        <f t="shared" si="10"/>
        <v>284</v>
      </c>
      <c r="F227" s="13">
        <f t="shared" si="11"/>
        <v>284</v>
      </c>
      <c r="G227" s="13">
        <v>2</v>
      </c>
      <c r="H227" s="13">
        <v>1</v>
      </c>
      <c r="I227" s="13">
        <v>1</v>
      </c>
      <c r="J227" s="13">
        <v>1</v>
      </c>
      <c r="K227" s="19">
        <v>18.649999999999999</v>
      </c>
    </row>
    <row r="228" spans="1:11" x14ac:dyDescent="0.25">
      <c r="A228" s="13">
        <v>285</v>
      </c>
      <c r="B228" s="14">
        <v>45933</v>
      </c>
      <c r="C228" s="13" t="str">
        <f t="shared" si="9"/>
        <v>Sexta-Feira</v>
      </c>
      <c r="D228" s="20">
        <v>0.83263888888888893</v>
      </c>
      <c r="E228" s="13">
        <f t="shared" si="10"/>
        <v>285</v>
      </c>
      <c r="F228" s="13">
        <f t="shared" si="11"/>
        <v>285</v>
      </c>
      <c r="G228" s="13">
        <v>2</v>
      </c>
      <c r="H228" s="13">
        <v>1</v>
      </c>
      <c r="I228" s="13">
        <v>1</v>
      </c>
      <c r="J228" s="13">
        <v>1</v>
      </c>
      <c r="K228" s="19">
        <v>15</v>
      </c>
    </row>
    <row r="229" spans="1:11" x14ac:dyDescent="0.25">
      <c r="A229" s="13">
        <v>286</v>
      </c>
      <c r="B229" s="14">
        <v>45933</v>
      </c>
      <c r="C229" s="13" t="str">
        <f t="shared" si="9"/>
        <v>Sexta-Feira</v>
      </c>
      <c r="D229" s="20">
        <v>0.84652777777777777</v>
      </c>
      <c r="E229" s="13">
        <f t="shared" si="10"/>
        <v>286</v>
      </c>
      <c r="F229" s="13">
        <f t="shared" si="11"/>
        <v>286</v>
      </c>
      <c r="G229" s="13">
        <v>2</v>
      </c>
      <c r="H229" s="13">
        <v>1</v>
      </c>
      <c r="I229" s="13">
        <v>1</v>
      </c>
      <c r="J229" s="13">
        <v>1</v>
      </c>
      <c r="K229" s="19">
        <v>12.4</v>
      </c>
    </row>
    <row r="230" spans="1:11" x14ac:dyDescent="0.25">
      <c r="A230" s="13">
        <v>23</v>
      </c>
      <c r="B230" s="14">
        <v>45936</v>
      </c>
      <c r="C230" s="13" t="str">
        <f t="shared" si="9"/>
        <v>Segunda-Feira</v>
      </c>
      <c r="D230" s="20">
        <v>0.22013888888888888</v>
      </c>
      <c r="E230" s="13">
        <f t="shared" si="10"/>
        <v>23</v>
      </c>
      <c r="F230" s="13">
        <f t="shared" si="11"/>
        <v>23</v>
      </c>
      <c r="G230" s="13">
        <v>2</v>
      </c>
      <c r="H230" s="13">
        <v>1</v>
      </c>
      <c r="I230" s="13">
        <v>1</v>
      </c>
      <c r="J230" s="13">
        <v>2</v>
      </c>
      <c r="K230" s="19">
        <v>4.6100000000000003</v>
      </c>
    </row>
    <row r="231" spans="1:11" x14ac:dyDescent="0.25">
      <c r="A231" s="13">
        <v>24</v>
      </c>
      <c r="B231" s="14">
        <v>45936</v>
      </c>
      <c r="C231" s="13" t="str">
        <f t="shared" si="9"/>
        <v>Segunda-Feira</v>
      </c>
      <c r="D231" s="20">
        <v>0.42986111111111108</v>
      </c>
      <c r="E231" s="13">
        <f t="shared" si="10"/>
        <v>24</v>
      </c>
      <c r="F231" s="13">
        <f t="shared" si="11"/>
        <v>24</v>
      </c>
      <c r="G231" s="13">
        <v>2</v>
      </c>
      <c r="H231" s="13">
        <v>1</v>
      </c>
      <c r="I231" s="13">
        <v>1</v>
      </c>
      <c r="J231" s="13">
        <v>2</v>
      </c>
      <c r="K231" s="19">
        <v>24.7</v>
      </c>
    </row>
    <row r="232" spans="1:11" x14ac:dyDescent="0.25">
      <c r="A232" s="13">
        <v>287</v>
      </c>
      <c r="B232" s="14">
        <v>45936</v>
      </c>
      <c r="C232" s="13" t="str">
        <f t="shared" si="9"/>
        <v>Segunda-Feira</v>
      </c>
      <c r="D232" s="20">
        <v>0.23194444444444443</v>
      </c>
      <c r="E232" s="13">
        <f t="shared" si="10"/>
        <v>287</v>
      </c>
      <c r="F232" s="13">
        <f t="shared" si="11"/>
        <v>287</v>
      </c>
      <c r="G232" s="13">
        <v>1</v>
      </c>
      <c r="H232" s="13">
        <v>1</v>
      </c>
      <c r="I232" s="13">
        <v>1</v>
      </c>
      <c r="J232" s="13">
        <v>1</v>
      </c>
      <c r="K232" s="19">
        <v>4.05</v>
      </c>
    </row>
    <row r="233" spans="1:11" x14ac:dyDescent="0.25">
      <c r="A233" s="13">
        <v>288</v>
      </c>
      <c r="B233" s="14">
        <v>45936</v>
      </c>
      <c r="C233" s="13" t="str">
        <f t="shared" si="9"/>
        <v>Segunda-Feira</v>
      </c>
      <c r="D233" s="20">
        <v>0.24097222222222223</v>
      </c>
      <c r="E233" s="13">
        <f t="shared" si="10"/>
        <v>288</v>
      </c>
      <c r="F233" s="13">
        <f t="shared" si="11"/>
        <v>288</v>
      </c>
      <c r="G233" s="13">
        <v>1</v>
      </c>
      <c r="H233" s="13">
        <v>1</v>
      </c>
      <c r="I233" s="13">
        <v>1</v>
      </c>
      <c r="J233" s="13">
        <v>1</v>
      </c>
      <c r="K233" s="19">
        <v>17.899999999999999</v>
      </c>
    </row>
    <row r="234" spans="1:11" x14ac:dyDescent="0.25">
      <c r="A234" s="13">
        <v>289</v>
      </c>
      <c r="B234" s="14">
        <v>45936</v>
      </c>
      <c r="C234" s="13" t="str">
        <f t="shared" si="9"/>
        <v>Segunda-Feira</v>
      </c>
      <c r="D234" s="20">
        <v>0.25625000000000003</v>
      </c>
      <c r="E234" s="13">
        <f t="shared" si="10"/>
        <v>289</v>
      </c>
      <c r="F234" s="13">
        <f t="shared" si="11"/>
        <v>289</v>
      </c>
      <c r="G234" s="13">
        <v>2</v>
      </c>
      <c r="H234" s="13">
        <v>1</v>
      </c>
      <c r="I234" s="13">
        <v>1</v>
      </c>
      <c r="J234" s="13">
        <v>1</v>
      </c>
      <c r="K234" s="19">
        <v>26.8</v>
      </c>
    </row>
    <row r="235" spans="1:11" x14ac:dyDescent="0.25">
      <c r="A235" s="13">
        <v>290</v>
      </c>
      <c r="B235" s="14">
        <v>45936</v>
      </c>
      <c r="C235" s="13" t="str">
        <f t="shared" si="9"/>
        <v>Segunda-Feira</v>
      </c>
      <c r="D235" s="20">
        <v>0.27361111111111108</v>
      </c>
      <c r="E235" s="13">
        <f t="shared" si="10"/>
        <v>290</v>
      </c>
      <c r="F235" s="13">
        <f t="shared" si="11"/>
        <v>290</v>
      </c>
      <c r="G235" s="13">
        <v>2</v>
      </c>
      <c r="H235" s="13">
        <v>1</v>
      </c>
      <c r="I235" s="13">
        <v>1</v>
      </c>
      <c r="J235" s="13">
        <v>1</v>
      </c>
      <c r="K235" s="19">
        <v>19.3</v>
      </c>
    </row>
    <row r="236" spans="1:11" x14ac:dyDescent="0.25">
      <c r="A236" s="13">
        <v>291</v>
      </c>
      <c r="B236" s="14">
        <v>45936</v>
      </c>
      <c r="C236" s="13" t="str">
        <f t="shared" si="9"/>
        <v>Segunda-Feira</v>
      </c>
      <c r="D236" s="20">
        <v>0.29375000000000001</v>
      </c>
      <c r="E236" s="13">
        <f t="shared" si="10"/>
        <v>291</v>
      </c>
      <c r="F236" s="13">
        <f t="shared" si="11"/>
        <v>291</v>
      </c>
      <c r="G236" s="13">
        <v>2</v>
      </c>
      <c r="H236" s="13">
        <v>1</v>
      </c>
      <c r="I236" s="13">
        <v>1</v>
      </c>
      <c r="J236" s="13">
        <v>1</v>
      </c>
      <c r="K236" s="19">
        <v>7.6</v>
      </c>
    </row>
    <row r="237" spans="1:11" x14ac:dyDescent="0.25">
      <c r="A237" s="13">
        <v>292</v>
      </c>
      <c r="B237" s="14">
        <v>45936</v>
      </c>
      <c r="C237" s="13" t="str">
        <f t="shared" si="9"/>
        <v>Segunda-Feira</v>
      </c>
      <c r="D237" s="20">
        <v>0.3034722222222222</v>
      </c>
      <c r="E237" s="13">
        <f t="shared" si="10"/>
        <v>292</v>
      </c>
      <c r="F237" s="13">
        <f t="shared" si="11"/>
        <v>292</v>
      </c>
      <c r="G237" s="13">
        <v>2</v>
      </c>
      <c r="H237" s="13">
        <v>1</v>
      </c>
      <c r="I237" s="13">
        <v>1</v>
      </c>
      <c r="J237" s="13">
        <v>1</v>
      </c>
      <c r="K237" s="19">
        <v>13</v>
      </c>
    </row>
    <row r="238" spans="1:11" x14ac:dyDescent="0.25">
      <c r="A238" s="13">
        <v>293</v>
      </c>
      <c r="B238" s="14">
        <v>45936</v>
      </c>
      <c r="C238" s="13" t="str">
        <f t="shared" si="9"/>
        <v>Segunda-Feira</v>
      </c>
      <c r="D238" s="20">
        <v>0.32013888888888892</v>
      </c>
      <c r="E238" s="13">
        <f t="shared" si="10"/>
        <v>293</v>
      </c>
      <c r="F238" s="13">
        <f t="shared" si="11"/>
        <v>293</v>
      </c>
      <c r="G238" s="13">
        <v>1</v>
      </c>
      <c r="H238" s="13">
        <v>1</v>
      </c>
      <c r="I238" s="13">
        <v>1</v>
      </c>
      <c r="J238" s="13">
        <v>1</v>
      </c>
      <c r="K238" s="19">
        <v>12</v>
      </c>
    </row>
    <row r="239" spans="1:11" x14ac:dyDescent="0.25">
      <c r="A239" s="13">
        <v>294</v>
      </c>
      <c r="B239" s="14">
        <v>45936</v>
      </c>
      <c r="C239" s="13" t="str">
        <f t="shared" si="9"/>
        <v>Segunda-Feira</v>
      </c>
      <c r="D239" s="20">
        <v>0.32847222222222222</v>
      </c>
      <c r="E239" s="13">
        <f t="shared" si="10"/>
        <v>294</v>
      </c>
      <c r="F239" s="13">
        <f t="shared" si="11"/>
        <v>294</v>
      </c>
      <c r="G239" s="13">
        <v>2</v>
      </c>
      <c r="H239" s="13">
        <v>1</v>
      </c>
      <c r="I239" s="13">
        <v>1</v>
      </c>
      <c r="J239" s="13">
        <v>1</v>
      </c>
      <c r="K239" s="19">
        <v>6.15</v>
      </c>
    </row>
    <row r="240" spans="1:11" x14ac:dyDescent="0.25">
      <c r="A240" s="13">
        <v>295</v>
      </c>
      <c r="B240" s="14">
        <v>45936</v>
      </c>
      <c r="C240" s="13" t="str">
        <f t="shared" si="9"/>
        <v>Segunda-Feira</v>
      </c>
      <c r="D240" s="20">
        <v>0.3354166666666667</v>
      </c>
      <c r="E240" s="13">
        <f t="shared" si="10"/>
        <v>295</v>
      </c>
      <c r="F240" s="13">
        <f t="shared" si="11"/>
        <v>295</v>
      </c>
      <c r="G240" s="13">
        <v>2</v>
      </c>
      <c r="H240" s="13">
        <v>1</v>
      </c>
      <c r="I240" s="13">
        <v>1</v>
      </c>
      <c r="J240" s="13">
        <v>1</v>
      </c>
      <c r="K240" s="19">
        <v>7.85</v>
      </c>
    </row>
    <row r="241" spans="1:11" x14ac:dyDescent="0.25">
      <c r="A241" s="13">
        <v>296</v>
      </c>
      <c r="B241" s="14">
        <v>45936</v>
      </c>
      <c r="C241" s="13" t="str">
        <f t="shared" si="9"/>
        <v>Segunda-Feira</v>
      </c>
      <c r="D241" s="20">
        <v>0.3430555555555555</v>
      </c>
      <c r="E241" s="13">
        <f t="shared" si="10"/>
        <v>296</v>
      </c>
      <c r="F241" s="13">
        <f t="shared" si="11"/>
        <v>296</v>
      </c>
      <c r="G241" s="13">
        <v>2</v>
      </c>
      <c r="H241" s="13">
        <v>1</v>
      </c>
      <c r="I241" s="13">
        <v>1</v>
      </c>
      <c r="J241" s="13">
        <v>1</v>
      </c>
      <c r="K241" s="19">
        <v>22.6</v>
      </c>
    </row>
    <row r="242" spans="1:11" x14ac:dyDescent="0.25">
      <c r="A242" s="13">
        <v>297</v>
      </c>
      <c r="B242" s="14">
        <v>45936</v>
      </c>
      <c r="C242" s="13" t="str">
        <f t="shared" si="9"/>
        <v>Segunda-Feira</v>
      </c>
      <c r="D242" s="20">
        <v>0.37013888888888885</v>
      </c>
      <c r="E242" s="13">
        <f t="shared" si="10"/>
        <v>297</v>
      </c>
      <c r="F242" s="13">
        <f t="shared" si="11"/>
        <v>297</v>
      </c>
      <c r="G242" s="13">
        <v>2</v>
      </c>
      <c r="H242" s="13">
        <v>1</v>
      </c>
      <c r="I242" s="13">
        <v>1</v>
      </c>
      <c r="J242" s="13">
        <v>1</v>
      </c>
      <c r="K242" s="19">
        <v>2.85</v>
      </c>
    </row>
    <row r="243" spans="1:11" x14ac:dyDescent="0.25">
      <c r="A243" s="13">
        <v>298</v>
      </c>
      <c r="B243" s="14">
        <v>45936</v>
      </c>
      <c r="C243" s="13" t="str">
        <f t="shared" si="9"/>
        <v>Segunda-Feira</v>
      </c>
      <c r="D243" s="20">
        <v>0.38541666666666669</v>
      </c>
      <c r="E243" s="13">
        <f t="shared" si="10"/>
        <v>298</v>
      </c>
      <c r="F243" s="13">
        <f t="shared" si="11"/>
        <v>298</v>
      </c>
      <c r="G243" s="13">
        <v>2</v>
      </c>
      <c r="H243" s="13">
        <v>1</v>
      </c>
      <c r="I243" s="13">
        <v>1</v>
      </c>
      <c r="J243" s="13">
        <v>1</v>
      </c>
      <c r="K243" s="19">
        <v>1</v>
      </c>
    </row>
    <row r="244" spans="1:11" x14ac:dyDescent="0.25">
      <c r="A244" s="13">
        <v>299</v>
      </c>
      <c r="B244" s="14">
        <v>45936</v>
      </c>
      <c r="C244" s="13" t="str">
        <f t="shared" si="9"/>
        <v>Segunda-Feira</v>
      </c>
      <c r="D244" s="20">
        <v>0.39583333333333331</v>
      </c>
      <c r="E244" s="13">
        <f t="shared" si="10"/>
        <v>299</v>
      </c>
      <c r="F244" s="13">
        <f t="shared" si="11"/>
        <v>299</v>
      </c>
      <c r="G244" s="13">
        <v>2</v>
      </c>
      <c r="H244" s="13">
        <v>1</v>
      </c>
      <c r="I244" s="13">
        <v>1</v>
      </c>
      <c r="J244" s="13">
        <v>1</v>
      </c>
      <c r="K244" s="19">
        <v>18.41</v>
      </c>
    </row>
    <row r="245" spans="1:11" x14ac:dyDescent="0.25">
      <c r="A245" s="13">
        <v>300</v>
      </c>
      <c r="B245" s="14">
        <v>45936</v>
      </c>
      <c r="C245" s="13" t="str">
        <f t="shared" si="9"/>
        <v>Segunda-Feira</v>
      </c>
      <c r="D245" s="20">
        <v>0.45763888888888887</v>
      </c>
      <c r="E245" s="13">
        <f t="shared" si="10"/>
        <v>300</v>
      </c>
      <c r="F245" s="13">
        <f t="shared" si="11"/>
        <v>300</v>
      </c>
      <c r="G245" s="13">
        <v>2</v>
      </c>
      <c r="H245" s="13">
        <v>1</v>
      </c>
      <c r="I245" s="13">
        <v>1</v>
      </c>
      <c r="J245" s="13">
        <v>1</v>
      </c>
      <c r="K245" s="19">
        <v>22.2</v>
      </c>
    </row>
    <row r="246" spans="1:11" x14ac:dyDescent="0.25">
      <c r="A246" s="13">
        <v>301</v>
      </c>
      <c r="B246" s="14">
        <v>45936</v>
      </c>
      <c r="C246" s="13" t="str">
        <f t="shared" si="9"/>
        <v>Segunda-Feira</v>
      </c>
      <c r="D246" s="20">
        <v>0.48402777777777778</v>
      </c>
      <c r="E246" s="13">
        <f t="shared" si="10"/>
        <v>301</v>
      </c>
      <c r="F246" s="13">
        <f t="shared" si="11"/>
        <v>301</v>
      </c>
      <c r="G246" s="13">
        <v>2</v>
      </c>
      <c r="H246" s="13">
        <v>1</v>
      </c>
      <c r="I246" s="13">
        <v>1</v>
      </c>
      <c r="J246" s="13">
        <v>1</v>
      </c>
      <c r="K246" s="19">
        <v>7.7</v>
      </c>
    </row>
    <row r="247" spans="1:11" x14ac:dyDescent="0.25">
      <c r="A247" s="13">
        <v>302</v>
      </c>
      <c r="B247" s="14">
        <v>45936</v>
      </c>
      <c r="C247" s="13" t="str">
        <f t="shared" si="9"/>
        <v>Segunda-Feira</v>
      </c>
      <c r="D247" s="20">
        <v>0.4916666666666667</v>
      </c>
      <c r="E247" s="13">
        <f t="shared" si="10"/>
        <v>302</v>
      </c>
      <c r="F247" s="13">
        <f t="shared" si="11"/>
        <v>302</v>
      </c>
      <c r="G247" s="13">
        <v>2</v>
      </c>
      <c r="H247" s="13">
        <v>1</v>
      </c>
      <c r="I247" s="13">
        <v>1</v>
      </c>
      <c r="J247" s="13">
        <v>1</v>
      </c>
      <c r="K247" s="19">
        <v>24.9</v>
      </c>
    </row>
    <row r="248" spans="1:11" x14ac:dyDescent="0.25">
      <c r="A248" s="13">
        <v>303</v>
      </c>
      <c r="B248" s="14">
        <v>45936</v>
      </c>
      <c r="C248" s="13" t="str">
        <f t="shared" si="9"/>
        <v>Segunda-Feira</v>
      </c>
      <c r="D248" s="20">
        <v>0.51111111111111118</v>
      </c>
      <c r="E248" s="13">
        <f t="shared" si="10"/>
        <v>303</v>
      </c>
      <c r="F248" s="13">
        <f t="shared" si="11"/>
        <v>303</v>
      </c>
      <c r="G248" s="13">
        <v>2</v>
      </c>
      <c r="H248" s="13">
        <v>1</v>
      </c>
      <c r="I248" s="13">
        <v>1</v>
      </c>
      <c r="J248" s="13">
        <v>1</v>
      </c>
      <c r="K248" s="19">
        <v>16.100000000000001</v>
      </c>
    </row>
    <row r="249" spans="1:11" x14ac:dyDescent="0.25">
      <c r="A249" s="13">
        <v>304</v>
      </c>
      <c r="B249" s="14">
        <v>45936</v>
      </c>
      <c r="C249" s="13" t="str">
        <f t="shared" si="9"/>
        <v>Segunda-Feira</v>
      </c>
      <c r="D249" s="20">
        <v>0.52847222222222223</v>
      </c>
      <c r="E249" s="13">
        <f t="shared" si="10"/>
        <v>304</v>
      </c>
      <c r="F249" s="13">
        <f t="shared" si="11"/>
        <v>304</v>
      </c>
      <c r="G249" s="13">
        <v>2</v>
      </c>
      <c r="H249" s="13">
        <v>1</v>
      </c>
      <c r="I249" s="13">
        <v>1</v>
      </c>
      <c r="J249" s="13">
        <v>1</v>
      </c>
      <c r="K249" s="19">
        <v>25.5</v>
      </c>
    </row>
    <row r="250" spans="1:11" x14ac:dyDescent="0.25">
      <c r="A250" s="13">
        <v>25</v>
      </c>
      <c r="B250" s="14">
        <v>45937</v>
      </c>
      <c r="C250" s="13" t="str">
        <f t="shared" si="9"/>
        <v>Terça-Feira</v>
      </c>
      <c r="D250" s="20">
        <v>0.21736111111111112</v>
      </c>
      <c r="E250" s="13">
        <f t="shared" si="10"/>
        <v>25</v>
      </c>
      <c r="F250" s="13">
        <f t="shared" si="11"/>
        <v>25</v>
      </c>
      <c r="G250" s="13">
        <v>1</v>
      </c>
      <c r="H250" s="13">
        <v>1</v>
      </c>
      <c r="I250" s="13">
        <v>1</v>
      </c>
      <c r="J250" s="13">
        <v>2</v>
      </c>
      <c r="K250" s="19">
        <v>7.4</v>
      </c>
    </row>
    <row r="251" spans="1:11" x14ac:dyDescent="0.25">
      <c r="A251" s="13">
        <v>26</v>
      </c>
      <c r="B251" s="14">
        <v>45937</v>
      </c>
      <c r="C251" s="13" t="str">
        <f t="shared" si="9"/>
        <v>Terça-Feira</v>
      </c>
      <c r="D251" s="20">
        <v>0.23819444444444446</v>
      </c>
      <c r="E251" s="13">
        <f t="shared" si="10"/>
        <v>26</v>
      </c>
      <c r="F251" s="13">
        <f t="shared" si="11"/>
        <v>26</v>
      </c>
      <c r="G251" s="13">
        <v>2</v>
      </c>
      <c r="H251" s="13">
        <v>1</v>
      </c>
      <c r="I251" s="13">
        <v>1</v>
      </c>
      <c r="J251" s="13">
        <v>2</v>
      </c>
      <c r="K251" s="19">
        <v>46</v>
      </c>
    </row>
    <row r="252" spans="1:11" x14ac:dyDescent="0.25">
      <c r="A252" s="13">
        <v>27</v>
      </c>
      <c r="B252" s="14">
        <v>45937</v>
      </c>
      <c r="C252" s="13" t="str">
        <f t="shared" si="9"/>
        <v>Terça-Feira</v>
      </c>
      <c r="D252" s="20">
        <v>0.3</v>
      </c>
      <c r="E252" s="13">
        <f t="shared" si="10"/>
        <v>27</v>
      </c>
      <c r="F252" s="13">
        <f t="shared" si="11"/>
        <v>27</v>
      </c>
      <c r="G252" s="13">
        <v>1</v>
      </c>
      <c r="H252" s="13">
        <v>1</v>
      </c>
      <c r="I252" s="13">
        <v>1</v>
      </c>
      <c r="J252" s="13">
        <v>2</v>
      </c>
      <c r="K252" s="19">
        <v>16.05</v>
      </c>
    </row>
    <row r="253" spans="1:11" x14ac:dyDescent="0.25">
      <c r="A253" s="13">
        <v>28</v>
      </c>
      <c r="B253" s="14">
        <v>45937</v>
      </c>
      <c r="C253" s="13" t="str">
        <f t="shared" si="9"/>
        <v>Terça-Feira</v>
      </c>
      <c r="D253" s="20">
        <v>0.33263888888888887</v>
      </c>
      <c r="E253" s="13">
        <f t="shared" si="10"/>
        <v>28</v>
      </c>
      <c r="F253" s="13">
        <f t="shared" si="11"/>
        <v>28</v>
      </c>
      <c r="G253" s="13">
        <v>2</v>
      </c>
      <c r="H253" s="13">
        <v>1</v>
      </c>
      <c r="I253" s="13">
        <v>1</v>
      </c>
      <c r="J253" s="13">
        <v>2</v>
      </c>
      <c r="K253" s="19">
        <v>9.1999999999999993</v>
      </c>
    </row>
    <row r="254" spans="1:11" x14ac:dyDescent="0.25">
      <c r="A254" s="13">
        <v>29</v>
      </c>
      <c r="B254" s="14">
        <v>45937</v>
      </c>
      <c r="C254" s="13" t="str">
        <f t="shared" si="9"/>
        <v>Terça-Feira</v>
      </c>
      <c r="D254" s="20">
        <v>0.33680555555555558</v>
      </c>
      <c r="E254" s="13">
        <f t="shared" si="10"/>
        <v>29</v>
      </c>
      <c r="F254" s="13">
        <f t="shared" si="11"/>
        <v>29</v>
      </c>
      <c r="G254" s="13">
        <v>1</v>
      </c>
      <c r="H254" s="13">
        <v>1</v>
      </c>
      <c r="I254" s="13">
        <v>1</v>
      </c>
      <c r="J254" s="13">
        <v>2</v>
      </c>
      <c r="K254" s="19">
        <v>14.4</v>
      </c>
    </row>
    <row r="255" spans="1:11" x14ac:dyDescent="0.25">
      <c r="A255" s="13">
        <v>30</v>
      </c>
      <c r="B255" s="14">
        <v>45937</v>
      </c>
      <c r="C255" s="13" t="str">
        <f t="shared" si="9"/>
        <v>Terça-Feira</v>
      </c>
      <c r="D255" s="20">
        <v>0.37222222222222223</v>
      </c>
      <c r="E255" s="13">
        <f t="shared" si="10"/>
        <v>30</v>
      </c>
      <c r="F255" s="13">
        <f t="shared" si="11"/>
        <v>30</v>
      </c>
      <c r="G255" s="13">
        <v>2</v>
      </c>
      <c r="H255" s="13">
        <v>1</v>
      </c>
      <c r="I255" s="13">
        <v>1</v>
      </c>
      <c r="J255" s="13">
        <v>2</v>
      </c>
      <c r="K255" s="19">
        <v>10.1</v>
      </c>
    </row>
    <row r="256" spans="1:11" x14ac:dyDescent="0.25">
      <c r="A256" s="13">
        <v>31</v>
      </c>
      <c r="B256" s="14">
        <v>45937</v>
      </c>
      <c r="C256" s="13" t="str">
        <f t="shared" si="9"/>
        <v>Terça-Feira</v>
      </c>
      <c r="D256" s="20">
        <v>0.40416666666666662</v>
      </c>
      <c r="E256" s="13">
        <f t="shared" si="10"/>
        <v>31</v>
      </c>
      <c r="F256" s="13">
        <f t="shared" si="11"/>
        <v>31</v>
      </c>
      <c r="G256" s="13">
        <v>1</v>
      </c>
      <c r="H256" s="13">
        <v>1</v>
      </c>
      <c r="I256" s="13">
        <v>1</v>
      </c>
      <c r="J256" s="13">
        <v>2</v>
      </c>
      <c r="K256" s="19">
        <v>60</v>
      </c>
    </row>
    <row r="257" spans="1:11" x14ac:dyDescent="0.25">
      <c r="A257" s="13">
        <v>32</v>
      </c>
      <c r="B257" s="14">
        <v>45937</v>
      </c>
      <c r="C257" s="13" t="str">
        <f t="shared" si="9"/>
        <v>Terça-Feira</v>
      </c>
      <c r="D257" s="20">
        <v>0.44930555555555557</v>
      </c>
      <c r="E257" s="13">
        <f t="shared" si="10"/>
        <v>32</v>
      </c>
      <c r="F257" s="13">
        <f t="shared" si="11"/>
        <v>32</v>
      </c>
      <c r="G257" s="13">
        <v>1</v>
      </c>
      <c r="H257" s="13">
        <v>1</v>
      </c>
      <c r="I257" s="13">
        <v>1</v>
      </c>
      <c r="J257" s="13">
        <v>2</v>
      </c>
      <c r="K257" s="19">
        <v>18.3</v>
      </c>
    </row>
    <row r="258" spans="1:11" x14ac:dyDescent="0.25">
      <c r="A258" s="13">
        <v>33</v>
      </c>
      <c r="B258" s="14">
        <v>45937</v>
      </c>
      <c r="C258" s="13" t="str">
        <f t="shared" ref="C258:C321" si="12">PROPER(TEXT(WEEKDAY(B258),"dddd"))</f>
        <v>Terça-Feira</v>
      </c>
      <c r="D258" s="20">
        <v>0.47847222222222219</v>
      </c>
      <c r="E258" s="13">
        <f t="shared" ref="E258:E321" si="13">A258</f>
        <v>33</v>
      </c>
      <c r="F258" s="13">
        <f t="shared" ref="F258:F321" si="14">A258</f>
        <v>33</v>
      </c>
      <c r="G258" s="13">
        <v>2</v>
      </c>
      <c r="H258" s="13">
        <v>1</v>
      </c>
      <c r="I258" s="13">
        <v>1</v>
      </c>
      <c r="J258" s="13">
        <v>2</v>
      </c>
      <c r="K258" s="19">
        <v>17.899999999999999</v>
      </c>
    </row>
    <row r="259" spans="1:11" x14ac:dyDescent="0.25">
      <c r="A259" s="13">
        <v>34</v>
      </c>
      <c r="B259" s="14">
        <v>45937</v>
      </c>
      <c r="C259" s="13" t="str">
        <f t="shared" si="12"/>
        <v>Terça-Feira</v>
      </c>
      <c r="D259" s="20">
        <v>0.4993055555555555</v>
      </c>
      <c r="E259" s="13">
        <f t="shared" si="13"/>
        <v>34</v>
      </c>
      <c r="F259" s="13">
        <f t="shared" si="14"/>
        <v>34</v>
      </c>
      <c r="G259" s="13">
        <v>2</v>
      </c>
      <c r="H259" s="13">
        <v>1</v>
      </c>
      <c r="I259" s="13">
        <v>1</v>
      </c>
      <c r="J259" s="13">
        <v>2</v>
      </c>
      <c r="K259" s="19">
        <v>24.25</v>
      </c>
    </row>
    <row r="260" spans="1:11" x14ac:dyDescent="0.25">
      <c r="A260" s="13">
        <v>35</v>
      </c>
      <c r="B260" s="14">
        <v>45937</v>
      </c>
      <c r="C260" s="13" t="str">
        <f t="shared" si="12"/>
        <v>Terça-Feira</v>
      </c>
      <c r="D260" s="20">
        <v>0.51597222222222217</v>
      </c>
      <c r="E260" s="13">
        <f t="shared" si="13"/>
        <v>35</v>
      </c>
      <c r="F260" s="13">
        <f t="shared" si="14"/>
        <v>35</v>
      </c>
      <c r="G260" s="13">
        <v>1</v>
      </c>
      <c r="H260" s="13">
        <v>1</v>
      </c>
      <c r="I260" s="13">
        <v>1</v>
      </c>
      <c r="J260" s="13">
        <v>2</v>
      </c>
      <c r="K260" s="19">
        <v>24.9</v>
      </c>
    </row>
    <row r="261" spans="1:11" x14ac:dyDescent="0.25">
      <c r="A261" s="13">
        <v>305</v>
      </c>
      <c r="B261" s="14">
        <v>45937</v>
      </c>
      <c r="C261" s="13" t="str">
        <f t="shared" si="12"/>
        <v>Terça-Feira</v>
      </c>
      <c r="D261" s="20">
        <v>0.22847222222222222</v>
      </c>
      <c r="E261" s="13">
        <f t="shared" si="13"/>
        <v>305</v>
      </c>
      <c r="F261" s="13">
        <f t="shared" si="14"/>
        <v>305</v>
      </c>
      <c r="G261" s="13">
        <v>2</v>
      </c>
      <c r="H261" s="13">
        <v>1</v>
      </c>
      <c r="I261" s="13">
        <v>1</v>
      </c>
      <c r="J261" s="13">
        <v>1</v>
      </c>
      <c r="K261" s="19">
        <v>7.2</v>
      </c>
    </row>
    <row r="262" spans="1:11" x14ac:dyDescent="0.25">
      <c r="A262" s="13">
        <v>306</v>
      </c>
      <c r="B262" s="14">
        <v>45937</v>
      </c>
      <c r="C262" s="13" t="str">
        <f t="shared" si="12"/>
        <v>Terça-Feira</v>
      </c>
      <c r="D262" s="20">
        <v>0.32222222222222224</v>
      </c>
      <c r="E262" s="13">
        <f t="shared" si="13"/>
        <v>306</v>
      </c>
      <c r="F262" s="13">
        <f t="shared" si="14"/>
        <v>306</v>
      </c>
      <c r="G262" s="13">
        <v>2</v>
      </c>
      <c r="H262" s="13">
        <v>1</v>
      </c>
      <c r="I262" s="13">
        <v>1</v>
      </c>
      <c r="J262" s="13">
        <v>1</v>
      </c>
      <c r="K262" s="19">
        <v>11.5</v>
      </c>
    </row>
    <row r="263" spans="1:11" x14ac:dyDescent="0.25">
      <c r="A263" s="13">
        <v>307</v>
      </c>
      <c r="B263" s="14">
        <v>45937</v>
      </c>
      <c r="C263" s="13" t="str">
        <f t="shared" si="12"/>
        <v>Terça-Feira</v>
      </c>
      <c r="D263" s="20">
        <v>0.35625000000000001</v>
      </c>
      <c r="E263" s="13">
        <f t="shared" si="13"/>
        <v>307</v>
      </c>
      <c r="F263" s="13">
        <f t="shared" si="14"/>
        <v>307</v>
      </c>
      <c r="G263" s="13">
        <v>2</v>
      </c>
      <c r="H263" s="13">
        <v>1</v>
      </c>
      <c r="I263" s="13">
        <v>1</v>
      </c>
      <c r="J263" s="13">
        <v>1</v>
      </c>
      <c r="K263" s="19">
        <v>22.05</v>
      </c>
    </row>
    <row r="264" spans="1:11" x14ac:dyDescent="0.25">
      <c r="A264" s="13">
        <v>308</v>
      </c>
      <c r="B264" s="14">
        <v>45937</v>
      </c>
      <c r="C264" s="13" t="str">
        <f t="shared" si="12"/>
        <v>Terça-Feira</v>
      </c>
      <c r="D264" s="20">
        <v>0.3833333333333333</v>
      </c>
      <c r="E264" s="13">
        <f t="shared" si="13"/>
        <v>308</v>
      </c>
      <c r="F264" s="13">
        <f t="shared" si="14"/>
        <v>308</v>
      </c>
      <c r="G264" s="13">
        <v>2</v>
      </c>
      <c r="H264" s="13">
        <v>1</v>
      </c>
      <c r="I264" s="13">
        <v>1</v>
      </c>
      <c r="J264" s="13">
        <v>1</v>
      </c>
      <c r="K264" s="19">
        <v>19.2</v>
      </c>
    </row>
    <row r="265" spans="1:11" x14ac:dyDescent="0.25">
      <c r="A265" s="13">
        <v>309</v>
      </c>
      <c r="B265" s="14">
        <v>45938</v>
      </c>
      <c r="C265" s="13" t="str">
        <f t="shared" si="12"/>
        <v>Quarta-Feira</v>
      </c>
      <c r="D265" s="20">
        <v>0.22222222222222221</v>
      </c>
      <c r="E265" s="13">
        <f t="shared" si="13"/>
        <v>309</v>
      </c>
      <c r="F265" s="13">
        <f t="shared" si="14"/>
        <v>309</v>
      </c>
      <c r="G265" s="13">
        <v>2</v>
      </c>
      <c r="H265" s="13">
        <v>1</v>
      </c>
      <c r="I265" s="13">
        <v>1</v>
      </c>
      <c r="J265" s="13">
        <v>1</v>
      </c>
      <c r="K265" s="19">
        <v>3.1</v>
      </c>
    </row>
    <row r="266" spans="1:11" x14ac:dyDescent="0.25">
      <c r="A266" s="13">
        <v>310</v>
      </c>
      <c r="B266" s="14">
        <v>45938</v>
      </c>
      <c r="C266" s="13" t="str">
        <f t="shared" si="12"/>
        <v>Quarta-Feira</v>
      </c>
      <c r="D266" s="20">
        <v>0.22569444444444445</v>
      </c>
      <c r="E266" s="13">
        <f t="shared" si="13"/>
        <v>310</v>
      </c>
      <c r="F266" s="13">
        <f t="shared" si="14"/>
        <v>310</v>
      </c>
      <c r="G266" s="13">
        <v>2</v>
      </c>
      <c r="H266" s="13">
        <v>1</v>
      </c>
      <c r="I266" s="13">
        <v>1</v>
      </c>
      <c r="J266" s="13">
        <v>1</v>
      </c>
      <c r="K266" s="19">
        <v>4.05</v>
      </c>
    </row>
    <row r="267" spans="1:11" x14ac:dyDescent="0.25">
      <c r="A267" s="13">
        <v>311</v>
      </c>
      <c r="B267" s="14">
        <v>45938</v>
      </c>
      <c r="C267" s="13" t="str">
        <f t="shared" si="12"/>
        <v>Quarta-Feira</v>
      </c>
      <c r="D267" s="20">
        <v>0.23194444444444443</v>
      </c>
      <c r="E267" s="13">
        <f t="shared" si="13"/>
        <v>311</v>
      </c>
      <c r="F267" s="13">
        <f t="shared" si="14"/>
        <v>311</v>
      </c>
      <c r="G267" s="13">
        <v>2</v>
      </c>
      <c r="H267" s="13">
        <v>1</v>
      </c>
      <c r="I267" s="13">
        <v>1</v>
      </c>
      <c r="J267" s="13">
        <v>1</v>
      </c>
      <c r="K267" s="19">
        <v>12.5</v>
      </c>
    </row>
    <row r="268" spans="1:11" x14ac:dyDescent="0.25">
      <c r="A268" s="13">
        <v>312</v>
      </c>
      <c r="B268" s="14">
        <v>45938</v>
      </c>
      <c r="C268" s="13" t="str">
        <f t="shared" si="12"/>
        <v>Quarta-Feira</v>
      </c>
      <c r="D268" s="20">
        <v>0.24930555555555556</v>
      </c>
      <c r="E268" s="13">
        <f t="shared" si="13"/>
        <v>312</v>
      </c>
      <c r="F268" s="13">
        <f t="shared" si="14"/>
        <v>312</v>
      </c>
      <c r="G268" s="13">
        <v>2</v>
      </c>
      <c r="H268" s="13">
        <v>1</v>
      </c>
      <c r="I268" s="13">
        <v>1</v>
      </c>
      <c r="J268" s="13">
        <v>1</v>
      </c>
      <c r="K268" s="19">
        <v>58.3</v>
      </c>
    </row>
    <row r="269" spans="1:11" x14ac:dyDescent="0.25">
      <c r="A269" s="13">
        <v>313</v>
      </c>
      <c r="B269" s="14">
        <v>45938</v>
      </c>
      <c r="C269" s="13" t="str">
        <f t="shared" si="12"/>
        <v>Quarta-Feira</v>
      </c>
      <c r="D269" s="20">
        <v>0.28819444444444448</v>
      </c>
      <c r="E269" s="13">
        <f t="shared" si="13"/>
        <v>313</v>
      </c>
      <c r="F269" s="13">
        <f t="shared" si="14"/>
        <v>313</v>
      </c>
      <c r="G269" s="13">
        <v>2</v>
      </c>
      <c r="H269" s="13">
        <v>1</v>
      </c>
      <c r="I269" s="13">
        <v>1</v>
      </c>
      <c r="J269" s="13">
        <v>1</v>
      </c>
      <c r="K269" s="19">
        <v>13.2</v>
      </c>
    </row>
    <row r="270" spans="1:11" x14ac:dyDescent="0.25">
      <c r="A270" s="13">
        <v>314</v>
      </c>
      <c r="B270" s="14">
        <v>45938</v>
      </c>
      <c r="C270" s="13" t="str">
        <f t="shared" si="12"/>
        <v>Quarta-Feira</v>
      </c>
      <c r="D270" s="20">
        <v>0.2986111111111111</v>
      </c>
      <c r="E270" s="13">
        <f t="shared" si="13"/>
        <v>314</v>
      </c>
      <c r="F270" s="13">
        <f t="shared" si="14"/>
        <v>314</v>
      </c>
      <c r="G270" s="13">
        <v>2</v>
      </c>
      <c r="H270" s="13">
        <v>1</v>
      </c>
      <c r="I270" s="13">
        <v>1</v>
      </c>
      <c r="J270" s="13">
        <v>1</v>
      </c>
      <c r="K270" s="19">
        <v>33.51</v>
      </c>
    </row>
    <row r="271" spans="1:11" x14ac:dyDescent="0.25">
      <c r="A271" s="13">
        <v>315</v>
      </c>
      <c r="B271" s="14">
        <v>45938</v>
      </c>
      <c r="C271" s="13" t="str">
        <f t="shared" si="12"/>
        <v>Quarta-Feira</v>
      </c>
      <c r="D271" s="20">
        <v>0.33402777777777781</v>
      </c>
      <c r="E271" s="13">
        <f t="shared" si="13"/>
        <v>315</v>
      </c>
      <c r="F271" s="13">
        <f t="shared" si="14"/>
        <v>315</v>
      </c>
      <c r="G271" s="13">
        <v>2</v>
      </c>
      <c r="H271" s="13">
        <v>1</v>
      </c>
      <c r="I271" s="13">
        <v>1</v>
      </c>
      <c r="J271" s="13">
        <v>1</v>
      </c>
      <c r="K271" s="19">
        <v>10.1</v>
      </c>
    </row>
    <row r="272" spans="1:11" x14ac:dyDescent="0.25">
      <c r="A272" s="13">
        <v>316</v>
      </c>
      <c r="B272" s="14">
        <v>45938</v>
      </c>
      <c r="C272" s="13" t="str">
        <f t="shared" si="12"/>
        <v>Quarta-Feira</v>
      </c>
      <c r="D272" s="20">
        <v>0.3444444444444445</v>
      </c>
      <c r="E272" s="13">
        <f t="shared" si="13"/>
        <v>316</v>
      </c>
      <c r="F272" s="13">
        <f t="shared" si="14"/>
        <v>316</v>
      </c>
      <c r="G272" s="13">
        <v>2</v>
      </c>
      <c r="H272" s="13">
        <v>1</v>
      </c>
      <c r="I272" s="13">
        <v>1</v>
      </c>
      <c r="J272" s="13">
        <v>1</v>
      </c>
      <c r="K272" s="19">
        <v>23.45</v>
      </c>
    </row>
    <row r="273" spans="1:11" x14ac:dyDescent="0.25">
      <c r="A273" s="13">
        <v>317</v>
      </c>
      <c r="B273" s="14">
        <v>45938</v>
      </c>
      <c r="C273" s="13" t="str">
        <f t="shared" si="12"/>
        <v>Quarta-Feira</v>
      </c>
      <c r="D273" s="20">
        <v>0.36736111111111108</v>
      </c>
      <c r="E273" s="13">
        <f t="shared" si="13"/>
        <v>317</v>
      </c>
      <c r="F273" s="13">
        <f t="shared" si="14"/>
        <v>317</v>
      </c>
      <c r="G273" s="13">
        <v>2</v>
      </c>
      <c r="H273" s="13">
        <v>1</v>
      </c>
      <c r="I273" s="13">
        <v>1</v>
      </c>
      <c r="J273" s="13">
        <v>1</v>
      </c>
      <c r="K273" s="19">
        <v>14.2</v>
      </c>
    </row>
    <row r="274" spans="1:11" x14ac:dyDescent="0.25">
      <c r="A274" s="13">
        <v>318</v>
      </c>
      <c r="B274" s="14">
        <v>45938</v>
      </c>
      <c r="C274" s="13" t="str">
        <f t="shared" si="12"/>
        <v>Quarta-Feira</v>
      </c>
      <c r="D274" s="20">
        <v>0.38472222222222219</v>
      </c>
      <c r="E274" s="13">
        <f t="shared" si="13"/>
        <v>318</v>
      </c>
      <c r="F274" s="13">
        <f t="shared" si="14"/>
        <v>318</v>
      </c>
      <c r="G274" s="13">
        <v>2</v>
      </c>
      <c r="H274" s="13">
        <v>1</v>
      </c>
      <c r="I274" s="13">
        <v>1</v>
      </c>
      <c r="J274" s="13">
        <v>1</v>
      </c>
      <c r="K274" s="19">
        <v>125</v>
      </c>
    </row>
    <row r="275" spans="1:11" x14ac:dyDescent="0.25">
      <c r="A275" s="13">
        <v>319</v>
      </c>
      <c r="B275" s="14">
        <v>45938</v>
      </c>
      <c r="C275" s="13" t="str">
        <f t="shared" si="12"/>
        <v>Quarta-Feira</v>
      </c>
      <c r="D275" s="20">
        <v>0.47847222222222219</v>
      </c>
      <c r="E275" s="13">
        <f t="shared" si="13"/>
        <v>319</v>
      </c>
      <c r="F275" s="13">
        <f t="shared" si="14"/>
        <v>319</v>
      </c>
      <c r="G275" s="13">
        <v>2</v>
      </c>
      <c r="H275" s="13">
        <v>1</v>
      </c>
      <c r="I275" s="13">
        <v>1</v>
      </c>
      <c r="J275" s="13">
        <v>1</v>
      </c>
      <c r="K275" s="19">
        <v>46.9</v>
      </c>
    </row>
    <row r="276" spans="1:11" x14ac:dyDescent="0.25">
      <c r="A276" s="13">
        <v>36</v>
      </c>
      <c r="B276" s="14">
        <v>45944</v>
      </c>
      <c r="C276" s="13" t="str">
        <f t="shared" si="12"/>
        <v>Terça-Feira</v>
      </c>
      <c r="D276" s="20">
        <v>0.22013888888888888</v>
      </c>
      <c r="E276" s="13">
        <f t="shared" si="13"/>
        <v>36</v>
      </c>
      <c r="F276" s="13">
        <f t="shared" si="14"/>
        <v>36</v>
      </c>
      <c r="G276" s="13">
        <v>2</v>
      </c>
      <c r="H276" s="13">
        <v>1</v>
      </c>
      <c r="I276" s="13">
        <v>1</v>
      </c>
      <c r="J276" s="13">
        <v>2</v>
      </c>
      <c r="K276" s="19">
        <v>5.5</v>
      </c>
    </row>
    <row r="277" spans="1:11" x14ac:dyDescent="0.25">
      <c r="A277" s="13">
        <v>37</v>
      </c>
      <c r="B277" s="14">
        <v>45944</v>
      </c>
      <c r="C277" s="13" t="str">
        <f t="shared" si="12"/>
        <v>Terça-Feira</v>
      </c>
      <c r="D277" s="20">
        <v>0.2298611111111111</v>
      </c>
      <c r="E277" s="13">
        <f t="shared" si="13"/>
        <v>37</v>
      </c>
      <c r="F277" s="13">
        <f t="shared" si="14"/>
        <v>37</v>
      </c>
      <c r="G277" s="13">
        <v>1</v>
      </c>
      <c r="H277" s="13">
        <v>1</v>
      </c>
      <c r="I277" s="13">
        <v>1</v>
      </c>
      <c r="J277" s="13">
        <v>2</v>
      </c>
      <c r="K277" s="19">
        <v>17.100000000000001</v>
      </c>
    </row>
    <row r="278" spans="1:11" x14ac:dyDescent="0.25">
      <c r="A278" s="13">
        <v>38</v>
      </c>
      <c r="B278" s="14">
        <v>45944</v>
      </c>
      <c r="C278" s="13" t="str">
        <f t="shared" si="12"/>
        <v>Terça-Feira</v>
      </c>
      <c r="D278" s="20">
        <v>0.25763888888888892</v>
      </c>
      <c r="E278" s="13">
        <f t="shared" si="13"/>
        <v>38</v>
      </c>
      <c r="F278" s="13">
        <f t="shared" si="14"/>
        <v>38</v>
      </c>
      <c r="G278" s="13">
        <v>1</v>
      </c>
      <c r="H278" s="13">
        <v>1</v>
      </c>
      <c r="I278" s="13">
        <v>1</v>
      </c>
      <c r="J278" s="13">
        <v>2</v>
      </c>
      <c r="K278" s="19">
        <v>43.55</v>
      </c>
    </row>
    <row r="279" spans="1:11" x14ac:dyDescent="0.25">
      <c r="A279" s="13">
        <v>39</v>
      </c>
      <c r="B279" s="14">
        <v>45944</v>
      </c>
      <c r="C279" s="13" t="str">
        <f t="shared" si="12"/>
        <v>Terça-Feira</v>
      </c>
      <c r="D279" s="20">
        <v>0.2902777777777778</v>
      </c>
      <c r="E279" s="13">
        <f t="shared" si="13"/>
        <v>39</v>
      </c>
      <c r="F279" s="13">
        <f t="shared" si="14"/>
        <v>39</v>
      </c>
      <c r="G279" s="13">
        <v>1</v>
      </c>
      <c r="H279" s="13">
        <v>1</v>
      </c>
      <c r="I279" s="13">
        <v>1</v>
      </c>
      <c r="J279" s="13">
        <v>2</v>
      </c>
      <c r="K279" s="19">
        <v>7.3</v>
      </c>
    </row>
    <row r="280" spans="1:11" x14ac:dyDescent="0.25">
      <c r="A280" s="13">
        <v>40</v>
      </c>
      <c r="B280" s="14">
        <v>45944</v>
      </c>
      <c r="C280" s="13" t="str">
        <f t="shared" si="12"/>
        <v>Terça-Feira</v>
      </c>
      <c r="D280" s="20">
        <v>0.36041666666666666</v>
      </c>
      <c r="E280" s="13">
        <f t="shared" si="13"/>
        <v>40</v>
      </c>
      <c r="F280" s="13">
        <f t="shared" si="14"/>
        <v>40</v>
      </c>
      <c r="G280" s="13">
        <v>1</v>
      </c>
      <c r="H280" s="13">
        <v>1</v>
      </c>
      <c r="I280" s="13">
        <v>1</v>
      </c>
      <c r="J280" s="13">
        <v>2</v>
      </c>
      <c r="K280" s="19">
        <v>33.700000000000003</v>
      </c>
    </row>
    <row r="281" spans="1:11" x14ac:dyDescent="0.25">
      <c r="A281" s="13">
        <v>41</v>
      </c>
      <c r="B281" s="14">
        <v>45944</v>
      </c>
      <c r="C281" s="13" t="str">
        <f t="shared" si="12"/>
        <v>Terça-Feira</v>
      </c>
      <c r="D281" s="20">
        <v>0.39930555555555558</v>
      </c>
      <c r="E281" s="13">
        <f t="shared" si="13"/>
        <v>41</v>
      </c>
      <c r="F281" s="13">
        <f t="shared" si="14"/>
        <v>41</v>
      </c>
      <c r="G281" s="13">
        <v>2</v>
      </c>
      <c r="H281" s="13">
        <v>1</v>
      </c>
      <c r="I281" s="13">
        <v>1</v>
      </c>
      <c r="J281" s="13">
        <v>2</v>
      </c>
      <c r="K281" s="19">
        <v>12</v>
      </c>
    </row>
    <row r="282" spans="1:11" x14ac:dyDescent="0.25">
      <c r="A282" s="13">
        <v>42</v>
      </c>
      <c r="B282" s="14">
        <v>45944</v>
      </c>
      <c r="C282" s="13" t="str">
        <f t="shared" si="12"/>
        <v>Terça-Feira</v>
      </c>
      <c r="D282" s="20">
        <v>0.45624999999999999</v>
      </c>
      <c r="E282" s="13">
        <f t="shared" si="13"/>
        <v>42</v>
      </c>
      <c r="F282" s="13">
        <f t="shared" si="14"/>
        <v>42</v>
      </c>
      <c r="G282" s="13">
        <v>4</v>
      </c>
      <c r="H282" s="13">
        <v>1</v>
      </c>
      <c r="I282" s="13">
        <v>1</v>
      </c>
      <c r="J282" s="13">
        <v>2</v>
      </c>
      <c r="K282" s="19">
        <v>3.7</v>
      </c>
    </row>
    <row r="283" spans="1:11" x14ac:dyDescent="0.25">
      <c r="A283" s="13">
        <v>43</v>
      </c>
      <c r="B283" s="14">
        <v>45944</v>
      </c>
      <c r="C283" s="13" t="str">
        <f t="shared" si="12"/>
        <v>Terça-Feira</v>
      </c>
      <c r="D283" s="20">
        <v>0.46319444444444446</v>
      </c>
      <c r="E283" s="13">
        <f t="shared" si="13"/>
        <v>43</v>
      </c>
      <c r="F283" s="13">
        <f t="shared" si="14"/>
        <v>43</v>
      </c>
      <c r="G283" s="13">
        <v>1</v>
      </c>
      <c r="H283" s="13">
        <v>1</v>
      </c>
      <c r="I283" s="13">
        <v>1</v>
      </c>
      <c r="J283" s="13">
        <v>2</v>
      </c>
      <c r="K283" s="19">
        <v>24.1</v>
      </c>
    </row>
    <row r="284" spans="1:11" x14ac:dyDescent="0.25">
      <c r="A284" s="13">
        <v>44</v>
      </c>
      <c r="B284" s="14">
        <v>45944</v>
      </c>
      <c r="C284" s="13" t="str">
        <f t="shared" si="12"/>
        <v>Terça-Feira</v>
      </c>
      <c r="D284" s="20">
        <v>0.5083333333333333</v>
      </c>
      <c r="E284" s="13">
        <f t="shared" si="13"/>
        <v>44</v>
      </c>
      <c r="F284" s="13">
        <f t="shared" si="14"/>
        <v>44</v>
      </c>
      <c r="G284" s="13">
        <v>1</v>
      </c>
      <c r="H284" s="13">
        <v>1</v>
      </c>
      <c r="I284" s="13">
        <v>1</v>
      </c>
      <c r="J284" s="13">
        <v>2</v>
      </c>
      <c r="K284" s="19">
        <v>17</v>
      </c>
    </row>
    <row r="285" spans="1:11" x14ac:dyDescent="0.25">
      <c r="A285" s="13">
        <v>45</v>
      </c>
      <c r="B285" s="14">
        <v>45944</v>
      </c>
      <c r="C285" s="13" t="str">
        <f t="shared" si="12"/>
        <v>Terça-Feira</v>
      </c>
      <c r="D285" s="20">
        <v>0.54861111111111105</v>
      </c>
      <c r="E285" s="13">
        <f t="shared" si="13"/>
        <v>45</v>
      </c>
      <c r="F285" s="13">
        <f t="shared" si="14"/>
        <v>45</v>
      </c>
      <c r="G285" s="13">
        <v>2</v>
      </c>
      <c r="H285" s="13">
        <v>1</v>
      </c>
      <c r="I285" s="13">
        <v>1</v>
      </c>
      <c r="J285" s="13">
        <v>2</v>
      </c>
      <c r="K285" s="19">
        <v>10</v>
      </c>
    </row>
    <row r="286" spans="1:11" x14ac:dyDescent="0.25">
      <c r="A286" s="13">
        <v>46</v>
      </c>
      <c r="B286" s="14">
        <v>45944</v>
      </c>
      <c r="C286" s="13" t="str">
        <f t="shared" si="12"/>
        <v>Terça-Feira</v>
      </c>
      <c r="D286" s="20">
        <v>0.55763888888888891</v>
      </c>
      <c r="E286" s="13">
        <f t="shared" si="13"/>
        <v>46</v>
      </c>
      <c r="F286" s="13">
        <f t="shared" si="14"/>
        <v>46</v>
      </c>
      <c r="G286" s="13">
        <v>2</v>
      </c>
      <c r="H286" s="13">
        <v>1</v>
      </c>
      <c r="I286" s="13">
        <v>1</v>
      </c>
      <c r="J286" s="13">
        <v>2</v>
      </c>
      <c r="K286" s="19">
        <v>17.510000000000002</v>
      </c>
    </row>
    <row r="287" spans="1:11" x14ac:dyDescent="0.25">
      <c r="A287" s="13">
        <v>47</v>
      </c>
      <c r="B287" s="14">
        <v>45944</v>
      </c>
      <c r="C287" s="13" t="str">
        <f t="shared" si="12"/>
        <v>Terça-Feira</v>
      </c>
      <c r="D287" s="20">
        <v>0.63055555555555554</v>
      </c>
      <c r="E287" s="13">
        <f t="shared" si="13"/>
        <v>47</v>
      </c>
      <c r="F287" s="13">
        <f t="shared" si="14"/>
        <v>47</v>
      </c>
      <c r="G287" s="13">
        <v>2</v>
      </c>
      <c r="H287" s="13">
        <v>1</v>
      </c>
      <c r="I287" s="13">
        <v>1</v>
      </c>
      <c r="J287" s="13">
        <v>2</v>
      </c>
      <c r="K287" s="19">
        <v>10.7</v>
      </c>
    </row>
    <row r="288" spans="1:11" x14ac:dyDescent="0.25">
      <c r="A288" s="13">
        <v>320</v>
      </c>
      <c r="B288" s="14">
        <v>45944</v>
      </c>
      <c r="C288" s="13" t="str">
        <f t="shared" si="12"/>
        <v>Terça-Feira</v>
      </c>
      <c r="D288" s="20">
        <v>0.29930555555555555</v>
      </c>
      <c r="E288" s="13">
        <f t="shared" si="13"/>
        <v>320</v>
      </c>
      <c r="F288" s="13">
        <f t="shared" si="14"/>
        <v>320</v>
      </c>
      <c r="G288" s="13">
        <v>2</v>
      </c>
      <c r="H288" s="13">
        <v>1</v>
      </c>
      <c r="I288" s="13">
        <v>1</v>
      </c>
      <c r="J288" s="13">
        <v>1</v>
      </c>
      <c r="K288" s="19">
        <v>11.35</v>
      </c>
    </row>
    <row r="289" spans="1:11" x14ac:dyDescent="0.25">
      <c r="A289" s="13">
        <v>321</v>
      </c>
      <c r="B289" s="14">
        <v>45944</v>
      </c>
      <c r="C289" s="13" t="str">
        <f t="shared" si="12"/>
        <v>Terça-Feira</v>
      </c>
      <c r="D289" s="20">
        <v>0.31736111111111115</v>
      </c>
      <c r="E289" s="13">
        <f t="shared" si="13"/>
        <v>321</v>
      </c>
      <c r="F289" s="13">
        <f t="shared" si="14"/>
        <v>321</v>
      </c>
      <c r="G289" s="13">
        <v>1</v>
      </c>
      <c r="H289" s="13">
        <v>1</v>
      </c>
      <c r="I289" s="13">
        <v>1</v>
      </c>
      <c r="J289" s="13">
        <v>1</v>
      </c>
      <c r="K289" s="19">
        <v>25</v>
      </c>
    </row>
    <row r="290" spans="1:11" x14ac:dyDescent="0.25">
      <c r="A290" s="13">
        <v>322</v>
      </c>
      <c r="B290" s="14">
        <v>45944</v>
      </c>
      <c r="C290" s="13" t="str">
        <f t="shared" si="12"/>
        <v>Terça-Feira</v>
      </c>
      <c r="D290" s="20">
        <v>0.34236111111111112</v>
      </c>
      <c r="E290" s="13">
        <f t="shared" si="13"/>
        <v>322</v>
      </c>
      <c r="F290" s="13">
        <f t="shared" si="14"/>
        <v>322</v>
      </c>
      <c r="G290" s="13">
        <v>1</v>
      </c>
      <c r="H290" s="13">
        <v>1</v>
      </c>
      <c r="I290" s="13">
        <v>1</v>
      </c>
      <c r="J290" s="13">
        <v>1</v>
      </c>
      <c r="K290" s="19">
        <v>6.5</v>
      </c>
    </row>
    <row r="291" spans="1:11" x14ac:dyDescent="0.25">
      <c r="A291" s="13">
        <v>323</v>
      </c>
      <c r="B291" s="14">
        <v>45944</v>
      </c>
      <c r="C291" s="13" t="str">
        <f t="shared" si="12"/>
        <v>Terça-Feira</v>
      </c>
      <c r="D291" s="20">
        <v>0.41388888888888892</v>
      </c>
      <c r="E291" s="13">
        <f t="shared" si="13"/>
        <v>323</v>
      </c>
      <c r="F291" s="13">
        <f t="shared" si="14"/>
        <v>323</v>
      </c>
      <c r="G291" s="13">
        <v>1</v>
      </c>
      <c r="H291" s="13">
        <v>1</v>
      </c>
      <c r="I291" s="13">
        <v>1</v>
      </c>
      <c r="J291" s="13">
        <v>1</v>
      </c>
      <c r="K291" s="19">
        <v>14.6</v>
      </c>
    </row>
    <row r="292" spans="1:11" x14ac:dyDescent="0.25">
      <c r="A292" s="13">
        <v>324</v>
      </c>
      <c r="B292" s="14">
        <v>45944</v>
      </c>
      <c r="C292" s="13" t="str">
        <f t="shared" si="12"/>
        <v>Terça-Feira</v>
      </c>
      <c r="D292" s="20">
        <v>0.43194444444444446</v>
      </c>
      <c r="E292" s="13">
        <f t="shared" si="13"/>
        <v>324</v>
      </c>
      <c r="F292" s="13">
        <f t="shared" si="14"/>
        <v>324</v>
      </c>
      <c r="G292" s="13">
        <v>1</v>
      </c>
      <c r="H292" s="13">
        <v>1</v>
      </c>
      <c r="I292" s="13">
        <v>1</v>
      </c>
      <c r="J292" s="13">
        <v>1</v>
      </c>
      <c r="K292" s="19">
        <v>8.0500000000000007</v>
      </c>
    </row>
    <row r="293" spans="1:11" x14ac:dyDescent="0.25">
      <c r="A293" s="13">
        <v>325</v>
      </c>
      <c r="B293" s="14">
        <v>45944</v>
      </c>
      <c r="C293" s="13" t="str">
        <f t="shared" si="12"/>
        <v>Terça-Feira</v>
      </c>
      <c r="D293" s="20">
        <v>0.49374999999999997</v>
      </c>
      <c r="E293" s="13">
        <f t="shared" si="13"/>
        <v>325</v>
      </c>
      <c r="F293" s="13">
        <f t="shared" si="14"/>
        <v>325</v>
      </c>
      <c r="G293" s="13">
        <v>1</v>
      </c>
      <c r="H293" s="13">
        <v>1</v>
      </c>
      <c r="I293" s="13">
        <v>1</v>
      </c>
      <c r="J293" s="13">
        <v>1</v>
      </c>
      <c r="K293" s="19">
        <v>15.1</v>
      </c>
    </row>
    <row r="294" spans="1:11" x14ac:dyDescent="0.25">
      <c r="A294" s="13">
        <v>326</v>
      </c>
      <c r="B294" s="14">
        <v>45944</v>
      </c>
      <c r="C294" s="13" t="str">
        <f t="shared" si="12"/>
        <v>Terça-Feira</v>
      </c>
      <c r="D294" s="20">
        <v>0.52569444444444446</v>
      </c>
      <c r="E294" s="13">
        <f t="shared" si="13"/>
        <v>326</v>
      </c>
      <c r="F294" s="13">
        <f t="shared" si="14"/>
        <v>326</v>
      </c>
      <c r="G294" s="13">
        <v>2</v>
      </c>
      <c r="H294" s="13">
        <v>1</v>
      </c>
      <c r="I294" s="13">
        <v>1</v>
      </c>
      <c r="J294" s="13">
        <v>1</v>
      </c>
      <c r="K294" s="19">
        <v>24.3</v>
      </c>
    </row>
    <row r="295" spans="1:11" x14ac:dyDescent="0.25">
      <c r="A295" s="13">
        <v>327</v>
      </c>
      <c r="B295" s="14">
        <v>45944</v>
      </c>
      <c r="C295" s="13" t="str">
        <f t="shared" si="12"/>
        <v>Terça-Feira</v>
      </c>
      <c r="D295" s="20">
        <v>0.61736111111111114</v>
      </c>
      <c r="E295" s="13">
        <f t="shared" si="13"/>
        <v>327</v>
      </c>
      <c r="F295" s="13">
        <f t="shared" si="14"/>
        <v>327</v>
      </c>
      <c r="G295" s="13">
        <v>2</v>
      </c>
      <c r="H295" s="13">
        <v>1</v>
      </c>
      <c r="I295" s="13">
        <v>1</v>
      </c>
      <c r="J295" s="13">
        <v>1</v>
      </c>
      <c r="K295" s="19">
        <v>12</v>
      </c>
    </row>
    <row r="296" spans="1:11" x14ac:dyDescent="0.25">
      <c r="A296" s="13">
        <v>48</v>
      </c>
      <c r="B296" s="14">
        <v>45945</v>
      </c>
      <c r="C296" s="13" t="str">
        <f t="shared" si="12"/>
        <v>Quarta-Feira</v>
      </c>
      <c r="D296" s="20">
        <v>0.29375000000000001</v>
      </c>
      <c r="E296" s="13">
        <f t="shared" si="13"/>
        <v>48</v>
      </c>
      <c r="F296" s="13">
        <f t="shared" si="14"/>
        <v>48</v>
      </c>
      <c r="G296" s="13">
        <v>2</v>
      </c>
      <c r="H296" s="13">
        <v>1</v>
      </c>
      <c r="I296" s="13">
        <v>1</v>
      </c>
      <c r="J296" s="13">
        <v>2</v>
      </c>
      <c r="K296" s="19">
        <v>36.1</v>
      </c>
    </row>
    <row r="297" spans="1:11" x14ac:dyDescent="0.25">
      <c r="A297" s="13">
        <v>328</v>
      </c>
      <c r="B297" s="14">
        <v>45945</v>
      </c>
      <c r="C297" s="13" t="str">
        <f t="shared" si="12"/>
        <v>Quarta-Feira</v>
      </c>
      <c r="D297" s="20">
        <v>0.23472222222222219</v>
      </c>
      <c r="E297" s="13">
        <f t="shared" si="13"/>
        <v>328</v>
      </c>
      <c r="F297" s="13">
        <f t="shared" si="14"/>
        <v>328</v>
      </c>
      <c r="G297" s="13">
        <v>2</v>
      </c>
      <c r="H297" s="13">
        <v>1</v>
      </c>
      <c r="I297" s="13">
        <v>1</v>
      </c>
      <c r="J297" s="13">
        <v>1</v>
      </c>
      <c r="K297" s="19">
        <v>6.25</v>
      </c>
    </row>
    <row r="298" spans="1:11" x14ac:dyDescent="0.25">
      <c r="A298" s="13">
        <v>329</v>
      </c>
      <c r="B298" s="14">
        <v>45945</v>
      </c>
      <c r="C298" s="13" t="str">
        <f t="shared" si="12"/>
        <v>Quarta-Feira</v>
      </c>
      <c r="D298" s="20">
        <v>0.25277777777777777</v>
      </c>
      <c r="E298" s="13">
        <f t="shared" si="13"/>
        <v>329</v>
      </c>
      <c r="F298" s="13">
        <f t="shared" si="14"/>
        <v>329</v>
      </c>
      <c r="G298" s="13">
        <v>1</v>
      </c>
      <c r="H298" s="13">
        <v>1</v>
      </c>
      <c r="I298" s="13">
        <v>1</v>
      </c>
      <c r="J298" s="13">
        <v>1</v>
      </c>
      <c r="K298" s="19">
        <v>29.5</v>
      </c>
    </row>
    <row r="299" spans="1:11" x14ac:dyDescent="0.25">
      <c r="A299" s="13">
        <v>330</v>
      </c>
      <c r="B299" s="14">
        <v>45945</v>
      </c>
      <c r="C299" s="13" t="str">
        <f t="shared" si="12"/>
        <v>Quarta-Feira</v>
      </c>
      <c r="D299" s="20">
        <v>0.27916666666666667</v>
      </c>
      <c r="E299" s="13">
        <f t="shared" si="13"/>
        <v>330</v>
      </c>
      <c r="F299" s="13">
        <f t="shared" si="14"/>
        <v>330</v>
      </c>
      <c r="G299" s="13">
        <v>2</v>
      </c>
      <c r="H299" s="13">
        <v>1</v>
      </c>
      <c r="I299" s="13">
        <v>1</v>
      </c>
      <c r="J299" s="13">
        <v>1</v>
      </c>
      <c r="K299" s="19">
        <v>11.85</v>
      </c>
    </row>
    <row r="300" spans="1:11" x14ac:dyDescent="0.25">
      <c r="A300" s="13">
        <v>331</v>
      </c>
      <c r="B300" s="14">
        <v>45945</v>
      </c>
      <c r="C300" s="13" t="str">
        <f t="shared" si="12"/>
        <v>Quarta-Feira</v>
      </c>
      <c r="D300" s="20">
        <v>0.33680555555555558</v>
      </c>
      <c r="E300" s="13">
        <f t="shared" si="13"/>
        <v>331</v>
      </c>
      <c r="F300" s="13">
        <f t="shared" si="14"/>
        <v>331</v>
      </c>
      <c r="G300" s="13">
        <v>2</v>
      </c>
      <c r="H300" s="13">
        <v>1</v>
      </c>
      <c r="I300" s="13">
        <v>1</v>
      </c>
      <c r="J300" s="13">
        <v>1</v>
      </c>
      <c r="K300" s="19">
        <v>18.7</v>
      </c>
    </row>
    <row r="301" spans="1:11" x14ac:dyDescent="0.25">
      <c r="A301" s="13">
        <v>332</v>
      </c>
      <c r="B301" s="14">
        <v>45945</v>
      </c>
      <c r="C301" s="13" t="str">
        <f t="shared" si="12"/>
        <v>Quarta-Feira</v>
      </c>
      <c r="D301" s="20">
        <v>0.35416666666666669</v>
      </c>
      <c r="E301" s="13">
        <f t="shared" si="13"/>
        <v>332</v>
      </c>
      <c r="F301" s="13">
        <f t="shared" si="14"/>
        <v>332</v>
      </c>
      <c r="G301" s="13">
        <v>2</v>
      </c>
      <c r="H301" s="13">
        <v>1</v>
      </c>
      <c r="I301" s="13">
        <v>1</v>
      </c>
      <c r="J301" s="13">
        <v>1</v>
      </c>
      <c r="K301" s="19">
        <v>11.55</v>
      </c>
    </row>
    <row r="302" spans="1:11" x14ac:dyDescent="0.25">
      <c r="A302" s="13">
        <v>333</v>
      </c>
      <c r="B302" s="14">
        <v>45945</v>
      </c>
      <c r="C302" s="13" t="str">
        <f t="shared" si="12"/>
        <v>Quarta-Feira</v>
      </c>
      <c r="D302" s="20">
        <v>0.3840277777777778</v>
      </c>
      <c r="E302" s="13">
        <f t="shared" si="13"/>
        <v>333</v>
      </c>
      <c r="F302" s="13">
        <f t="shared" si="14"/>
        <v>333</v>
      </c>
      <c r="G302" s="13">
        <v>2</v>
      </c>
      <c r="H302" s="13">
        <v>1</v>
      </c>
      <c r="I302" s="13">
        <v>1</v>
      </c>
      <c r="J302" s="13">
        <v>1</v>
      </c>
      <c r="K302" s="19">
        <v>26.4</v>
      </c>
    </row>
    <row r="303" spans="1:11" x14ac:dyDescent="0.25">
      <c r="A303" s="13">
        <v>334</v>
      </c>
      <c r="B303" s="14">
        <v>45945</v>
      </c>
      <c r="C303" s="13" t="str">
        <f t="shared" si="12"/>
        <v>Quarta-Feira</v>
      </c>
      <c r="D303" s="20">
        <v>0.41388888888888892</v>
      </c>
      <c r="E303" s="13">
        <f t="shared" si="13"/>
        <v>334</v>
      </c>
      <c r="F303" s="13">
        <f t="shared" si="14"/>
        <v>334</v>
      </c>
      <c r="G303" s="13">
        <v>2</v>
      </c>
      <c r="H303" s="13">
        <v>1</v>
      </c>
      <c r="I303" s="13">
        <v>1</v>
      </c>
      <c r="J303" s="13">
        <v>1</v>
      </c>
      <c r="K303" s="19">
        <v>19.55</v>
      </c>
    </row>
    <row r="304" spans="1:11" x14ac:dyDescent="0.25">
      <c r="A304" s="13">
        <v>49</v>
      </c>
      <c r="B304" s="14">
        <v>45946</v>
      </c>
      <c r="C304" s="13" t="str">
        <f t="shared" si="12"/>
        <v>Quinta-Feira</v>
      </c>
      <c r="D304" s="20">
        <v>0.65277777777777779</v>
      </c>
      <c r="E304" s="13">
        <f t="shared" si="13"/>
        <v>49</v>
      </c>
      <c r="F304" s="13">
        <f t="shared" si="14"/>
        <v>49</v>
      </c>
      <c r="G304" s="13">
        <v>1</v>
      </c>
      <c r="H304" s="13">
        <v>1</v>
      </c>
      <c r="I304" s="13">
        <v>1</v>
      </c>
      <c r="J304" s="13">
        <v>2</v>
      </c>
      <c r="K304" s="19">
        <v>13.4</v>
      </c>
    </row>
    <row r="305" spans="1:11" x14ac:dyDescent="0.25">
      <c r="A305" s="13">
        <v>50</v>
      </c>
      <c r="B305" s="14">
        <v>45946</v>
      </c>
      <c r="C305" s="13" t="str">
        <f t="shared" si="12"/>
        <v>Quinta-Feira</v>
      </c>
      <c r="D305" s="20">
        <v>0.65625</v>
      </c>
      <c r="E305" s="13">
        <f t="shared" si="13"/>
        <v>50</v>
      </c>
      <c r="F305" s="13">
        <f t="shared" si="14"/>
        <v>50</v>
      </c>
      <c r="G305" s="13">
        <v>2</v>
      </c>
      <c r="H305" s="13">
        <v>1</v>
      </c>
      <c r="I305" s="13">
        <v>1</v>
      </c>
      <c r="J305" s="13">
        <v>2</v>
      </c>
      <c r="K305" s="19">
        <v>10.199999999999999</v>
      </c>
    </row>
    <row r="306" spans="1:11" x14ac:dyDescent="0.25">
      <c r="A306" s="13">
        <v>51</v>
      </c>
      <c r="B306" s="14">
        <v>45946</v>
      </c>
      <c r="C306" s="13" t="str">
        <f t="shared" si="12"/>
        <v>Quinta-Feira</v>
      </c>
      <c r="D306" s="20">
        <v>0.67499999999999993</v>
      </c>
      <c r="E306" s="13">
        <f t="shared" si="13"/>
        <v>51</v>
      </c>
      <c r="F306" s="13">
        <f t="shared" si="14"/>
        <v>51</v>
      </c>
      <c r="G306" s="13">
        <v>2</v>
      </c>
      <c r="H306" s="13">
        <v>1</v>
      </c>
      <c r="I306" s="13">
        <v>1</v>
      </c>
      <c r="J306" s="13">
        <v>2</v>
      </c>
      <c r="K306" s="19">
        <v>13.75</v>
      </c>
    </row>
    <row r="307" spans="1:11" x14ac:dyDescent="0.25">
      <c r="A307" s="13">
        <v>52</v>
      </c>
      <c r="B307" s="14">
        <v>45946</v>
      </c>
      <c r="C307" s="13" t="str">
        <f t="shared" si="12"/>
        <v>Quinta-Feira</v>
      </c>
      <c r="D307" s="20">
        <v>0.69236111111111109</v>
      </c>
      <c r="E307" s="13">
        <f t="shared" si="13"/>
        <v>52</v>
      </c>
      <c r="F307" s="13">
        <f t="shared" si="14"/>
        <v>52</v>
      </c>
      <c r="G307" s="13">
        <v>2</v>
      </c>
      <c r="H307" s="13">
        <v>1</v>
      </c>
      <c r="I307" s="13">
        <v>1</v>
      </c>
      <c r="J307" s="13">
        <v>2</v>
      </c>
      <c r="K307" s="19">
        <v>27.2</v>
      </c>
    </row>
    <row r="308" spans="1:11" x14ac:dyDescent="0.25">
      <c r="A308" s="13">
        <v>53</v>
      </c>
      <c r="B308" s="14">
        <v>45946</v>
      </c>
      <c r="C308" s="13" t="str">
        <f t="shared" si="12"/>
        <v>Quinta-Feira</v>
      </c>
      <c r="D308" s="20">
        <v>0.74652777777777779</v>
      </c>
      <c r="E308" s="13">
        <f t="shared" si="13"/>
        <v>53</v>
      </c>
      <c r="F308" s="13">
        <f t="shared" si="14"/>
        <v>53</v>
      </c>
      <c r="G308" s="13">
        <v>1</v>
      </c>
      <c r="H308" s="13">
        <v>1</v>
      </c>
      <c r="I308" s="13">
        <v>1</v>
      </c>
      <c r="J308" s="13">
        <v>2</v>
      </c>
      <c r="K308" s="19">
        <v>55.4</v>
      </c>
    </row>
    <row r="309" spans="1:11" x14ac:dyDescent="0.25">
      <c r="A309" s="13">
        <v>335</v>
      </c>
      <c r="B309" s="14">
        <v>45946</v>
      </c>
      <c r="C309" s="13" t="str">
        <f t="shared" si="12"/>
        <v>Quinta-Feira</v>
      </c>
      <c r="D309" s="20">
        <v>0.57638888888888895</v>
      </c>
      <c r="E309" s="13">
        <f t="shared" si="13"/>
        <v>335</v>
      </c>
      <c r="F309" s="13">
        <f t="shared" si="14"/>
        <v>335</v>
      </c>
      <c r="G309" s="13">
        <v>2</v>
      </c>
      <c r="H309" s="13">
        <v>1</v>
      </c>
      <c r="I309" s="13">
        <v>1</v>
      </c>
      <c r="J309" s="13">
        <v>1</v>
      </c>
      <c r="K309" s="19">
        <v>29.7</v>
      </c>
    </row>
    <row r="310" spans="1:11" x14ac:dyDescent="0.25">
      <c r="A310" s="13">
        <v>336</v>
      </c>
      <c r="B310" s="14">
        <v>45946</v>
      </c>
      <c r="C310" s="13" t="str">
        <f t="shared" si="12"/>
        <v>Quinta-Feira</v>
      </c>
      <c r="D310" s="20">
        <v>0.60555555555555551</v>
      </c>
      <c r="E310" s="13">
        <f t="shared" si="13"/>
        <v>336</v>
      </c>
      <c r="F310" s="13">
        <f t="shared" si="14"/>
        <v>336</v>
      </c>
      <c r="G310" s="13">
        <v>1</v>
      </c>
      <c r="H310" s="13">
        <v>1</v>
      </c>
      <c r="I310" s="13">
        <v>1</v>
      </c>
      <c r="J310" s="13">
        <v>1</v>
      </c>
      <c r="K310" s="19">
        <v>15</v>
      </c>
    </row>
    <row r="311" spans="1:11" x14ac:dyDescent="0.25">
      <c r="A311" s="13">
        <v>337</v>
      </c>
      <c r="B311" s="14">
        <v>45946</v>
      </c>
      <c r="C311" s="13" t="str">
        <f t="shared" si="12"/>
        <v>Quinta-Feira</v>
      </c>
      <c r="D311" s="20">
        <v>0.62638888888888888</v>
      </c>
      <c r="E311" s="13">
        <f t="shared" si="13"/>
        <v>337</v>
      </c>
      <c r="F311" s="13">
        <f t="shared" si="14"/>
        <v>337</v>
      </c>
      <c r="G311" s="13">
        <v>2</v>
      </c>
      <c r="H311" s="13">
        <v>1</v>
      </c>
      <c r="I311" s="13">
        <v>1</v>
      </c>
      <c r="J311" s="13">
        <v>1</v>
      </c>
      <c r="K311" s="19">
        <v>7.55</v>
      </c>
    </row>
    <row r="312" spans="1:11" x14ac:dyDescent="0.25">
      <c r="A312" s="13">
        <v>338</v>
      </c>
      <c r="B312" s="14">
        <v>45946</v>
      </c>
      <c r="C312" s="13" t="str">
        <f t="shared" si="12"/>
        <v>Quinta-Feira</v>
      </c>
      <c r="D312" s="20">
        <v>0.63680555555555551</v>
      </c>
      <c r="E312" s="13">
        <f t="shared" si="13"/>
        <v>338</v>
      </c>
      <c r="F312" s="13">
        <f t="shared" si="14"/>
        <v>338</v>
      </c>
      <c r="G312" s="13">
        <v>2</v>
      </c>
      <c r="H312" s="13">
        <v>1</v>
      </c>
      <c r="I312" s="13">
        <v>1</v>
      </c>
      <c r="J312" s="13">
        <v>1</v>
      </c>
      <c r="K312" s="19">
        <v>22.3</v>
      </c>
    </row>
    <row r="313" spans="1:11" x14ac:dyDescent="0.25">
      <c r="A313" s="13">
        <v>339</v>
      </c>
      <c r="B313" s="14">
        <v>45946</v>
      </c>
      <c r="C313" s="13" t="str">
        <f t="shared" si="12"/>
        <v>Quinta-Feira</v>
      </c>
      <c r="D313" s="20">
        <v>0.71180555555555547</v>
      </c>
      <c r="E313" s="13">
        <f t="shared" si="13"/>
        <v>339</v>
      </c>
      <c r="F313" s="13">
        <f t="shared" si="14"/>
        <v>339</v>
      </c>
      <c r="G313" s="13">
        <v>2</v>
      </c>
      <c r="H313" s="13">
        <v>1</v>
      </c>
      <c r="I313" s="13">
        <v>1</v>
      </c>
      <c r="J313" s="13">
        <v>1</v>
      </c>
      <c r="K313" s="19">
        <v>28.8</v>
      </c>
    </row>
    <row r="314" spans="1:11" x14ac:dyDescent="0.25">
      <c r="A314" s="13">
        <v>54</v>
      </c>
      <c r="B314" s="14">
        <v>45947</v>
      </c>
      <c r="C314" s="13" t="str">
        <f t="shared" si="12"/>
        <v>Sexta-Feira</v>
      </c>
      <c r="D314" s="20">
        <v>0.22222222222222221</v>
      </c>
      <c r="E314" s="13">
        <f t="shared" si="13"/>
        <v>54</v>
      </c>
      <c r="F314" s="13">
        <f t="shared" si="14"/>
        <v>54</v>
      </c>
      <c r="G314" s="13">
        <v>2</v>
      </c>
      <c r="H314" s="13">
        <v>1</v>
      </c>
      <c r="I314" s="13">
        <v>1</v>
      </c>
      <c r="J314" s="13">
        <v>2</v>
      </c>
      <c r="K314" s="19">
        <v>7.85</v>
      </c>
    </row>
    <row r="315" spans="1:11" x14ac:dyDescent="0.25">
      <c r="A315" s="13">
        <v>55</v>
      </c>
      <c r="B315" s="14">
        <v>45947</v>
      </c>
      <c r="C315" s="13" t="str">
        <f t="shared" si="12"/>
        <v>Sexta-Feira</v>
      </c>
      <c r="D315" s="20">
        <v>0.2638888888888889</v>
      </c>
      <c r="E315" s="13">
        <f t="shared" si="13"/>
        <v>55</v>
      </c>
      <c r="F315" s="13">
        <f t="shared" si="14"/>
        <v>55</v>
      </c>
      <c r="G315" s="13">
        <v>1</v>
      </c>
      <c r="H315" s="13">
        <v>1</v>
      </c>
      <c r="I315" s="13">
        <v>1</v>
      </c>
      <c r="J315" s="13">
        <v>2</v>
      </c>
      <c r="K315" s="19">
        <v>26.9</v>
      </c>
    </row>
    <row r="316" spans="1:11" x14ac:dyDescent="0.25">
      <c r="A316" s="13">
        <v>56</v>
      </c>
      <c r="B316" s="14">
        <v>45947</v>
      </c>
      <c r="C316" s="13" t="str">
        <f t="shared" si="12"/>
        <v>Sexta-Feira</v>
      </c>
      <c r="D316" s="20">
        <v>0.28888888888888892</v>
      </c>
      <c r="E316" s="13">
        <f t="shared" si="13"/>
        <v>56</v>
      </c>
      <c r="F316" s="13">
        <f t="shared" si="14"/>
        <v>56</v>
      </c>
      <c r="G316" s="13">
        <v>2</v>
      </c>
      <c r="H316" s="13">
        <v>1</v>
      </c>
      <c r="I316" s="13">
        <v>1</v>
      </c>
      <c r="J316" s="13">
        <v>2</v>
      </c>
      <c r="K316" s="19">
        <v>9.35</v>
      </c>
    </row>
    <row r="317" spans="1:11" x14ac:dyDescent="0.25">
      <c r="A317" s="13">
        <v>57</v>
      </c>
      <c r="B317" s="14">
        <v>45947</v>
      </c>
      <c r="C317" s="13" t="str">
        <f t="shared" si="12"/>
        <v>Sexta-Feira</v>
      </c>
      <c r="D317" s="20">
        <v>0.29583333333333334</v>
      </c>
      <c r="E317" s="13">
        <f t="shared" si="13"/>
        <v>57</v>
      </c>
      <c r="F317" s="13">
        <f t="shared" si="14"/>
        <v>57</v>
      </c>
      <c r="G317" s="13">
        <v>2</v>
      </c>
      <c r="H317" s="13">
        <v>1</v>
      </c>
      <c r="I317" s="13">
        <v>1</v>
      </c>
      <c r="J317" s="13">
        <v>2</v>
      </c>
      <c r="K317" s="19">
        <v>6.2</v>
      </c>
    </row>
    <row r="318" spans="1:11" x14ac:dyDescent="0.25">
      <c r="A318" s="13">
        <v>58</v>
      </c>
      <c r="B318" s="14">
        <v>45947</v>
      </c>
      <c r="C318" s="13" t="str">
        <f t="shared" si="12"/>
        <v>Sexta-Feira</v>
      </c>
      <c r="D318" s="20">
        <v>0.35069444444444442</v>
      </c>
      <c r="E318" s="13">
        <f t="shared" si="13"/>
        <v>58</v>
      </c>
      <c r="F318" s="13">
        <f t="shared" si="14"/>
        <v>58</v>
      </c>
      <c r="G318" s="13">
        <v>2</v>
      </c>
      <c r="H318" s="13">
        <v>1</v>
      </c>
      <c r="I318" s="13">
        <v>1</v>
      </c>
      <c r="J318" s="13">
        <v>2</v>
      </c>
      <c r="K318" s="19">
        <v>13.85</v>
      </c>
    </row>
    <row r="319" spans="1:11" x14ac:dyDescent="0.25">
      <c r="A319" s="13">
        <v>59</v>
      </c>
      <c r="B319" s="14">
        <v>45947</v>
      </c>
      <c r="C319" s="13" t="str">
        <f t="shared" si="12"/>
        <v>Sexta-Feira</v>
      </c>
      <c r="D319" s="20">
        <v>0.36319444444444443</v>
      </c>
      <c r="E319" s="13">
        <f t="shared" si="13"/>
        <v>59</v>
      </c>
      <c r="F319" s="13">
        <f t="shared" si="14"/>
        <v>59</v>
      </c>
      <c r="G319" s="13">
        <v>1</v>
      </c>
      <c r="H319" s="13">
        <v>1</v>
      </c>
      <c r="I319" s="13">
        <v>1</v>
      </c>
      <c r="J319" s="13">
        <v>2</v>
      </c>
      <c r="K319" s="19">
        <v>30.7</v>
      </c>
    </row>
    <row r="320" spans="1:11" x14ac:dyDescent="0.25">
      <c r="A320" s="13">
        <v>60</v>
      </c>
      <c r="B320" s="14">
        <v>45947</v>
      </c>
      <c r="C320" s="13" t="str">
        <f t="shared" si="12"/>
        <v>Sexta-Feira</v>
      </c>
      <c r="D320" s="20">
        <v>0.47500000000000003</v>
      </c>
      <c r="E320" s="13">
        <f t="shared" si="13"/>
        <v>60</v>
      </c>
      <c r="F320" s="13">
        <f t="shared" si="14"/>
        <v>60</v>
      </c>
      <c r="G320" s="13">
        <v>2</v>
      </c>
      <c r="H320" s="13">
        <v>1</v>
      </c>
      <c r="I320" s="13">
        <v>1</v>
      </c>
      <c r="J320" s="13">
        <v>2</v>
      </c>
      <c r="K320" s="19">
        <v>5.3</v>
      </c>
    </row>
    <row r="321" spans="1:11" x14ac:dyDescent="0.25">
      <c r="A321" s="13">
        <v>61</v>
      </c>
      <c r="B321" s="14">
        <v>45947</v>
      </c>
      <c r="C321" s="13" t="str">
        <f t="shared" si="12"/>
        <v>Sexta-Feira</v>
      </c>
      <c r="D321" s="20">
        <v>0.4861111111111111</v>
      </c>
      <c r="E321" s="13">
        <f t="shared" si="13"/>
        <v>61</v>
      </c>
      <c r="F321" s="13">
        <f t="shared" si="14"/>
        <v>61</v>
      </c>
      <c r="G321" s="13">
        <v>1</v>
      </c>
      <c r="H321" s="13">
        <v>1</v>
      </c>
      <c r="I321" s="13">
        <v>1</v>
      </c>
      <c r="J321" s="13">
        <v>2</v>
      </c>
      <c r="K321" s="19">
        <v>10.35</v>
      </c>
    </row>
    <row r="322" spans="1:11" x14ac:dyDescent="0.25">
      <c r="A322" s="13">
        <v>62</v>
      </c>
      <c r="B322" s="14">
        <v>45947</v>
      </c>
      <c r="C322" s="13" t="str">
        <f t="shared" ref="C322:C385" si="15">PROPER(TEXT(WEEKDAY(B322),"dddd"))</f>
        <v>Sexta-Feira</v>
      </c>
      <c r="D322" s="20">
        <v>0.54027777777777775</v>
      </c>
      <c r="E322" s="13">
        <f t="shared" ref="E322:E385" si="16">A322</f>
        <v>62</v>
      </c>
      <c r="F322" s="13">
        <f t="shared" ref="F322:F385" si="17">A322</f>
        <v>62</v>
      </c>
      <c r="G322" s="13">
        <v>2</v>
      </c>
      <c r="H322" s="13">
        <v>1</v>
      </c>
      <c r="I322" s="13">
        <v>1</v>
      </c>
      <c r="J322" s="13">
        <v>2</v>
      </c>
      <c r="K322" s="19">
        <v>5.7</v>
      </c>
    </row>
    <row r="323" spans="1:11" x14ac:dyDescent="0.25">
      <c r="A323" s="13">
        <v>340</v>
      </c>
      <c r="B323" s="14">
        <v>45947</v>
      </c>
      <c r="C323" s="13" t="str">
        <f t="shared" si="15"/>
        <v>Sexta-Feira</v>
      </c>
      <c r="D323" s="20">
        <v>0.23750000000000002</v>
      </c>
      <c r="E323" s="13">
        <f t="shared" si="16"/>
        <v>340</v>
      </c>
      <c r="F323" s="13">
        <f t="shared" si="17"/>
        <v>340</v>
      </c>
      <c r="G323" s="13">
        <v>2</v>
      </c>
      <c r="H323" s="13">
        <v>1</v>
      </c>
      <c r="I323" s="13">
        <v>1</v>
      </c>
      <c r="J323" s="13">
        <v>1</v>
      </c>
      <c r="K323" s="19">
        <v>10.35</v>
      </c>
    </row>
    <row r="324" spans="1:11" x14ac:dyDescent="0.25">
      <c r="A324" s="13">
        <v>341</v>
      </c>
      <c r="B324" s="14">
        <v>45947</v>
      </c>
      <c r="C324" s="13" t="str">
        <f t="shared" si="15"/>
        <v>Sexta-Feira</v>
      </c>
      <c r="D324" s="20">
        <v>0.24722222222222223</v>
      </c>
      <c r="E324" s="13">
        <f t="shared" si="16"/>
        <v>341</v>
      </c>
      <c r="F324" s="13">
        <f t="shared" si="17"/>
        <v>341</v>
      </c>
      <c r="G324" s="13">
        <v>2</v>
      </c>
      <c r="H324" s="13">
        <v>1</v>
      </c>
      <c r="I324" s="13">
        <v>1</v>
      </c>
      <c r="J324" s="13">
        <v>1</v>
      </c>
      <c r="K324" s="19">
        <v>12.9</v>
      </c>
    </row>
    <row r="325" spans="1:11" x14ac:dyDescent="0.25">
      <c r="A325" s="13">
        <v>342</v>
      </c>
      <c r="B325" s="14">
        <v>45947</v>
      </c>
      <c r="C325" s="13" t="str">
        <f t="shared" si="15"/>
        <v>Sexta-Feira</v>
      </c>
      <c r="D325" s="20">
        <v>0.30763888888888891</v>
      </c>
      <c r="E325" s="13">
        <f t="shared" si="16"/>
        <v>342</v>
      </c>
      <c r="F325" s="13">
        <f t="shared" si="17"/>
        <v>342</v>
      </c>
      <c r="G325" s="13">
        <v>2</v>
      </c>
      <c r="H325" s="13">
        <v>1</v>
      </c>
      <c r="I325" s="13">
        <v>1</v>
      </c>
      <c r="J325" s="13">
        <v>1</v>
      </c>
      <c r="K325" s="19">
        <v>15.2</v>
      </c>
    </row>
    <row r="326" spans="1:11" x14ac:dyDescent="0.25">
      <c r="A326" s="13">
        <v>343</v>
      </c>
      <c r="B326" s="14">
        <v>45947</v>
      </c>
      <c r="C326" s="13" t="str">
        <f t="shared" si="15"/>
        <v>Sexta-Feira</v>
      </c>
      <c r="D326" s="20">
        <v>0.31736111111111115</v>
      </c>
      <c r="E326" s="13">
        <f t="shared" si="16"/>
        <v>343</v>
      </c>
      <c r="F326" s="13">
        <f t="shared" si="17"/>
        <v>343</v>
      </c>
      <c r="G326" s="13">
        <v>2</v>
      </c>
      <c r="H326" s="13">
        <v>1</v>
      </c>
      <c r="I326" s="13">
        <v>1</v>
      </c>
      <c r="J326" s="13">
        <v>1</v>
      </c>
      <c r="K326" s="19">
        <v>22.2</v>
      </c>
    </row>
    <row r="327" spans="1:11" x14ac:dyDescent="0.25">
      <c r="A327" s="13">
        <v>344</v>
      </c>
      <c r="B327" s="14">
        <v>45947</v>
      </c>
      <c r="C327" s="13" t="str">
        <f t="shared" si="15"/>
        <v>Sexta-Feira</v>
      </c>
      <c r="D327" s="20">
        <v>0.38958333333333334</v>
      </c>
      <c r="E327" s="13">
        <f t="shared" si="16"/>
        <v>344</v>
      </c>
      <c r="F327" s="13">
        <f t="shared" si="17"/>
        <v>344</v>
      </c>
      <c r="G327" s="13">
        <v>2</v>
      </c>
      <c r="H327" s="13">
        <v>1</v>
      </c>
      <c r="I327" s="13">
        <v>1</v>
      </c>
      <c r="J327" s="13">
        <v>1</v>
      </c>
      <c r="K327" s="19">
        <v>15.55</v>
      </c>
    </row>
    <row r="328" spans="1:11" x14ac:dyDescent="0.25">
      <c r="A328" s="13">
        <v>345</v>
      </c>
      <c r="B328" s="14">
        <v>45947</v>
      </c>
      <c r="C328" s="13" t="str">
        <f t="shared" si="15"/>
        <v>Sexta-Feira</v>
      </c>
      <c r="D328" s="20">
        <v>0.40347222222222223</v>
      </c>
      <c r="E328" s="13">
        <f t="shared" si="16"/>
        <v>345</v>
      </c>
      <c r="F328" s="13">
        <f t="shared" si="17"/>
        <v>345</v>
      </c>
      <c r="G328" s="13">
        <v>2</v>
      </c>
      <c r="H328" s="13">
        <v>1</v>
      </c>
      <c r="I328" s="13">
        <v>1</v>
      </c>
      <c r="J328" s="13">
        <v>1</v>
      </c>
      <c r="K328" s="19">
        <v>16.7</v>
      </c>
    </row>
    <row r="329" spans="1:11" x14ac:dyDescent="0.25">
      <c r="A329" s="13">
        <v>346</v>
      </c>
      <c r="B329" s="14">
        <v>45947</v>
      </c>
      <c r="C329" s="13" t="str">
        <f t="shared" si="15"/>
        <v>Sexta-Feira</v>
      </c>
      <c r="D329" s="20">
        <v>0.43055555555555558</v>
      </c>
      <c r="E329" s="13">
        <f t="shared" si="16"/>
        <v>346</v>
      </c>
      <c r="F329" s="13">
        <f t="shared" si="17"/>
        <v>346</v>
      </c>
      <c r="G329" s="13">
        <v>2</v>
      </c>
      <c r="H329" s="13">
        <v>1</v>
      </c>
      <c r="I329" s="13">
        <v>1</v>
      </c>
      <c r="J329" s="13">
        <v>1</v>
      </c>
      <c r="K329" s="19">
        <v>4.25</v>
      </c>
    </row>
    <row r="330" spans="1:11" x14ac:dyDescent="0.25">
      <c r="A330" s="13">
        <v>347</v>
      </c>
      <c r="B330" s="14">
        <v>45947</v>
      </c>
      <c r="C330" s="13" t="str">
        <f t="shared" si="15"/>
        <v>Sexta-Feira</v>
      </c>
      <c r="D330" s="20">
        <v>0.43611111111111112</v>
      </c>
      <c r="E330" s="13">
        <f t="shared" si="16"/>
        <v>347</v>
      </c>
      <c r="F330" s="13">
        <f t="shared" si="17"/>
        <v>347</v>
      </c>
      <c r="G330" s="13">
        <v>2</v>
      </c>
      <c r="H330" s="13">
        <v>1</v>
      </c>
      <c r="I330" s="13">
        <v>1</v>
      </c>
      <c r="J330" s="13">
        <v>1</v>
      </c>
      <c r="K330" s="19">
        <v>28.9</v>
      </c>
    </row>
    <row r="331" spans="1:11" x14ac:dyDescent="0.25">
      <c r="A331" s="13">
        <v>348</v>
      </c>
      <c r="B331" s="14">
        <v>45947</v>
      </c>
      <c r="C331" s="13" t="str">
        <f t="shared" si="15"/>
        <v>Sexta-Feira</v>
      </c>
      <c r="D331" s="20">
        <v>0.45694444444444443</v>
      </c>
      <c r="E331" s="13">
        <f t="shared" si="16"/>
        <v>348</v>
      </c>
      <c r="F331" s="13">
        <f t="shared" si="17"/>
        <v>348</v>
      </c>
      <c r="G331" s="13">
        <v>2</v>
      </c>
      <c r="H331" s="13">
        <v>1</v>
      </c>
      <c r="I331" s="13">
        <v>1</v>
      </c>
      <c r="J331" s="13">
        <v>1</v>
      </c>
      <c r="K331" s="19">
        <v>11.7</v>
      </c>
    </row>
    <row r="332" spans="1:11" x14ac:dyDescent="0.25">
      <c r="A332" s="13">
        <v>349</v>
      </c>
      <c r="B332" s="14">
        <v>45947</v>
      </c>
      <c r="C332" s="13" t="str">
        <f t="shared" si="15"/>
        <v>Sexta-Feira</v>
      </c>
      <c r="D332" s="20">
        <v>0.4604166666666667</v>
      </c>
      <c r="E332" s="13">
        <f t="shared" si="16"/>
        <v>349</v>
      </c>
      <c r="F332" s="13">
        <f t="shared" si="17"/>
        <v>349</v>
      </c>
      <c r="G332" s="13">
        <v>2</v>
      </c>
      <c r="H332" s="13">
        <v>1</v>
      </c>
      <c r="I332" s="13">
        <v>1</v>
      </c>
      <c r="J332" s="13">
        <v>1</v>
      </c>
      <c r="K332" s="19">
        <v>7</v>
      </c>
    </row>
    <row r="333" spans="1:11" x14ac:dyDescent="0.25">
      <c r="A333" s="13">
        <v>350</v>
      </c>
      <c r="B333" s="14">
        <v>45947</v>
      </c>
      <c r="C333" s="13" t="str">
        <f t="shared" si="15"/>
        <v>Sexta-Feira</v>
      </c>
      <c r="D333" s="20">
        <v>0.50138888888888888</v>
      </c>
      <c r="E333" s="13">
        <f t="shared" si="16"/>
        <v>350</v>
      </c>
      <c r="F333" s="13">
        <f t="shared" si="17"/>
        <v>350</v>
      </c>
      <c r="G333" s="13">
        <v>1</v>
      </c>
      <c r="H333" s="13">
        <v>1</v>
      </c>
      <c r="I333" s="13">
        <v>1</v>
      </c>
      <c r="J333" s="13">
        <v>1</v>
      </c>
      <c r="K333" s="19">
        <v>13.45</v>
      </c>
    </row>
    <row r="334" spans="1:11" x14ac:dyDescent="0.25">
      <c r="A334" s="13">
        <v>351</v>
      </c>
      <c r="B334" s="14">
        <v>45947</v>
      </c>
      <c r="C334" s="13" t="str">
        <f t="shared" si="15"/>
        <v>Sexta-Feira</v>
      </c>
      <c r="D334" s="20">
        <v>0.51874999999999993</v>
      </c>
      <c r="E334" s="13">
        <f t="shared" si="16"/>
        <v>351</v>
      </c>
      <c r="F334" s="13">
        <f t="shared" si="17"/>
        <v>351</v>
      </c>
      <c r="G334" s="13">
        <v>3</v>
      </c>
      <c r="H334" s="13">
        <v>1</v>
      </c>
      <c r="I334" s="13">
        <v>1</v>
      </c>
      <c r="J334" s="13">
        <v>1</v>
      </c>
      <c r="K334" s="19">
        <v>0</v>
      </c>
    </row>
    <row r="335" spans="1:11" x14ac:dyDescent="0.25">
      <c r="A335" s="13">
        <v>63</v>
      </c>
      <c r="B335" s="14">
        <v>45948</v>
      </c>
      <c r="C335" s="13" t="str">
        <f t="shared" si="15"/>
        <v>Sábado</v>
      </c>
      <c r="D335" s="20">
        <v>0.38472222222222219</v>
      </c>
      <c r="E335" s="13">
        <f t="shared" si="16"/>
        <v>63</v>
      </c>
      <c r="F335" s="13">
        <f t="shared" si="17"/>
        <v>63</v>
      </c>
      <c r="G335" s="13">
        <v>2</v>
      </c>
      <c r="H335" s="13">
        <v>1</v>
      </c>
      <c r="I335" s="13">
        <v>1</v>
      </c>
      <c r="J335" s="13">
        <v>2</v>
      </c>
      <c r="K335" s="19">
        <v>5.35</v>
      </c>
    </row>
    <row r="336" spans="1:11" x14ac:dyDescent="0.25">
      <c r="A336" s="13">
        <v>64</v>
      </c>
      <c r="B336" s="14">
        <v>45948</v>
      </c>
      <c r="C336" s="13" t="str">
        <f t="shared" si="15"/>
        <v>Sábado</v>
      </c>
      <c r="D336" s="20">
        <v>0.75763888888888886</v>
      </c>
      <c r="E336" s="13">
        <f t="shared" si="16"/>
        <v>64</v>
      </c>
      <c r="F336" s="13">
        <f t="shared" si="17"/>
        <v>64</v>
      </c>
      <c r="G336" s="13">
        <v>2</v>
      </c>
      <c r="H336" s="13">
        <v>1</v>
      </c>
      <c r="I336" s="13">
        <v>1</v>
      </c>
      <c r="J336" s="13">
        <v>2</v>
      </c>
      <c r="K336" s="19">
        <v>19.899999999999999</v>
      </c>
    </row>
    <row r="337" spans="1:11" x14ac:dyDescent="0.25">
      <c r="A337" s="13">
        <v>65</v>
      </c>
      <c r="B337" s="14">
        <v>45948</v>
      </c>
      <c r="C337" s="13" t="str">
        <f t="shared" si="15"/>
        <v>Sábado</v>
      </c>
      <c r="D337" s="20">
        <v>0.7715277777777777</v>
      </c>
      <c r="E337" s="13">
        <f t="shared" si="16"/>
        <v>65</v>
      </c>
      <c r="F337" s="13">
        <f t="shared" si="17"/>
        <v>65</v>
      </c>
      <c r="G337" s="13">
        <v>1</v>
      </c>
      <c r="H337" s="13">
        <v>1</v>
      </c>
      <c r="I337" s="13">
        <v>1</v>
      </c>
      <c r="J337" s="13">
        <v>2</v>
      </c>
      <c r="K337" s="19">
        <v>13.75</v>
      </c>
    </row>
    <row r="338" spans="1:11" x14ac:dyDescent="0.25">
      <c r="A338" s="13">
        <v>66</v>
      </c>
      <c r="B338" s="14">
        <v>45948</v>
      </c>
      <c r="C338" s="13" t="str">
        <f t="shared" si="15"/>
        <v>Sábado</v>
      </c>
      <c r="D338" s="20">
        <v>0.78402777777777777</v>
      </c>
      <c r="E338" s="13">
        <f t="shared" si="16"/>
        <v>66</v>
      </c>
      <c r="F338" s="13">
        <f t="shared" si="17"/>
        <v>66</v>
      </c>
      <c r="G338" s="13">
        <v>1</v>
      </c>
      <c r="H338" s="13">
        <v>1</v>
      </c>
      <c r="I338" s="13">
        <v>1</v>
      </c>
      <c r="J338" s="13">
        <v>2</v>
      </c>
      <c r="K338" s="19">
        <v>14.25</v>
      </c>
    </row>
    <row r="339" spans="1:11" x14ac:dyDescent="0.25">
      <c r="A339" s="13">
        <v>67</v>
      </c>
      <c r="B339" s="14">
        <v>45948</v>
      </c>
      <c r="C339" s="13" t="str">
        <f t="shared" si="15"/>
        <v>Sábado</v>
      </c>
      <c r="D339" s="20">
        <v>0.79999999999999993</v>
      </c>
      <c r="E339" s="13">
        <f t="shared" si="16"/>
        <v>67</v>
      </c>
      <c r="F339" s="13">
        <f t="shared" si="17"/>
        <v>67</v>
      </c>
      <c r="G339" s="13">
        <v>2</v>
      </c>
      <c r="H339" s="13">
        <v>1</v>
      </c>
      <c r="I339" s="13">
        <v>1</v>
      </c>
      <c r="J339" s="13">
        <v>2</v>
      </c>
      <c r="K339" s="19">
        <v>39.799999999999997</v>
      </c>
    </row>
    <row r="340" spans="1:11" x14ac:dyDescent="0.25">
      <c r="A340" s="13">
        <v>352</v>
      </c>
      <c r="B340" s="14">
        <v>45948</v>
      </c>
      <c r="C340" s="13" t="str">
        <f t="shared" si="15"/>
        <v>Sábado</v>
      </c>
      <c r="D340" s="20">
        <v>0.30208333333333331</v>
      </c>
      <c r="E340" s="13">
        <f t="shared" si="16"/>
        <v>352</v>
      </c>
      <c r="F340" s="13">
        <f t="shared" si="17"/>
        <v>352</v>
      </c>
      <c r="G340" s="13">
        <v>2</v>
      </c>
      <c r="H340" s="13">
        <v>1</v>
      </c>
      <c r="I340" s="13">
        <v>1</v>
      </c>
      <c r="J340" s="13">
        <v>1</v>
      </c>
      <c r="K340" s="19">
        <v>2.85</v>
      </c>
    </row>
    <row r="341" spans="1:11" x14ac:dyDescent="0.25">
      <c r="A341" s="13">
        <v>353</v>
      </c>
      <c r="B341" s="14">
        <v>45948</v>
      </c>
      <c r="C341" s="13" t="str">
        <f t="shared" si="15"/>
        <v>Sábado</v>
      </c>
      <c r="D341" s="20">
        <v>0.30972222222222223</v>
      </c>
      <c r="E341" s="13">
        <f t="shared" si="16"/>
        <v>353</v>
      </c>
      <c r="F341" s="13">
        <f t="shared" si="17"/>
        <v>353</v>
      </c>
      <c r="G341" s="13">
        <v>2</v>
      </c>
      <c r="H341" s="13">
        <v>1</v>
      </c>
      <c r="I341" s="13">
        <v>1</v>
      </c>
      <c r="J341" s="13">
        <v>1</v>
      </c>
      <c r="K341" s="19">
        <v>25.6</v>
      </c>
    </row>
    <row r="342" spans="1:11" x14ac:dyDescent="0.25">
      <c r="A342" s="13">
        <v>354</v>
      </c>
      <c r="B342" s="14">
        <v>45948</v>
      </c>
      <c r="C342" s="13" t="str">
        <f t="shared" si="15"/>
        <v>Sábado</v>
      </c>
      <c r="D342" s="20">
        <v>0.36944444444444446</v>
      </c>
      <c r="E342" s="13">
        <f t="shared" si="16"/>
        <v>354</v>
      </c>
      <c r="F342" s="13">
        <f t="shared" si="17"/>
        <v>354</v>
      </c>
      <c r="G342" s="13">
        <v>1</v>
      </c>
      <c r="H342" s="13">
        <v>1</v>
      </c>
      <c r="I342" s="13">
        <v>1</v>
      </c>
      <c r="J342" s="13">
        <v>1</v>
      </c>
      <c r="K342" s="19">
        <v>9.3000000000000007</v>
      </c>
    </row>
    <row r="343" spans="1:11" x14ac:dyDescent="0.25">
      <c r="A343" s="13">
        <v>355</v>
      </c>
      <c r="B343" s="14">
        <v>45948</v>
      </c>
      <c r="C343" s="13" t="str">
        <f t="shared" si="15"/>
        <v>Sábado</v>
      </c>
      <c r="D343" s="20">
        <v>0.40416666666666662</v>
      </c>
      <c r="E343" s="13">
        <f t="shared" si="16"/>
        <v>355</v>
      </c>
      <c r="F343" s="13">
        <f t="shared" si="17"/>
        <v>355</v>
      </c>
      <c r="G343" s="13">
        <v>2</v>
      </c>
      <c r="H343" s="13">
        <v>1</v>
      </c>
      <c r="I343" s="13">
        <v>1</v>
      </c>
      <c r="J343" s="13">
        <v>1</v>
      </c>
      <c r="K343" s="19">
        <v>4.8499999999999996</v>
      </c>
    </row>
    <row r="344" spans="1:11" x14ac:dyDescent="0.25">
      <c r="A344" s="13">
        <v>68</v>
      </c>
      <c r="B344" s="14">
        <v>45949</v>
      </c>
      <c r="C344" s="13" t="str">
        <f t="shared" si="15"/>
        <v>Domingo</v>
      </c>
      <c r="D344" s="20">
        <v>0.54999999999999993</v>
      </c>
      <c r="E344" s="13">
        <f t="shared" si="16"/>
        <v>68</v>
      </c>
      <c r="F344" s="13">
        <f t="shared" si="17"/>
        <v>68</v>
      </c>
      <c r="G344" s="13">
        <v>2</v>
      </c>
      <c r="H344" s="13">
        <v>1</v>
      </c>
      <c r="I344" s="13">
        <v>1</v>
      </c>
      <c r="J344" s="13">
        <v>2</v>
      </c>
      <c r="K344" s="19">
        <v>34.65</v>
      </c>
    </row>
    <row r="345" spans="1:11" x14ac:dyDescent="0.25">
      <c r="A345" s="13">
        <v>69</v>
      </c>
      <c r="B345" s="14">
        <v>45949</v>
      </c>
      <c r="C345" s="13" t="str">
        <f t="shared" si="15"/>
        <v>Domingo</v>
      </c>
      <c r="D345" s="20">
        <v>0.5854166666666667</v>
      </c>
      <c r="E345" s="13">
        <f t="shared" si="16"/>
        <v>69</v>
      </c>
      <c r="F345" s="13">
        <f t="shared" si="17"/>
        <v>69</v>
      </c>
      <c r="G345" s="13">
        <v>1</v>
      </c>
      <c r="H345" s="13">
        <v>1</v>
      </c>
      <c r="I345" s="13">
        <v>1</v>
      </c>
      <c r="J345" s="13">
        <v>2</v>
      </c>
      <c r="K345" s="19">
        <v>9.8000000000000007</v>
      </c>
    </row>
    <row r="346" spans="1:11" x14ac:dyDescent="0.25">
      <c r="A346" s="13">
        <v>70</v>
      </c>
      <c r="B346" s="14">
        <v>45949</v>
      </c>
      <c r="C346" s="13" t="str">
        <f t="shared" si="15"/>
        <v>Domingo</v>
      </c>
      <c r="D346" s="20">
        <v>0.62569444444444444</v>
      </c>
      <c r="E346" s="13">
        <f t="shared" si="16"/>
        <v>70</v>
      </c>
      <c r="F346" s="13">
        <f t="shared" si="17"/>
        <v>70</v>
      </c>
      <c r="G346" s="13">
        <v>3</v>
      </c>
      <c r="H346" s="13">
        <v>1</v>
      </c>
      <c r="I346" s="13">
        <v>1</v>
      </c>
      <c r="J346" s="13">
        <v>2</v>
      </c>
      <c r="K346" s="19">
        <v>0</v>
      </c>
    </row>
    <row r="347" spans="1:11" x14ac:dyDescent="0.25">
      <c r="A347" s="13">
        <v>71</v>
      </c>
      <c r="B347" s="14">
        <v>45949</v>
      </c>
      <c r="C347" s="13" t="str">
        <f t="shared" si="15"/>
        <v>Domingo</v>
      </c>
      <c r="D347" s="20">
        <v>0.62638888888888888</v>
      </c>
      <c r="E347" s="13">
        <f t="shared" si="16"/>
        <v>71</v>
      </c>
      <c r="F347" s="13">
        <f t="shared" si="17"/>
        <v>71</v>
      </c>
      <c r="G347" s="13">
        <v>1</v>
      </c>
      <c r="H347" s="13">
        <v>1</v>
      </c>
      <c r="I347" s="13">
        <v>1</v>
      </c>
      <c r="J347" s="13">
        <v>2</v>
      </c>
      <c r="K347" s="19">
        <v>16.149999999999999</v>
      </c>
    </row>
    <row r="348" spans="1:11" x14ac:dyDescent="0.25">
      <c r="A348" s="13">
        <v>72</v>
      </c>
      <c r="B348" s="14">
        <v>45949</v>
      </c>
      <c r="C348" s="13" t="str">
        <f t="shared" si="15"/>
        <v>Domingo</v>
      </c>
      <c r="D348" s="20">
        <v>0.63541666666666663</v>
      </c>
      <c r="E348" s="13">
        <f t="shared" si="16"/>
        <v>72</v>
      </c>
      <c r="F348" s="13">
        <f t="shared" si="17"/>
        <v>72</v>
      </c>
      <c r="G348" s="13">
        <v>2</v>
      </c>
      <c r="H348" s="13">
        <v>1</v>
      </c>
      <c r="I348" s="13">
        <v>1</v>
      </c>
      <c r="J348" s="13">
        <v>2</v>
      </c>
      <c r="K348" s="19">
        <v>3.3</v>
      </c>
    </row>
    <row r="349" spans="1:11" x14ac:dyDescent="0.25">
      <c r="A349" s="13">
        <v>73</v>
      </c>
      <c r="B349" s="14">
        <v>45949</v>
      </c>
      <c r="C349" s="13" t="str">
        <f t="shared" si="15"/>
        <v>Domingo</v>
      </c>
      <c r="D349" s="20">
        <v>0.64583333333333337</v>
      </c>
      <c r="E349" s="13">
        <f t="shared" si="16"/>
        <v>73</v>
      </c>
      <c r="F349" s="13">
        <f t="shared" si="17"/>
        <v>73</v>
      </c>
      <c r="G349" s="13">
        <v>4</v>
      </c>
      <c r="H349" s="13">
        <v>1</v>
      </c>
      <c r="I349" s="13">
        <v>1</v>
      </c>
      <c r="J349" s="13">
        <v>2</v>
      </c>
      <c r="K349" s="19">
        <v>0</v>
      </c>
    </row>
    <row r="350" spans="1:11" x14ac:dyDescent="0.25">
      <c r="A350" s="13">
        <v>356</v>
      </c>
      <c r="B350" s="14">
        <v>45949</v>
      </c>
      <c r="C350" s="13" t="str">
        <f t="shared" si="15"/>
        <v>Domingo</v>
      </c>
      <c r="D350" s="20">
        <v>0.59583333333333333</v>
      </c>
      <c r="E350" s="13">
        <f t="shared" si="16"/>
        <v>356</v>
      </c>
      <c r="F350" s="13">
        <f t="shared" si="17"/>
        <v>356</v>
      </c>
      <c r="G350" s="13">
        <v>2</v>
      </c>
      <c r="H350" s="13">
        <v>1</v>
      </c>
      <c r="I350" s="13">
        <v>1</v>
      </c>
      <c r="J350" s="13">
        <v>1</v>
      </c>
      <c r="K350" s="19">
        <v>23.45</v>
      </c>
    </row>
    <row r="351" spans="1:11" x14ac:dyDescent="0.25">
      <c r="A351" s="13">
        <v>357</v>
      </c>
      <c r="B351" s="14">
        <v>45949</v>
      </c>
      <c r="C351" s="13" t="str">
        <f t="shared" si="15"/>
        <v>Domingo</v>
      </c>
      <c r="D351" s="20">
        <v>0.64652777777777781</v>
      </c>
      <c r="E351" s="13">
        <f t="shared" si="16"/>
        <v>357</v>
      </c>
      <c r="F351" s="13">
        <f t="shared" si="17"/>
        <v>357</v>
      </c>
      <c r="G351" s="13">
        <v>2</v>
      </c>
      <c r="H351" s="13">
        <v>1</v>
      </c>
      <c r="I351" s="13">
        <v>1</v>
      </c>
      <c r="J351" s="13">
        <v>1</v>
      </c>
      <c r="K351" s="19">
        <v>18.170000000000002</v>
      </c>
    </row>
    <row r="352" spans="1:11" x14ac:dyDescent="0.25">
      <c r="A352" s="13">
        <v>358</v>
      </c>
      <c r="B352" s="14">
        <v>45949</v>
      </c>
      <c r="C352" s="13" t="str">
        <f t="shared" si="15"/>
        <v>Domingo</v>
      </c>
      <c r="D352" s="20">
        <v>0.66736111111111107</v>
      </c>
      <c r="E352" s="13">
        <f t="shared" si="16"/>
        <v>358</v>
      </c>
      <c r="F352" s="13">
        <f t="shared" si="17"/>
        <v>358</v>
      </c>
      <c r="G352" s="13">
        <v>2</v>
      </c>
      <c r="H352" s="13">
        <v>1</v>
      </c>
      <c r="I352" s="13">
        <v>1</v>
      </c>
      <c r="J352" s="13">
        <v>1</v>
      </c>
      <c r="K352" s="19">
        <v>4.75</v>
      </c>
    </row>
    <row r="353" spans="1:11" x14ac:dyDescent="0.25">
      <c r="A353" s="13">
        <v>359</v>
      </c>
      <c r="B353" s="14">
        <v>45949</v>
      </c>
      <c r="C353" s="13" t="str">
        <f t="shared" si="15"/>
        <v>Domingo</v>
      </c>
      <c r="D353" s="20">
        <v>0.6743055555555556</v>
      </c>
      <c r="E353" s="13">
        <f t="shared" si="16"/>
        <v>359</v>
      </c>
      <c r="F353" s="13">
        <f t="shared" si="17"/>
        <v>359</v>
      </c>
      <c r="G353" s="13">
        <v>2</v>
      </c>
      <c r="H353" s="13">
        <v>1</v>
      </c>
      <c r="I353" s="13">
        <v>1</v>
      </c>
      <c r="J353" s="13">
        <v>1</v>
      </c>
      <c r="K353" s="19">
        <v>19.05</v>
      </c>
    </row>
    <row r="354" spans="1:11" x14ac:dyDescent="0.25">
      <c r="A354" s="13">
        <v>360</v>
      </c>
      <c r="B354" s="14">
        <v>45949</v>
      </c>
      <c r="C354" s="13" t="str">
        <f t="shared" si="15"/>
        <v>Domingo</v>
      </c>
      <c r="D354" s="20">
        <v>0.70416666666666661</v>
      </c>
      <c r="E354" s="13">
        <f t="shared" si="16"/>
        <v>360</v>
      </c>
      <c r="F354" s="13">
        <f t="shared" si="17"/>
        <v>360</v>
      </c>
      <c r="G354" s="13">
        <v>1</v>
      </c>
      <c r="H354" s="13">
        <v>1</v>
      </c>
      <c r="I354" s="13">
        <v>1</v>
      </c>
      <c r="J354" s="13">
        <v>1</v>
      </c>
      <c r="K354" s="19">
        <v>11.25</v>
      </c>
    </row>
    <row r="355" spans="1:11" x14ac:dyDescent="0.25">
      <c r="A355" s="13">
        <v>361</v>
      </c>
      <c r="B355" s="14">
        <v>45949</v>
      </c>
      <c r="C355" s="13" t="str">
        <f t="shared" si="15"/>
        <v>Domingo</v>
      </c>
      <c r="D355" s="20">
        <v>0.70624999999999993</v>
      </c>
      <c r="E355" s="13">
        <f t="shared" si="16"/>
        <v>361</v>
      </c>
      <c r="F355" s="13">
        <f t="shared" si="17"/>
        <v>361</v>
      </c>
      <c r="G355" s="13">
        <v>1</v>
      </c>
      <c r="H355" s="13">
        <v>1</v>
      </c>
      <c r="I355" s="13">
        <v>1</v>
      </c>
      <c r="J355" s="13">
        <v>1</v>
      </c>
      <c r="K355" s="19">
        <v>30.4</v>
      </c>
    </row>
    <row r="356" spans="1:11" x14ac:dyDescent="0.25">
      <c r="A356" s="13">
        <v>362</v>
      </c>
      <c r="B356" s="14">
        <v>45949</v>
      </c>
      <c r="C356" s="13" t="str">
        <f t="shared" si="15"/>
        <v>Domingo</v>
      </c>
      <c r="D356" s="20">
        <v>0.73125000000000007</v>
      </c>
      <c r="E356" s="13">
        <f t="shared" si="16"/>
        <v>362</v>
      </c>
      <c r="F356" s="13">
        <f t="shared" si="17"/>
        <v>362</v>
      </c>
      <c r="G356" s="13">
        <v>2</v>
      </c>
      <c r="H356" s="13">
        <v>1</v>
      </c>
      <c r="I356" s="13">
        <v>1</v>
      </c>
      <c r="J356" s="13">
        <v>1</v>
      </c>
      <c r="K356" s="19">
        <v>21.2</v>
      </c>
    </row>
    <row r="357" spans="1:11" x14ac:dyDescent="0.25">
      <c r="A357" s="13">
        <v>363</v>
      </c>
      <c r="B357" s="14">
        <v>45949</v>
      </c>
      <c r="C357" s="13" t="str">
        <f t="shared" si="15"/>
        <v>Domingo</v>
      </c>
      <c r="D357" s="20">
        <v>0.7583333333333333</v>
      </c>
      <c r="E357" s="13">
        <f t="shared" si="16"/>
        <v>363</v>
      </c>
      <c r="F357" s="13">
        <f t="shared" si="17"/>
        <v>363</v>
      </c>
      <c r="G357" s="13">
        <v>1</v>
      </c>
      <c r="H357" s="13">
        <v>1</v>
      </c>
      <c r="I357" s="13">
        <v>1</v>
      </c>
      <c r="J357" s="13">
        <v>1</v>
      </c>
      <c r="K357" s="19">
        <v>6.1</v>
      </c>
    </row>
    <row r="358" spans="1:11" x14ac:dyDescent="0.25">
      <c r="A358" s="13">
        <v>364</v>
      </c>
      <c r="B358" s="14">
        <v>45949</v>
      </c>
      <c r="C358" s="13" t="str">
        <f t="shared" si="15"/>
        <v>Domingo</v>
      </c>
      <c r="D358" s="20">
        <v>0.76527777777777783</v>
      </c>
      <c r="E358" s="13">
        <f t="shared" si="16"/>
        <v>364</v>
      </c>
      <c r="F358" s="13">
        <f t="shared" si="17"/>
        <v>364</v>
      </c>
      <c r="G358" s="13">
        <v>1</v>
      </c>
      <c r="H358" s="13">
        <v>1</v>
      </c>
      <c r="I358" s="13">
        <v>1</v>
      </c>
      <c r="J358" s="13">
        <v>1</v>
      </c>
      <c r="K358" s="19">
        <v>4.9000000000000004</v>
      </c>
    </row>
    <row r="359" spans="1:11" x14ac:dyDescent="0.25">
      <c r="A359" s="13">
        <v>365</v>
      </c>
      <c r="B359" s="14">
        <v>45949</v>
      </c>
      <c r="C359" s="13" t="str">
        <f t="shared" si="15"/>
        <v>Domingo</v>
      </c>
      <c r="D359" s="20">
        <v>0.76666666666666661</v>
      </c>
      <c r="E359" s="13">
        <f t="shared" si="16"/>
        <v>365</v>
      </c>
      <c r="F359" s="13">
        <f t="shared" si="17"/>
        <v>365</v>
      </c>
      <c r="G359" s="13">
        <v>2</v>
      </c>
      <c r="H359" s="13">
        <v>1</v>
      </c>
      <c r="I359" s="13">
        <v>1</v>
      </c>
      <c r="J359" s="13">
        <v>1</v>
      </c>
      <c r="K359" s="19">
        <v>11.05</v>
      </c>
    </row>
    <row r="360" spans="1:11" x14ac:dyDescent="0.25">
      <c r="A360" s="13">
        <v>366</v>
      </c>
      <c r="B360" s="14">
        <v>45949</v>
      </c>
      <c r="C360" s="13" t="str">
        <f t="shared" si="15"/>
        <v>Domingo</v>
      </c>
      <c r="D360" s="20">
        <v>0.76736111111111116</v>
      </c>
      <c r="E360" s="13">
        <f t="shared" si="16"/>
        <v>366</v>
      </c>
      <c r="F360" s="13">
        <f t="shared" si="17"/>
        <v>366</v>
      </c>
      <c r="G360" s="13">
        <v>2</v>
      </c>
      <c r="H360" s="13">
        <v>1</v>
      </c>
      <c r="I360" s="13">
        <v>1</v>
      </c>
      <c r="J360" s="13">
        <v>1</v>
      </c>
      <c r="K360" s="19">
        <v>5.8</v>
      </c>
    </row>
    <row r="361" spans="1:11" x14ac:dyDescent="0.25">
      <c r="A361" s="13">
        <v>367</v>
      </c>
      <c r="B361" s="14">
        <v>45949</v>
      </c>
      <c r="C361" s="13" t="str">
        <f t="shared" si="15"/>
        <v>Domingo</v>
      </c>
      <c r="D361" s="20">
        <v>0.7909722222222223</v>
      </c>
      <c r="E361" s="13">
        <f t="shared" si="16"/>
        <v>367</v>
      </c>
      <c r="F361" s="13">
        <f t="shared" si="17"/>
        <v>367</v>
      </c>
      <c r="G361" s="13">
        <v>2</v>
      </c>
      <c r="H361" s="13">
        <v>1</v>
      </c>
      <c r="I361" s="13">
        <v>1</v>
      </c>
      <c r="J361" s="13">
        <v>1</v>
      </c>
      <c r="K361" s="19">
        <v>19.2</v>
      </c>
    </row>
    <row r="362" spans="1:11" x14ac:dyDescent="0.25">
      <c r="A362" s="13">
        <v>368</v>
      </c>
      <c r="B362" s="14">
        <v>45949</v>
      </c>
      <c r="C362" s="13" t="str">
        <f t="shared" si="15"/>
        <v>Domingo</v>
      </c>
      <c r="D362" s="20">
        <v>0.81388888888888899</v>
      </c>
      <c r="E362" s="13">
        <f t="shared" si="16"/>
        <v>368</v>
      </c>
      <c r="F362" s="13">
        <f t="shared" si="17"/>
        <v>368</v>
      </c>
      <c r="G362" s="13">
        <v>2</v>
      </c>
      <c r="H362" s="13">
        <v>1</v>
      </c>
      <c r="I362" s="13">
        <v>1</v>
      </c>
      <c r="J362" s="13">
        <v>1</v>
      </c>
      <c r="K362" s="19">
        <v>3.4</v>
      </c>
    </row>
    <row r="363" spans="1:11" x14ac:dyDescent="0.25">
      <c r="A363" s="13">
        <v>369</v>
      </c>
      <c r="B363" s="14">
        <v>45949</v>
      </c>
      <c r="C363" s="13" t="str">
        <f t="shared" si="15"/>
        <v>Domingo</v>
      </c>
      <c r="D363" s="20">
        <v>0.81874999999999998</v>
      </c>
      <c r="E363" s="13">
        <f t="shared" si="16"/>
        <v>369</v>
      </c>
      <c r="F363" s="13">
        <f t="shared" si="17"/>
        <v>369</v>
      </c>
      <c r="G363" s="13">
        <v>2</v>
      </c>
      <c r="H363" s="13">
        <v>1</v>
      </c>
      <c r="I363" s="13">
        <v>1</v>
      </c>
      <c r="J363" s="13">
        <v>1</v>
      </c>
      <c r="K363" s="19">
        <v>3.4</v>
      </c>
    </row>
    <row r="364" spans="1:11" x14ac:dyDescent="0.25">
      <c r="A364" s="13">
        <v>370</v>
      </c>
      <c r="B364" s="14">
        <v>45949</v>
      </c>
      <c r="C364" s="13" t="str">
        <f t="shared" si="15"/>
        <v>Domingo</v>
      </c>
      <c r="D364" s="20">
        <v>0.83611111111111114</v>
      </c>
      <c r="E364" s="13">
        <f t="shared" si="16"/>
        <v>370</v>
      </c>
      <c r="F364" s="13">
        <f t="shared" si="17"/>
        <v>370</v>
      </c>
      <c r="G364" s="13">
        <v>2</v>
      </c>
      <c r="H364" s="13">
        <v>1</v>
      </c>
      <c r="I364" s="13">
        <v>1</v>
      </c>
      <c r="J364" s="13">
        <v>1</v>
      </c>
      <c r="K364" s="19">
        <v>2.8</v>
      </c>
    </row>
    <row r="365" spans="1:11" x14ac:dyDescent="0.25">
      <c r="A365" s="13">
        <v>371</v>
      </c>
      <c r="B365" s="14">
        <v>45949</v>
      </c>
      <c r="C365" s="13" t="str">
        <f t="shared" si="15"/>
        <v>Domingo</v>
      </c>
      <c r="D365" s="20">
        <v>0.84166666666666667</v>
      </c>
      <c r="E365" s="13">
        <f t="shared" si="16"/>
        <v>371</v>
      </c>
      <c r="F365" s="13">
        <f t="shared" si="17"/>
        <v>371</v>
      </c>
      <c r="G365" s="13">
        <v>5</v>
      </c>
      <c r="H365" s="13">
        <v>1</v>
      </c>
      <c r="I365" s="13">
        <v>1</v>
      </c>
      <c r="J365" s="13">
        <v>1</v>
      </c>
      <c r="K365" s="19">
        <v>0</v>
      </c>
    </row>
    <row r="366" spans="1:11" x14ac:dyDescent="0.25">
      <c r="A366" s="13">
        <v>74</v>
      </c>
      <c r="B366" s="14">
        <v>45951</v>
      </c>
      <c r="C366" s="13" t="str">
        <f t="shared" si="15"/>
        <v>Terça-Feira</v>
      </c>
      <c r="D366" s="20">
        <v>0.34097222222222223</v>
      </c>
      <c r="E366" s="13">
        <f t="shared" si="16"/>
        <v>74</v>
      </c>
      <c r="F366" s="13">
        <f t="shared" si="17"/>
        <v>74</v>
      </c>
      <c r="G366" s="13">
        <v>1</v>
      </c>
      <c r="H366" s="13">
        <v>1</v>
      </c>
      <c r="I366" s="13">
        <v>1</v>
      </c>
      <c r="J366" s="13">
        <v>2</v>
      </c>
      <c r="K366" s="19">
        <v>12.1</v>
      </c>
    </row>
    <row r="367" spans="1:11" x14ac:dyDescent="0.25">
      <c r="A367" s="13">
        <v>75</v>
      </c>
      <c r="B367" s="14">
        <v>45951</v>
      </c>
      <c r="C367" s="13" t="str">
        <f t="shared" si="15"/>
        <v>Terça-Feira</v>
      </c>
      <c r="D367" s="20">
        <v>0.38541666666666669</v>
      </c>
      <c r="E367" s="13">
        <f t="shared" si="16"/>
        <v>75</v>
      </c>
      <c r="F367" s="13">
        <f t="shared" si="17"/>
        <v>75</v>
      </c>
      <c r="G367" s="13">
        <v>1</v>
      </c>
      <c r="H367" s="13">
        <v>1</v>
      </c>
      <c r="I367" s="13">
        <v>1</v>
      </c>
      <c r="J367" s="13">
        <v>2</v>
      </c>
      <c r="K367" s="19">
        <v>22.55</v>
      </c>
    </row>
    <row r="368" spans="1:11" x14ac:dyDescent="0.25">
      <c r="A368" s="13">
        <v>76</v>
      </c>
      <c r="B368" s="14">
        <v>45951</v>
      </c>
      <c r="C368" s="13" t="str">
        <f t="shared" si="15"/>
        <v>Terça-Feira</v>
      </c>
      <c r="D368" s="20">
        <v>0.41319444444444442</v>
      </c>
      <c r="E368" s="13">
        <f t="shared" si="16"/>
        <v>76</v>
      </c>
      <c r="F368" s="13">
        <f t="shared" si="17"/>
        <v>76</v>
      </c>
      <c r="G368" s="13">
        <v>2</v>
      </c>
      <c r="H368" s="13">
        <v>1</v>
      </c>
      <c r="I368" s="13">
        <v>1</v>
      </c>
      <c r="J368" s="13">
        <v>2</v>
      </c>
      <c r="K368" s="19">
        <v>12.5</v>
      </c>
    </row>
    <row r="369" spans="1:11" x14ac:dyDescent="0.25">
      <c r="A369" s="13">
        <v>77</v>
      </c>
      <c r="B369" s="14">
        <v>45951</v>
      </c>
      <c r="C369" s="13" t="str">
        <f t="shared" si="15"/>
        <v>Terça-Feira</v>
      </c>
      <c r="D369" s="20">
        <v>0.41875000000000001</v>
      </c>
      <c r="E369" s="13">
        <f t="shared" si="16"/>
        <v>77</v>
      </c>
      <c r="F369" s="13">
        <f t="shared" si="17"/>
        <v>77</v>
      </c>
      <c r="G369" s="13">
        <v>1</v>
      </c>
      <c r="H369" s="13">
        <v>1</v>
      </c>
      <c r="I369" s="13">
        <v>1</v>
      </c>
      <c r="J369" s="13">
        <v>2</v>
      </c>
      <c r="K369" s="19">
        <v>34.1</v>
      </c>
    </row>
    <row r="370" spans="1:11" x14ac:dyDescent="0.25">
      <c r="A370" s="13">
        <v>78</v>
      </c>
      <c r="B370" s="14">
        <v>45951</v>
      </c>
      <c r="C370" s="13" t="str">
        <f t="shared" si="15"/>
        <v>Terça-Feira</v>
      </c>
      <c r="D370" s="20">
        <v>0.45</v>
      </c>
      <c r="E370" s="13">
        <f t="shared" si="16"/>
        <v>78</v>
      </c>
      <c r="F370" s="13">
        <f t="shared" si="17"/>
        <v>78</v>
      </c>
      <c r="G370" s="13">
        <v>3</v>
      </c>
      <c r="H370" s="13">
        <v>1</v>
      </c>
      <c r="I370" s="13">
        <v>1</v>
      </c>
      <c r="J370" s="13">
        <v>2</v>
      </c>
      <c r="K370" s="19">
        <v>0</v>
      </c>
    </row>
    <row r="371" spans="1:11" x14ac:dyDescent="0.25">
      <c r="A371" s="13">
        <v>372</v>
      </c>
      <c r="B371" s="14">
        <v>45951</v>
      </c>
      <c r="C371" s="13" t="str">
        <f t="shared" si="15"/>
        <v>Terça-Feira</v>
      </c>
      <c r="D371" s="20">
        <v>0.25</v>
      </c>
      <c r="E371" s="13">
        <f t="shared" si="16"/>
        <v>372</v>
      </c>
      <c r="F371" s="13">
        <f t="shared" si="17"/>
        <v>372</v>
      </c>
      <c r="G371" s="13">
        <v>2</v>
      </c>
      <c r="H371" s="13">
        <v>1</v>
      </c>
      <c r="I371" s="13">
        <v>1</v>
      </c>
      <c r="J371" s="13">
        <v>1</v>
      </c>
      <c r="K371" s="19">
        <v>5.3</v>
      </c>
    </row>
    <row r="372" spans="1:11" x14ac:dyDescent="0.25">
      <c r="A372" s="13">
        <v>373</v>
      </c>
      <c r="B372" s="14">
        <v>45951</v>
      </c>
      <c r="C372" s="13" t="str">
        <f t="shared" si="15"/>
        <v>Terça-Feira</v>
      </c>
      <c r="D372" s="20">
        <v>0.25277777777777777</v>
      </c>
      <c r="E372" s="13">
        <f t="shared" si="16"/>
        <v>373</v>
      </c>
      <c r="F372" s="13">
        <f t="shared" si="17"/>
        <v>373</v>
      </c>
      <c r="G372" s="13">
        <v>1</v>
      </c>
      <c r="H372" s="13">
        <v>1</v>
      </c>
      <c r="I372" s="13">
        <v>1</v>
      </c>
      <c r="J372" s="13">
        <v>1</v>
      </c>
      <c r="K372" s="19">
        <v>5.65</v>
      </c>
    </row>
    <row r="373" spans="1:11" x14ac:dyDescent="0.25">
      <c r="A373" s="13">
        <v>374</v>
      </c>
      <c r="B373" s="14">
        <v>45951</v>
      </c>
      <c r="C373" s="13" t="str">
        <f t="shared" si="15"/>
        <v>Terça-Feira</v>
      </c>
      <c r="D373" s="20">
        <v>0.26250000000000001</v>
      </c>
      <c r="E373" s="13">
        <f t="shared" si="16"/>
        <v>374</v>
      </c>
      <c r="F373" s="13">
        <f t="shared" si="17"/>
        <v>374</v>
      </c>
      <c r="G373" s="13">
        <v>2</v>
      </c>
      <c r="H373" s="13">
        <v>1</v>
      </c>
      <c r="I373" s="13">
        <v>1</v>
      </c>
      <c r="J373" s="13">
        <v>1</v>
      </c>
      <c r="K373" s="19">
        <v>31</v>
      </c>
    </row>
    <row r="374" spans="1:11" x14ac:dyDescent="0.25">
      <c r="A374" s="13">
        <v>375</v>
      </c>
      <c r="B374" s="14">
        <v>45951</v>
      </c>
      <c r="C374" s="13" t="str">
        <f t="shared" si="15"/>
        <v>Terça-Feira</v>
      </c>
      <c r="D374" s="20">
        <v>0.28125</v>
      </c>
      <c r="E374" s="13">
        <f t="shared" si="16"/>
        <v>375</v>
      </c>
      <c r="F374" s="13">
        <f t="shared" si="17"/>
        <v>375</v>
      </c>
      <c r="G374" s="13">
        <v>2</v>
      </c>
      <c r="H374" s="13">
        <v>1</v>
      </c>
      <c r="I374" s="13">
        <v>1</v>
      </c>
      <c r="J374" s="13">
        <v>1</v>
      </c>
      <c r="K374" s="19">
        <v>13.6</v>
      </c>
    </row>
    <row r="375" spans="1:11" x14ac:dyDescent="0.25">
      <c r="A375" s="13">
        <v>376</v>
      </c>
      <c r="B375" s="14">
        <v>45951</v>
      </c>
      <c r="C375" s="13" t="str">
        <f t="shared" si="15"/>
        <v>Terça-Feira</v>
      </c>
      <c r="D375" s="20">
        <v>0.30555555555555552</v>
      </c>
      <c r="E375" s="13">
        <f t="shared" si="16"/>
        <v>376</v>
      </c>
      <c r="F375" s="13">
        <f t="shared" si="17"/>
        <v>376</v>
      </c>
      <c r="G375" s="13">
        <v>1</v>
      </c>
      <c r="H375" s="13">
        <v>1</v>
      </c>
      <c r="I375" s="13">
        <v>1</v>
      </c>
      <c r="J375" s="13">
        <v>1</v>
      </c>
      <c r="K375" s="19">
        <v>29</v>
      </c>
    </row>
    <row r="376" spans="1:11" x14ac:dyDescent="0.25">
      <c r="A376" s="13">
        <v>377</v>
      </c>
      <c r="B376" s="14">
        <v>45951</v>
      </c>
      <c r="C376" s="13" t="str">
        <f t="shared" si="15"/>
        <v>Terça-Feira</v>
      </c>
      <c r="D376" s="20">
        <v>0.32222222222222224</v>
      </c>
      <c r="E376" s="13">
        <f t="shared" si="16"/>
        <v>377</v>
      </c>
      <c r="F376" s="13">
        <f t="shared" si="17"/>
        <v>377</v>
      </c>
      <c r="G376" s="13">
        <v>2</v>
      </c>
      <c r="H376" s="13">
        <v>1</v>
      </c>
      <c r="I376" s="13">
        <v>1</v>
      </c>
      <c r="J376" s="13">
        <v>1</v>
      </c>
      <c r="K376" s="19">
        <v>3.9</v>
      </c>
    </row>
    <row r="377" spans="1:11" x14ac:dyDescent="0.25">
      <c r="A377" s="13">
        <v>378</v>
      </c>
      <c r="B377" s="14">
        <v>45951</v>
      </c>
      <c r="C377" s="13" t="str">
        <f t="shared" si="15"/>
        <v>Terça-Feira</v>
      </c>
      <c r="D377" s="20">
        <v>0.32916666666666666</v>
      </c>
      <c r="E377" s="13">
        <f t="shared" si="16"/>
        <v>378</v>
      </c>
      <c r="F377" s="13">
        <f t="shared" si="17"/>
        <v>378</v>
      </c>
      <c r="G377" s="13">
        <v>2</v>
      </c>
      <c r="H377" s="13">
        <v>1</v>
      </c>
      <c r="I377" s="13">
        <v>1</v>
      </c>
      <c r="J377" s="13">
        <v>1</v>
      </c>
      <c r="K377" s="19">
        <v>8.3000000000000007</v>
      </c>
    </row>
    <row r="378" spans="1:11" x14ac:dyDescent="0.25">
      <c r="A378" s="13">
        <v>379</v>
      </c>
      <c r="B378" s="14">
        <v>45951</v>
      </c>
      <c r="C378" s="13" t="str">
        <f t="shared" si="15"/>
        <v>Terça-Feira</v>
      </c>
      <c r="D378" s="20">
        <v>0.35625000000000001</v>
      </c>
      <c r="E378" s="13">
        <f t="shared" si="16"/>
        <v>379</v>
      </c>
      <c r="F378" s="13">
        <f t="shared" si="17"/>
        <v>379</v>
      </c>
      <c r="G378" s="13">
        <v>2</v>
      </c>
      <c r="H378" s="13">
        <v>1</v>
      </c>
      <c r="I378" s="13">
        <v>1</v>
      </c>
      <c r="J378" s="13">
        <v>1</v>
      </c>
      <c r="K378" s="19">
        <v>18.55</v>
      </c>
    </row>
    <row r="379" spans="1:11" x14ac:dyDescent="0.25">
      <c r="A379" s="13">
        <v>380</v>
      </c>
      <c r="B379" s="14">
        <v>45951</v>
      </c>
      <c r="C379" s="13" t="str">
        <f t="shared" si="15"/>
        <v>Terça-Feira</v>
      </c>
      <c r="D379" s="20">
        <v>0.37291666666666662</v>
      </c>
      <c r="E379" s="13">
        <f t="shared" si="16"/>
        <v>380</v>
      </c>
      <c r="F379" s="13">
        <f t="shared" si="17"/>
        <v>380</v>
      </c>
      <c r="G379" s="13">
        <v>2</v>
      </c>
      <c r="H379" s="13">
        <v>1</v>
      </c>
      <c r="I379" s="13">
        <v>1</v>
      </c>
      <c r="J379" s="13">
        <v>1</v>
      </c>
      <c r="K379" s="19">
        <v>6.4</v>
      </c>
    </row>
    <row r="380" spans="1:11" x14ac:dyDescent="0.25">
      <c r="A380" s="13">
        <v>381</v>
      </c>
      <c r="B380" s="14">
        <v>45951</v>
      </c>
      <c r="C380" s="13" t="str">
        <f t="shared" si="15"/>
        <v>Terça-Feira</v>
      </c>
      <c r="D380" s="20">
        <v>0.45069444444444445</v>
      </c>
      <c r="E380" s="13">
        <f t="shared" si="16"/>
        <v>381</v>
      </c>
      <c r="F380" s="13">
        <f t="shared" si="17"/>
        <v>381</v>
      </c>
      <c r="G380" s="13">
        <v>2</v>
      </c>
      <c r="H380" s="13">
        <v>1</v>
      </c>
      <c r="I380" s="13">
        <v>1</v>
      </c>
      <c r="J380" s="13">
        <v>1</v>
      </c>
      <c r="K380" s="19">
        <v>4.2</v>
      </c>
    </row>
    <row r="381" spans="1:11" x14ac:dyDescent="0.25">
      <c r="A381" s="13">
        <v>382</v>
      </c>
      <c r="B381" s="14">
        <v>45951</v>
      </c>
      <c r="C381" s="13" t="str">
        <f t="shared" si="15"/>
        <v>Terça-Feira</v>
      </c>
      <c r="D381" s="20">
        <v>0.4916666666666667</v>
      </c>
      <c r="E381" s="13">
        <f t="shared" si="16"/>
        <v>382</v>
      </c>
      <c r="F381" s="13">
        <f t="shared" si="17"/>
        <v>382</v>
      </c>
      <c r="G381" s="13">
        <v>2</v>
      </c>
      <c r="H381" s="13">
        <v>1</v>
      </c>
      <c r="I381" s="13">
        <v>1</v>
      </c>
      <c r="J381" s="13">
        <v>1</v>
      </c>
      <c r="K381" s="19">
        <v>5</v>
      </c>
    </row>
    <row r="382" spans="1:11" x14ac:dyDescent="0.25">
      <c r="A382" s="13">
        <v>383</v>
      </c>
      <c r="B382" s="14">
        <v>45951</v>
      </c>
      <c r="C382" s="13" t="str">
        <f t="shared" si="15"/>
        <v>Terça-Feira</v>
      </c>
      <c r="D382" s="20">
        <v>0.49374999999999997</v>
      </c>
      <c r="E382" s="13">
        <f t="shared" si="16"/>
        <v>383</v>
      </c>
      <c r="F382" s="13">
        <f t="shared" si="17"/>
        <v>383</v>
      </c>
      <c r="G382" s="13">
        <v>2</v>
      </c>
      <c r="H382" s="13">
        <v>1</v>
      </c>
      <c r="I382" s="13">
        <v>1</v>
      </c>
      <c r="J382" s="13">
        <v>1</v>
      </c>
      <c r="K382" s="19">
        <v>12.1</v>
      </c>
    </row>
    <row r="383" spans="1:11" x14ac:dyDescent="0.25">
      <c r="A383" s="13">
        <v>384</v>
      </c>
      <c r="B383" s="14">
        <v>45951</v>
      </c>
      <c r="C383" s="13" t="str">
        <f t="shared" si="15"/>
        <v>Terça-Feira</v>
      </c>
      <c r="D383" s="20">
        <v>0.50486111111111109</v>
      </c>
      <c r="E383" s="13">
        <f t="shared" si="16"/>
        <v>384</v>
      </c>
      <c r="F383" s="13">
        <f t="shared" si="17"/>
        <v>384</v>
      </c>
      <c r="G383" s="13">
        <v>2</v>
      </c>
      <c r="H383" s="13">
        <v>1</v>
      </c>
      <c r="I383" s="13">
        <v>1</v>
      </c>
      <c r="J383" s="13">
        <v>1</v>
      </c>
      <c r="K383" s="19">
        <v>9.1</v>
      </c>
    </row>
    <row r="384" spans="1:11" x14ac:dyDescent="0.25">
      <c r="A384" s="13">
        <v>385</v>
      </c>
      <c r="B384" s="14">
        <v>45951</v>
      </c>
      <c r="C384" s="13" t="str">
        <f t="shared" si="15"/>
        <v>Terça-Feira</v>
      </c>
      <c r="D384" s="20">
        <v>0.50763888888888886</v>
      </c>
      <c r="E384" s="13">
        <f t="shared" si="16"/>
        <v>385</v>
      </c>
      <c r="F384" s="13">
        <f t="shared" si="17"/>
        <v>385</v>
      </c>
      <c r="G384" s="13">
        <v>1</v>
      </c>
      <c r="H384" s="13">
        <v>1</v>
      </c>
      <c r="I384" s="13">
        <v>1</v>
      </c>
      <c r="J384" s="13">
        <v>1</v>
      </c>
      <c r="K384" s="19">
        <v>14.1</v>
      </c>
    </row>
    <row r="385" spans="1:11" x14ac:dyDescent="0.25">
      <c r="A385" s="13">
        <v>386</v>
      </c>
      <c r="B385" s="14">
        <v>45951</v>
      </c>
      <c r="C385" s="13" t="str">
        <f t="shared" si="15"/>
        <v>Terça-Feira</v>
      </c>
      <c r="D385" s="20">
        <v>0.52638888888888891</v>
      </c>
      <c r="E385" s="13">
        <f t="shared" si="16"/>
        <v>386</v>
      </c>
      <c r="F385" s="13">
        <f t="shared" si="17"/>
        <v>386</v>
      </c>
      <c r="G385" s="13">
        <v>2</v>
      </c>
      <c r="H385" s="13">
        <v>1</v>
      </c>
      <c r="I385" s="13">
        <v>1</v>
      </c>
      <c r="J385" s="13">
        <v>1</v>
      </c>
      <c r="K385" s="19">
        <v>11</v>
      </c>
    </row>
    <row r="386" spans="1:11" x14ac:dyDescent="0.25">
      <c r="A386" s="13">
        <v>79</v>
      </c>
      <c r="B386" s="14">
        <v>45952</v>
      </c>
      <c r="C386" s="13" t="str">
        <f t="shared" ref="C386:C449" si="18">PROPER(TEXT(WEEKDAY(B386),"dddd"))</f>
        <v>Quarta-Feira</v>
      </c>
      <c r="D386" s="20">
        <v>0.40069444444444446</v>
      </c>
      <c r="E386" s="13">
        <f t="shared" ref="E386:E417" si="19">A386</f>
        <v>79</v>
      </c>
      <c r="F386" s="13">
        <f t="shared" ref="F386:F417" si="20">A386</f>
        <v>79</v>
      </c>
      <c r="G386" s="13">
        <v>2</v>
      </c>
      <c r="H386" s="13">
        <v>1</v>
      </c>
      <c r="I386" s="13">
        <v>1</v>
      </c>
      <c r="J386" s="13">
        <v>2</v>
      </c>
      <c r="K386" s="19">
        <v>11.7</v>
      </c>
    </row>
    <row r="387" spans="1:11" x14ac:dyDescent="0.25">
      <c r="A387" s="13">
        <v>80</v>
      </c>
      <c r="B387" s="14">
        <v>45952</v>
      </c>
      <c r="C387" s="13" t="str">
        <f t="shared" si="18"/>
        <v>Quarta-Feira</v>
      </c>
      <c r="D387" s="20">
        <v>0.40833333333333338</v>
      </c>
      <c r="E387" s="13">
        <f t="shared" si="19"/>
        <v>80</v>
      </c>
      <c r="F387" s="13">
        <f t="shared" si="20"/>
        <v>80</v>
      </c>
      <c r="G387" s="13">
        <v>1</v>
      </c>
      <c r="H387" s="13">
        <v>1</v>
      </c>
      <c r="I387" s="13">
        <v>1</v>
      </c>
      <c r="J387" s="13">
        <v>2</v>
      </c>
      <c r="K387" s="19">
        <v>6.25</v>
      </c>
    </row>
    <row r="388" spans="1:11" x14ac:dyDescent="0.25">
      <c r="A388" s="13">
        <v>387</v>
      </c>
      <c r="B388" s="14">
        <v>45952</v>
      </c>
      <c r="C388" s="13" t="str">
        <f t="shared" si="18"/>
        <v>Quarta-Feira</v>
      </c>
      <c r="D388" s="20">
        <v>0.22638888888888889</v>
      </c>
      <c r="E388" s="13">
        <f t="shared" si="19"/>
        <v>387</v>
      </c>
      <c r="F388" s="13">
        <f t="shared" si="20"/>
        <v>387</v>
      </c>
      <c r="G388" s="13">
        <v>2</v>
      </c>
      <c r="H388" s="13">
        <v>1</v>
      </c>
      <c r="I388" s="13">
        <v>1</v>
      </c>
      <c r="J388" s="13">
        <v>1</v>
      </c>
      <c r="K388" s="19">
        <v>3.65</v>
      </c>
    </row>
    <row r="389" spans="1:11" x14ac:dyDescent="0.25">
      <c r="A389" s="13">
        <v>388</v>
      </c>
      <c r="B389" s="14">
        <v>45952</v>
      </c>
      <c r="C389" s="13" t="str">
        <f t="shared" si="18"/>
        <v>Quarta-Feira</v>
      </c>
      <c r="D389" s="20">
        <v>0.23263888888888887</v>
      </c>
      <c r="E389" s="13">
        <f t="shared" si="19"/>
        <v>388</v>
      </c>
      <c r="F389" s="13">
        <f t="shared" si="20"/>
        <v>388</v>
      </c>
      <c r="G389" s="13">
        <v>2</v>
      </c>
      <c r="H389" s="13">
        <v>1</v>
      </c>
      <c r="I389" s="13">
        <v>1</v>
      </c>
      <c r="J389" s="13">
        <v>1</v>
      </c>
      <c r="K389" s="19">
        <v>16.399999999999999</v>
      </c>
    </row>
    <row r="390" spans="1:11" x14ac:dyDescent="0.25">
      <c r="A390" s="13">
        <v>389</v>
      </c>
      <c r="B390" s="14">
        <v>45952</v>
      </c>
      <c r="C390" s="13" t="str">
        <f t="shared" si="18"/>
        <v>Quarta-Feira</v>
      </c>
      <c r="D390" s="20">
        <v>0.25625000000000003</v>
      </c>
      <c r="E390" s="13">
        <f t="shared" si="19"/>
        <v>389</v>
      </c>
      <c r="F390" s="13">
        <f t="shared" si="20"/>
        <v>389</v>
      </c>
      <c r="G390" s="13">
        <v>2</v>
      </c>
      <c r="H390" s="13">
        <v>1</v>
      </c>
      <c r="I390" s="13">
        <v>1</v>
      </c>
      <c r="J390" s="13">
        <v>1</v>
      </c>
      <c r="K390" s="19">
        <v>38</v>
      </c>
    </row>
    <row r="391" spans="1:11" x14ac:dyDescent="0.25">
      <c r="A391" s="13">
        <v>390</v>
      </c>
      <c r="B391" s="14">
        <v>45952</v>
      </c>
      <c r="C391" s="13" t="str">
        <f t="shared" si="18"/>
        <v>Quarta-Feira</v>
      </c>
      <c r="D391" s="20">
        <v>0.28472222222222221</v>
      </c>
      <c r="E391" s="13">
        <f t="shared" si="19"/>
        <v>390</v>
      </c>
      <c r="F391" s="13">
        <f t="shared" si="20"/>
        <v>390</v>
      </c>
      <c r="G391" s="13">
        <v>2</v>
      </c>
      <c r="H391" s="13">
        <v>1</v>
      </c>
      <c r="I391" s="13">
        <v>1</v>
      </c>
      <c r="J391" s="13">
        <v>1</v>
      </c>
      <c r="K391" s="19">
        <v>8.85</v>
      </c>
    </row>
    <row r="392" spans="1:11" x14ac:dyDescent="0.25">
      <c r="A392" s="13">
        <v>391</v>
      </c>
      <c r="B392" s="14">
        <v>45952</v>
      </c>
      <c r="C392" s="13" t="str">
        <f t="shared" si="18"/>
        <v>Quarta-Feira</v>
      </c>
      <c r="D392" s="20">
        <v>0.31319444444444444</v>
      </c>
      <c r="E392" s="13">
        <f t="shared" si="19"/>
        <v>391</v>
      </c>
      <c r="F392" s="13">
        <f t="shared" si="20"/>
        <v>391</v>
      </c>
      <c r="G392" s="13">
        <v>2</v>
      </c>
      <c r="H392" s="13">
        <v>1</v>
      </c>
      <c r="I392" s="13">
        <v>1</v>
      </c>
      <c r="J392" s="13">
        <v>1</v>
      </c>
      <c r="K392" s="19">
        <v>24.15</v>
      </c>
    </row>
    <row r="393" spans="1:11" x14ac:dyDescent="0.25">
      <c r="A393" s="13">
        <v>392</v>
      </c>
      <c r="B393" s="14">
        <v>45952</v>
      </c>
      <c r="C393" s="13" t="str">
        <f t="shared" si="18"/>
        <v>Quarta-Feira</v>
      </c>
      <c r="D393" s="20">
        <v>0.33611111111111108</v>
      </c>
      <c r="E393" s="13">
        <f t="shared" si="19"/>
        <v>392</v>
      </c>
      <c r="F393" s="13">
        <f t="shared" si="20"/>
        <v>392</v>
      </c>
      <c r="G393" s="13">
        <v>2</v>
      </c>
      <c r="H393" s="13">
        <v>1</v>
      </c>
      <c r="I393" s="13">
        <v>1</v>
      </c>
      <c r="J393" s="13">
        <v>1</v>
      </c>
      <c r="K393" s="19">
        <v>38.9</v>
      </c>
    </row>
    <row r="394" spans="1:11" x14ac:dyDescent="0.25">
      <c r="A394" s="13">
        <v>393</v>
      </c>
      <c r="B394" s="14">
        <v>45952</v>
      </c>
      <c r="C394" s="13" t="str">
        <f t="shared" si="18"/>
        <v>Quarta-Feira</v>
      </c>
      <c r="D394" s="20">
        <v>0.36527777777777781</v>
      </c>
      <c r="E394" s="13">
        <f t="shared" si="19"/>
        <v>393</v>
      </c>
      <c r="F394" s="13">
        <f t="shared" si="20"/>
        <v>393</v>
      </c>
      <c r="G394" s="13">
        <v>2</v>
      </c>
      <c r="H394" s="13">
        <v>1</v>
      </c>
      <c r="I394" s="13">
        <v>1</v>
      </c>
      <c r="J394" s="13">
        <v>1</v>
      </c>
      <c r="K394" s="19">
        <v>6.65</v>
      </c>
    </row>
    <row r="395" spans="1:11" x14ac:dyDescent="0.25">
      <c r="A395" s="13">
        <v>394</v>
      </c>
      <c r="B395" s="14">
        <v>45952</v>
      </c>
      <c r="C395" s="13" t="str">
        <f t="shared" si="18"/>
        <v>Quarta-Feira</v>
      </c>
      <c r="D395" s="20">
        <v>0.3756944444444445</v>
      </c>
      <c r="E395" s="13">
        <f t="shared" si="19"/>
        <v>394</v>
      </c>
      <c r="F395" s="13">
        <f t="shared" si="20"/>
        <v>394</v>
      </c>
      <c r="G395" s="13">
        <v>2</v>
      </c>
      <c r="H395" s="13">
        <v>1</v>
      </c>
      <c r="I395" s="13">
        <v>1</v>
      </c>
      <c r="J395" s="13">
        <v>1</v>
      </c>
      <c r="K395" s="19">
        <v>8.0500000000000007</v>
      </c>
    </row>
    <row r="396" spans="1:11" x14ac:dyDescent="0.25">
      <c r="A396" s="13">
        <v>395</v>
      </c>
      <c r="B396" s="14">
        <v>45952</v>
      </c>
      <c r="C396" s="13" t="str">
        <f t="shared" si="18"/>
        <v>Quarta-Feira</v>
      </c>
      <c r="D396" s="20">
        <v>0.41875000000000001</v>
      </c>
      <c r="E396" s="13">
        <f t="shared" si="19"/>
        <v>395</v>
      </c>
      <c r="F396" s="13">
        <f t="shared" si="20"/>
        <v>395</v>
      </c>
      <c r="G396" s="13">
        <v>1</v>
      </c>
      <c r="H396" s="13">
        <v>1</v>
      </c>
      <c r="I396" s="13">
        <v>1</v>
      </c>
      <c r="J396" s="13">
        <v>1</v>
      </c>
      <c r="K396" s="19">
        <v>7</v>
      </c>
    </row>
    <row r="397" spans="1:11" x14ac:dyDescent="0.25">
      <c r="A397" s="13">
        <v>396</v>
      </c>
      <c r="B397" s="14">
        <v>45952</v>
      </c>
      <c r="C397" s="13" t="str">
        <f t="shared" si="18"/>
        <v>Quarta-Feira</v>
      </c>
      <c r="D397" s="20">
        <v>0.44027777777777777</v>
      </c>
      <c r="E397" s="13">
        <f t="shared" si="19"/>
        <v>396</v>
      </c>
      <c r="F397" s="13">
        <f t="shared" si="20"/>
        <v>396</v>
      </c>
      <c r="G397" s="13">
        <v>2</v>
      </c>
      <c r="H397" s="13">
        <v>1</v>
      </c>
      <c r="I397" s="13">
        <v>1</v>
      </c>
      <c r="J397" s="13">
        <v>1</v>
      </c>
      <c r="K397" s="19">
        <v>19.5</v>
      </c>
    </row>
    <row r="398" spans="1:11" x14ac:dyDescent="0.25">
      <c r="A398" s="13">
        <v>397</v>
      </c>
      <c r="B398" s="14">
        <v>45952</v>
      </c>
      <c r="C398" s="13" t="str">
        <f t="shared" si="18"/>
        <v>Quarta-Feira</v>
      </c>
      <c r="D398" s="20">
        <v>0.45555555555555555</v>
      </c>
      <c r="E398" s="13">
        <f t="shared" si="19"/>
        <v>397</v>
      </c>
      <c r="F398" s="13">
        <f t="shared" si="20"/>
        <v>397</v>
      </c>
      <c r="G398" s="13">
        <v>2</v>
      </c>
      <c r="H398" s="13">
        <v>1</v>
      </c>
      <c r="I398" s="13">
        <v>1</v>
      </c>
      <c r="J398" s="13">
        <v>1</v>
      </c>
      <c r="K398" s="19">
        <v>17.75</v>
      </c>
    </row>
    <row r="399" spans="1:11" x14ac:dyDescent="0.25">
      <c r="A399" s="13">
        <v>398</v>
      </c>
      <c r="B399" s="14">
        <v>45952</v>
      </c>
      <c r="C399" s="13" t="str">
        <f t="shared" si="18"/>
        <v>Quarta-Feira</v>
      </c>
      <c r="D399" s="20">
        <v>0.47013888888888888</v>
      </c>
      <c r="E399" s="13">
        <f t="shared" si="19"/>
        <v>398</v>
      </c>
      <c r="F399" s="13">
        <f t="shared" si="20"/>
        <v>398</v>
      </c>
      <c r="G399" s="13">
        <v>2</v>
      </c>
      <c r="H399" s="13">
        <v>1</v>
      </c>
      <c r="I399" s="13">
        <v>1</v>
      </c>
      <c r="J399" s="13">
        <v>1</v>
      </c>
      <c r="K399" s="19">
        <v>3.9</v>
      </c>
    </row>
    <row r="400" spans="1:11" x14ac:dyDescent="0.25">
      <c r="A400" s="13">
        <v>399</v>
      </c>
      <c r="B400" s="14">
        <v>45952</v>
      </c>
      <c r="C400" s="13" t="str">
        <f t="shared" si="18"/>
        <v>Quarta-Feira</v>
      </c>
      <c r="D400" s="20">
        <v>0.47291666666666665</v>
      </c>
      <c r="E400" s="13">
        <f t="shared" si="19"/>
        <v>399</v>
      </c>
      <c r="F400" s="13">
        <f t="shared" si="20"/>
        <v>399</v>
      </c>
      <c r="G400" s="13">
        <v>2</v>
      </c>
      <c r="H400" s="13">
        <v>1</v>
      </c>
      <c r="I400" s="13">
        <v>1</v>
      </c>
      <c r="J400" s="13">
        <v>1</v>
      </c>
      <c r="K400" s="19">
        <v>7.2</v>
      </c>
    </row>
    <row r="401" spans="1:11" x14ac:dyDescent="0.25">
      <c r="A401" s="13">
        <v>400</v>
      </c>
      <c r="B401" s="14">
        <v>45952</v>
      </c>
      <c r="C401" s="13" t="str">
        <f t="shared" si="18"/>
        <v>Quarta-Feira</v>
      </c>
      <c r="D401" s="20">
        <v>0.51597222222222217</v>
      </c>
      <c r="E401" s="13">
        <f t="shared" si="19"/>
        <v>400</v>
      </c>
      <c r="F401" s="13">
        <f t="shared" si="20"/>
        <v>400</v>
      </c>
      <c r="G401" s="13">
        <v>4</v>
      </c>
      <c r="H401" s="13">
        <v>1</v>
      </c>
      <c r="I401" s="13">
        <v>1</v>
      </c>
      <c r="J401" s="13">
        <v>1</v>
      </c>
      <c r="K401" s="19">
        <v>0</v>
      </c>
    </row>
    <row r="402" spans="1:11" x14ac:dyDescent="0.25">
      <c r="A402" s="13">
        <v>401</v>
      </c>
      <c r="B402" s="14">
        <v>45952</v>
      </c>
      <c r="C402" s="13" t="str">
        <f t="shared" si="18"/>
        <v>Quarta-Feira</v>
      </c>
      <c r="D402" s="20">
        <v>0.52500000000000002</v>
      </c>
      <c r="E402" s="13">
        <f t="shared" si="19"/>
        <v>401</v>
      </c>
      <c r="F402" s="13">
        <f t="shared" si="20"/>
        <v>401</v>
      </c>
      <c r="G402" s="13">
        <v>2</v>
      </c>
      <c r="H402" s="13">
        <v>1</v>
      </c>
      <c r="I402" s="13">
        <v>1</v>
      </c>
      <c r="J402" s="13">
        <v>1</v>
      </c>
      <c r="K402" s="19">
        <v>16.399999999999999</v>
      </c>
    </row>
    <row r="403" spans="1:11" x14ac:dyDescent="0.25">
      <c r="A403" s="13">
        <v>402</v>
      </c>
      <c r="B403" s="14">
        <v>45952</v>
      </c>
      <c r="C403" s="13" t="str">
        <f t="shared" si="18"/>
        <v>Quarta-Feira</v>
      </c>
      <c r="D403" s="20">
        <v>0.53749999999999998</v>
      </c>
      <c r="E403" s="13">
        <f t="shared" si="19"/>
        <v>402</v>
      </c>
      <c r="F403" s="13">
        <f t="shared" si="20"/>
        <v>402</v>
      </c>
      <c r="G403" s="13">
        <v>2</v>
      </c>
      <c r="H403" s="13">
        <v>1</v>
      </c>
      <c r="I403" s="13">
        <v>1</v>
      </c>
      <c r="J403" s="13">
        <v>1</v>
      </c>
      <c r="K403" s="19">
        <v>18.2</v>
      </c>
    </row>
    <row r="404" spans="1:11" x14ac:dyDescent="0.25">
      <c r="A404" s="13">
        <v>403</v>
      </c>
      <c r="B404" s="14">
        <v>45954</v>
      </c>
      <c r="C404" s="13" t="str">
        <f t="shared" si="18"/>
        <v>Sexta-Feira</v>
      </c>
      <c r="D404" s="20">
        <v>0.22569444444444445</v>
      </c>
      <c r="E404" s="13">
        <f t="shared" si="19"/>
        <v>403</v>
      </c>
      <c r="F404" s="13">
        <f t="shared" si="20"/>
        <v>403</v>
      </c>
      <c r="G404" s="13">
        <v>2</v>
      </c>
      <c r="H404" s="13">
        <v>1</v>
      </c>
      <c r="I404" s="13">
        <v>1</v>
      </c>
      <c r="J404" s="13">
        <v>1</v>
      </c>
      <c r="K404" s="19">
        <v>8.1999999999999993</v>
      </c>
    </row>
    <row r="405" spans="1:11" x14ac:dyDescent="0.25">
      <c r="A405" s="13">
        <v>404</v>
      </c>
      <c r="B405" s="14">
        <v>45954</v>
      </c>
      <c r="C405" s="13" t="str">
        <f t="shared" si="18"/>
        <v>Sexta-Feira</v>
      </c>
      <c r="D405" s="20">
        <v>0.23819444444444446</v>
      </c>
      <c r="E405" s="13">
        <f t="shared" si="19"/>
        <v>404</v>
      </c>
      <c r="F405" s="13">
        <f t="shared" si="20"/>
        <v>404</v>
      </c>
      <c r="G405" s="13">
        <v>2</v>
      </c>
      <c r="H405" s="13">
        <v>1</v>
      </c>
      <c r="I405" s="13">
        <v>1</v>
      </c>
      <c r="J405" s="13">
        <v>1</v>
      </c>
      <c r="K405" s="19">
        <v>14.8</v>
      </c>
    </row>
    <row r="406" spans="1:11" x14ac:dyDescent="0.25">
      <c r="A406" s="13">
        <v>405</v>
      </c>
      <c r="B406" s="14">
        <v>45954</v>
      </c>
      <c r="C406" s="13" t="str">
        <f t="shared" si="18"/>
        <v>Sexta-Feira</v>
      </c>
      <c r="D406" s="20">
        <v>0.24930555555555556</v>
      </c>
      <c r="E406" s="13">
        <f t="shared" si="19"/>
        <v>405</v>
      </c>
      <c r="F406" s="13">
        <f t="shared" si="20"/>
        <v>405</v>
      </c>
      <c r="G406" s="13">
        <v>2</v>
      </c>
      <c r="H406" s="13">
        <v>1</v>
      </c>
      <c r="I406" s="13">
        <v>1</v>
      </c>
      <c r="J406" s="13">
        <v>1</v>
      </c>
      <c r="K406" s="19">
        <v>22.7</v>
      </c>
    </row>
    <row r="407" spans="1:11" x14ac:dyDescent="0.25">
      <c r="A407" s="13">
        <v>406</v>
      </c>
      <c r="B407" s="14">
        <v>45954</v>
      </c>
      <c r="C407" s="13" t="str">
        <f t="shared" si="18"/>
        <v>Sexta-Feira</v>
      </c>
      <c r="D407" s="20">
        <v>0.28263888888888888</v>
      </c>
      <c r="E407" s="13">
        <f t="shared" si="19"/>
        <v>406</v>
      </c>
      <c r="F407" s="13">
        <f t="shared" si="20"/>
        <v>406</v>
      </c>
      <c r="G407" s="13">
        <v>2</v>
      </c>
      <c r="H407" s="13">
        <v>1</v>
      </c>
      <c r="I407" s="13">
        <v>1</v>
      </c>
      <c r="J407" s="13">
        <v>1</v>
      </c>
      <c r="K407" s="19">
        <v>12.9</v>
      </c>
    </row>
    <row r="408" spans="1:11" x14ac:dyDescent="0.25">
      <c r="A408" s="13">
        <v>407</v>
      </c>
      <c r="B408" s="14">
        <v>45954</v>
      </c>
      <c r="C408" s="13" t="str">
        <f t="shared" si="18"/>
        <v>Sexta-Feira</v>
      </c>
      <c r="D408" s="20">
        <v>0.31041666666666667</v>
      </c>
      <c r="E408" s="13">
        <f t="shared" si="19"/>
        <v>407</v>
      </c>
      <c r="F408" s="13">
        <f t="shared" si="20"/>
        <v>407</v>
      </c>
      <c r="G408" s="13">
        <v>2</v>
      </c>
      <c r="H408" s="13">
        <v>1</v>
      </c>
      <c r="I408" s="13">
        <v>1</v>
      </c>
      <c r="J408" s="13">
        <v>1</v>
      </c>
      <c r="K408" s="19">
        <v>3.2</v>
      </c>
    </row>
    <row r="409" spans="1:11" x14ac:dyDescent="0.25">
      <c r="A409" s="13">
        <v>408</v>
      </c>
      <c r="B409" s="14">
        <v>45954</v>
      </c>
      <c r="C409" s="13" t="str">
        <f t="shared" si="18"/>
        <v>Sexta-Feira</v>
      </c>
      <c r="D409" s="20">
        <v>0.31111111111111112</v>
      </c>
      <c r="E409" s="13">
        <f t="shared" si="19"/>
        <v>408</v>
      </c>
      <c r="F409" s="13">
        <f t="shared" si="20"/>
        <v>408</v>
      </c>
      <c r="G409" s="13">
        <v>2</v>
      </c>
      <c r="H409" s="13">
        <v>1</v>
      </c>
      <c r="I409" s="13">
        <v>1</v>
      </c>
      <c r="J409" s="13">
        <v>1</v>
      </c>
      <c r="K409" s="19">
        <v>5.9</v>
      </c>
    </row>
    <row r="410" spans="1:11" x14ac:dyDescent="0.25">
      <c r="A410" s="13">
        <v>409</v>
      </c>
      <c r="B410" s="14">
        <v>45954</v>
      </c>
      <c r="C410" s="13" t="str">
        <f t="shared" si="18"/>
        <v>Sexta-Feira</v>
      </c>
      <c r="D410" s="20">
        <v>0.3215277777777778</v>
      </c>
      <c r="E410" s="13">
        <f t="shared" si="19"/>
        <v>409</v>
      </c>
      <c r="F410" s="13">
        <f t="shared" si="20"/>
        <v>409</v>
      </c>
      <c r="G410" s="13">
        <v>1</v>
      </c>
      <c r="H410" s="13">
        <v>1</v>
      </c>
      <c r="I410" s="13">
        <v>1</v>
      </c>
      <c r="J410" s="13">
        <v>1</v>
      </c>
      <c r="K410" s="19">
        <v>4.75</v>
      </c>
    </row>
    <row r="411" spans="1:11" x14ac:dyDescent="0.25">
      <c r="A411" s="13">
        <v>410</v>
      </c>
      <c r="B411" s="14">
        <v>45954</v>
      </c>
      <c r="C411" s="13" t="str">
        <f t="shared" si="18"/>
        <v>Sexta-Feira</v>
      </c>
      <c r="D411" s="20">
        <v>0.33680555555555558</v>
      </c>
      <c r="E411" s="13">
        <f t="shared" si="19"/>
        <v>410</v>
      </c>
      <c r="F411" s="13">
        <f t="shared" si="20"/>
        <v>410</v>
      </c>
      <c r="G411" s="13">
        <v>1</v>
      </c>
      <c r="H411" s="13">
        <v>1</v>
      </c>
      <c r="I411" s="13">
        <v>1</v>
      </c>
      <c r="J411" s="13">
        <v>1</v>
      </c>
      <c r="K411" s="19">
        <v>36.25</v>
      </c>
    </row>
    <row r="412" spans="1:11" x14ac:dyDescent="0.25">
      <c r="A412" s="13">
        <v>411</v>
      </c>
      <c r="B412" s="14">
        <v>45954</v>
      </c>
      <c r="C412" s="13" t="str">
        <f t="shared" si="18"/>
        <v>Sexta-Feira</v>
      </c>
      <c r="D412" s="20">
        <v>0.3659722222222222</v>
      </c>
      <c r="E412" s="13">
        <f t="shared" si="19"/>
        <v>411</v>
      </c>
      <c r="F412" s="13">
        <f t="shared" si="20"/>
        <v>411</v>
      </c>
      <c r="G412" s="13">
        <v>2</v>
      </c>
      <c r="H412" s="13">
        <v>1</v>
      </c>
      <c r="I412" s="13">
        <v>1</v>
      </c>
      <c r="J412" s="13">
        <v>1</v>
      </c>
      <c r="K412" s="19">
        <v>24.55</v>
      </c>
    </row>
    <row r="413" spans="1:11" x14ac:dyDescent="0.25">
      <c r="A413" s="13">
        <v>412</v>
      </c>
      <c r="B413" s="14">
        <v>45954</v>
      </c>
      <c r="C413" s="13" t="str">
        <f t="shared" si="18"/>
        <v>Sexta-Feira</v>
      </c>
      <c r="D413" s="20">
        <v>0.38472222222222219</v>
      </c>
      <c r="E413" s="13">
        <f t="shared" si="19"/>
        <v>412</v>
      </c>
      <c r="F413" s="13">
        <f t="shared" si="20"/>
        <v>412</v>
      </c>
      <c r="G413" s="13">
        <v>1</v>
      </c>
      <c r="H413" s="13">
        <v>1</v>
      </c>
      <c r="I413" s="13">
        <v>1</v>
      </c>
      <c r="J413" s="13">
        <v>1</v>
      </c>
      <c r="K413" s="19">
        <v>3.35</v>
      </c>
    </row>
    <row r="414" spans="1:11" x14ac:dyDescent="0.25">
      <c r="A414" s="13">
        <v>413</v>
      </c>
      <c r="B414" s="14">
        <v>45954</v>
      </c>
      <c r="C414" s="13" t="str">
        <f t="shared" si="18"/>
        <v>Sexta-Feira</v>
      </c>
      <c r="D414" s="20">
        <v>0.3888888888888889</v>
      </c>
      <c r="E414" s="13">
        <f t="shared" si="19"/>
        <v>413</v>
      </c>
      <c r="F414" s="13">
        <f t="shared" si="20"/>
        <v>413</v>
      </c>
      <c r="G414" s="13">
        <v>1</v>
      </c>
      <c r="H414" s="13">
        <v>1</v>
      </c>
      <c r="I414" s="13">
        <v>1</v>
      </c>
      <c r="J414" s="13">
        <v>1</v>
      </c>
      <c r="K414" s="19">
        <v>6</v>
      </c>
    </row>
    <row r="415" spans="1:11" x14ac:dyDescent="0.25">
      <c r="A415" s="13">
        <v>414</v>
      </c>
      <c r="B415" s="14">
        <v>45954</v>
      </c>
      <c r="C415" s="13" t="str">
        <f t="shared" si="18"/>
        <v>Sexta-Feira</v>
      </c>
      <c r="D415" s="20">
        <v>0.4368055555555555</v>
      </c>
      <c r="E415" s="13">
        <f t="shared" si="19"/>
        <v>414</v>
      </c>
      <c r="F415" s="13">
        <f t="shared" si="20"/>
        <v>414</v>
      </c>
      <c r="G415" s="13">
        <v>2</v>
      </c>
      <c r="H415" s="13">
        <v>1</v>
      </c>
      <c r="I415" s="13">
        <v>1</v>
      </c>
      <c r="J415" s="13">
        <v>1</v>
      </c>
      <c r="K415" s="19">
        <v>15.4</v>
      </c>
    </row>
    <row r="416" spans="1:11" x14ac:dyDescent="0.25">
      <c r="A416" s="13">
        <v>415</v>
      </c>
      <c r="B416" s="14">
        <v>45954</v>
      </c>
      <c r="C416" s="13" t="str">
        <f t="shared" si="18"/>
        <v>Sexta-Feira</v>
      </c>
      <c r="D416" s="20">
        <v>0.47638888888888892</v>
      </c>
      <c r="E416" s="13">
        <f t="shared" si="19"/>
        <v>415</v>
      </c>
      <c r="F416" s="13">
        <f t="shared" si="20"/>
        <v>415</v>
      </c>
      <c r="G416" s="13">
        <v>1</v>
      </c>
      <c r="H416" s="13">
        <v>1</v>
      </c>
      <c r="I416" s="13">
        <v>1</v>
      </c>
      <c r="J416" s="13">
        <v>1</v>
      </c>
      <c r="K416" s="19">
        <v>5.3</v>
      </c>
    </row>
    <row r="417" spans="1:11" x14ac:dyDescent="0.25">
      <c r="A417" s="13">
        <v>416</v>
      </c>
      <c r="B417" s="14">
        <v>45954</v>
      </c>
      <c r="C417" s="13" t="str">
        <f t="shared" si="18"/>
        <v>Sexta-Feira</v>
      </c>
      <c r="D417" s="20">
        <v>0.51944444444444449</v>
      </c>
      <c r="E417" s="13">
        <f t="shared" si="19"/>
        <v>416</v>
      </c>
      <c r="F417" s="13">
        <f t="shared" si="20"/>
        <v>416</v>
      </c>
      <c r="G417" s="13">
        <v>2</v>
      </c>
      <c r="H417" s="13">
        <v>1</v>
      </c>
      <c r="I417" s="13">
        <v>1</v>
      </c>
      <c r="J417" s="13">
        <v>1</v>
      </c>
      <c r="K417" s="19">
        <v>25.4</v>
      </c>
    </row>
    <row r="418" spans="1:11" x14ac:dyDescent="0.25">
      <c r="A418" s="13">
        <v>417</v>
      </c>
      <c r="B418" s="14">
        <v>45956</v>
      </c>
      <c r="C418" s="13" t="str">
        <f t="shared" si="18"/>
        <v>Domingo</v>
      </c>
      <c r="D418" s="20">
        <v>0.62777777777777777</v>
      </c>
      <c r="E418" s="13">
        <f t="shared" ref="E418:E481" si="21">A418</f>
        <v>417</v>
      </c>
      <c r="F418" s="13">
        <f t="shared" ref="F418:F481" si="22">A418</f>
        <v>417</v>
      </c>
      <c r="G418" s="13">
        <v>2</v>
      </c>
      <c r="H418" s="13">
        <v>1</v>
      </c>
      <c r="I418" s="13">
        <v>1</v>
      </c>
      <c r="J418" s="13">
        <v>1</v>
      </c>
      <c r="K418" s="19">
        <v>3.9</v>
      </c>
    </row>
    <row r="419" spans="1:11" x14ac:dyDescent="0.25">
      <c r="A419" s="13">
        <v>418</v>
      </c>
      <c r="B419" s="14">
        <v>45956</v>
      </c>
      <c r="C419" s="13" t="str">
        <f t="shared" ref="C419:C437" si="23">PROPER(TEXT(WEEKDAY(B419),"dddd"))</f>
        <v>Domingo</v>
      </c>
      <c r="D419" s="20">
        <v>0.63055555555555554</v>
      </c>
      <c r="E419" s="13">
        <f t="shared" si="21"/>
        <v>418</v>
      </c>
      <c r="F419" s="13">
        <f t="shared" si="22"/>
        <v>418</v>
      </c>
      <c r="G419" s="13">
        <v>2</v>
      </c>
      <c r="H419" s="13">
        <v>1</v>
      </c>
      <c r="I419" s="13">
        <v>1</v>
      </c>
      <c r="J419" s="13">
        <v>1</v>
      </c>
      <c r="K419" s="19">
        <v>18.600000000000001</v>
      </c>
    </row>
    <row r="420" spans="1:11" x14ac:dyDescent="0.25">
      <c r="A420" s="13">
        <v>419</v>
      </c>
      <c r="B420" s="14">
        <v>45956</v>
      </c>
      <c r="C420" s="13" t="str">
        <f t="shared" si="23"/>
        <v>Domingo</v>
      </c>
      <c r="D420" s="20">
        <v>0.65277777777777779</v>
      </c>
      <c r="E420" s="13">
        <f t="shared" si="21"/>
        <v>419</v>
      </c>
      <c r="F420" s="13">
        <f t="shared" si="22"/>
        <v>419</v>
      </c>
      <c r="G420" s="13">
        <v>2</v>
      </c>
      <c r="H420" s="13">
        <v>1</v>
      </c>
      <c r="I420" s="13">
        <v>1</v>
      </c>
      <c r="J420" s="13">
        <v>1</v>
      </c>
      <c r="K420" s="19">
        <v>26.5</v>
      </c>
    </row>
    <row r="421" spans="1:11" x14ac:dyDescent="0.25">
      <c r="A421" s="13">
        <v>420</v>
      </c>
      <c r="B421" s="14">
        <v>45956</v>
      </c>
      <c r="C421" s="13" t="str">
        <f t="shared" si="23"/>
        <v>Domingo</v>
      </c>
      <c r="D421" s="20">
        <v>0.6777777777777777</v>
      </c>
      <c r="E421" s="13">
        <f t="shared" si="21"/>
        <v>420</v>
      </c>
      <c r="F421" s="13">
        <f t="shared" si="22"/>
        <v>420</v>
      </c>
      <c r="G421" s="13">
        <v>1</v>
      </c>
      <c r="H421" s="13">
        <v>1</v>
      </c>
      <c r="I421" s="13">
        <v>1</v>
      </c>
      <c r="J421" s="13">
        <v>1</v>
      </c>
      <c r="K421" s="19">
        <v>14.15</v>
      </c>
    </row>
    <row r="422" spans="1:11" x14ac:dyDescent="0.25">
      <c r="A422" s="13">
        <v>421</v>
      </c>
      <c r="B422" s="14">
        <v>45956</v>
      </c>
      <c r="C422" s="13" t="str">
        <f t="shared" si="23"/>
        <v>Domingo</v>
      </c>
      <c r="D422" s="20">
        <v>0.69027777777777777</v>
      </c>
      <c r="E422" s="13">
        <f t="shared" si="21"/>
        <v>421</v>
      </c>
      <c r="F422" s="13">
        <f t="shared" si="22"/>
        <v>421</v>
      </c>
      <c r="G422" s="13">
        <v>2</v>
      </c>
      <c r="H422" s="13">
        <v>1</v>
      </c>
      <c r="I422" s="13">
        <v>1</v>
      </c>
      <c r="J422" s="13">
        <v>1</v>
      </c>
      <c r="K422" s="19">
        <v>24.2</v>
      </c>
    </row>
    <row r="423" spans="1:11" x14ac:dyDescent="0.25">
      <c r="A423" s="13">
        <v>422</v>
      </c>
      <c r="B423" s="14">
        <v>45956</v>
      </c>
      <c r="C423" s="13" t="str">
        <f t="shared" si="23"/>
        <v>Domingo</v>
      </c>
      <c r="D423" s="20">
        <v>0.70763888888888893</v>
      </c>
      <c r="E423" s="13">
        <f t="shared" si="21"/>
        <v>422</v>
      </c>
      <c r="F423" s="13">
        <f t="shared" si="22"/>
        <v>422</v>
      </c>
      <c r="G423" s="13">
        <v>1</v>
      </c>
      <c r="H423" s="13">
        <v>1</v>
      </c>
      <c r="I423" s="13">
        <v>1</v>
      </c>
      <c r="J423" s="13">
        <v>1</v>
      </c>
      <c r="K423" s="19">
        <v>14.3</v>
      </c>
    </row>
    <row r="424" spans="1:11" x14ac:dyDescent="0.25">
      <c r="A424" s="13">
        <v>423</v>
      </c>
      <c r="B424" s="14">
        <v>45956</v>
      </c>
      <c r="C424" s="13" t="str">
        <f t="shared" si="23"/>
        <v>Domingo</v>
      </c>
      <c r="D424" s="20">
        <v>0.72777777777777775</v>
      </c>
      <c r="E424" s="13">
        <f t="shared" si="21"/>
        <v>423</v>
      </c>
      <c r="F424" s="13">
        <f t="shared" si="22"/>
        <v>423</v>
      </c>
      <c r="G424" s="13">
        <v>2</v>
      </c>
      <c r="H424" s="13">
        <v>1</v>
      </c>
      <c r="I424" s="13">
        <v>1</v>
      </c>
      <c r="J424" s="13">
        <v>1</v>
      </c>
      <c r="K424" s="19">
        <v>3.9</v>
      </c>
    </row>
    <row r="425" spans="1:11" x14ac:dyDescent="0.25">
      <c r="A425" s="13">
        <v>424</v>
      </c>
      <c r="B425" s="14">
        <v>45956</v>
      </c>
      <c r="C425" s="13" t="str">
        <f t="shared" si="23"/>
        <v>Domingo</v>
      </c>
      <c r="D425" s="20">
        <v>0.73611111111111116</v>
      </c>
      <c r="E425" s="13">
        <f t="shared" si="21"/>
        <v>424</v>
      </c>
      <c r="F425" s="13">
        <f t="shared" si="22"/>
        <v>424</v>
      </c>
      <c r="G425" s="13">
        <v>2</v>
      </c>
      <c r="H425" s="13">
        <v>1</v>
      </c>
      <c r="I425" s="13">
        <v>1</v>
      </c>
      <c r="J425" s="13">
        <v>1</v>
      </c>
      <c r="K425" s="19">
        <v>19.350000000000001</v>
      </c>
    </row>
    <row r="426" spans="1:11" x14ac:dyDescent="0.25">
      <c r="A426" s="13">
        <v>425</v>
      </c>
      <c r="B426" s="14">
        <v>45956</v>
      </c>
      <c r="C426" s="13" t="str">
        <f t="shared" si="23"/>
        <v>Domingo</v>
      </c>
      <c r="D426" s="20">
        <v>0.75694444444444453</v>
      </c>
      <c r="E426" s="13">
        <f t="shared" si="21"/>
        <v>425</v>
      </c>
      <c r="F426" s="13">
        <f t="shared" si="22"/>
        <v>425</v>
      </c>
      <c r="G426" s="13">
        <v>2</v>
      </c>
      <c r="H426" s="13">
        <v>1</v>
      </c>
      <c r="I426" s="13">
        <v>1</v>
      </c>
      <c r="J426" s="13">
        <v>1</v>
      </c>
      <c r="K426" s="19">
        <v>7.9</v>
      </c>
    </row>
    <row r="427" spans="1:11" x14ac:dyDescent="0.25">
      <c r="A427" s="13">
        <v>426</v>
      </c>
      <c r="B427" s="14">
        <v>45956</v>
      </c>
      <c r="C427" s="13" t="str">
        <f t="shared" si="23"/>
        <v>Domingo</v>
      </c>
      <c r="D427" s="20">
        <v>0.76736111111111116</v>
      </c>
      <c r="E427" s="13">
        <f t="shared" si="21"/>
        <v>426</v>
      </c>
      <c r="F427" s="13">
        <f t="shared" si="22"/>
        <v>426</v>
      </c>
      <c r="G427" s="13">
        <v>1</v>
      </c>
      <c r="H427" s="13">
        <v>1</v>
      </c>
      <c r="I427" s="13">
        <v>1</v>
      </c>
      <c r="J427" s="13">
        <v>1</v>
      </c>
      <c r="K427" s="19">
        <v>11.1</v>
      </c>
    </row>
    <row r="428" spans="1:11" x14ac:dyDescent="0.25">
      <c r="A428" s="13">
        <v>427</v>
      </c>
      <c r="B428" s="14">
        <v>45956</v>
      </c>
      <c r="C428" s="13" t="str">
        <f t="shared" si="23"/>
        <v>Domingo</v>
      </c>
      <c r="D428" s="20">
        <v>0.77916666666666667</v>
      </c>
      <c r="E428" s="13">
        <f t="shared" si="21"/>
        <v>427</v>
      </c>
      <c r="F428" s="13">
        <f t="shared" si="22"/>
        <v>427</v>
      </c>
      <c r="G428" s="13">
        <v>1</v>
      </c>
      <c r="H428" s="13">
        <v>1</v>
      </c>
      <c r="I428" s="13">
        <v>1</v>
      </c>
      <c r="J428" s="13">
        <v>1</v>
      </c>
      <c r="K428" s="19">
        <v>8.3000000000000007</v>
      </c>
    </row>
    <row r="429" spans="1:11" x14ac:dyDescent="0.25">
      <c r="A429" s="13">
        <v>428</v>
      </c>
      <c r="B429" s="14">
        <v>45956</v>
      </c>
      <c r="C429" s="13" t="str">
        <f t="shared" si="23"/>
        <v>Domingo</v>
      </c>
      <c r="D429" s="20">
        <v>0.78611111111111109</v>
      </c>
      <c r="E429" s="13">
        <f t="shared" si="21"/>
        <v>428</v>
      </c>
      <c r="F429" s="13">
        <f t="shared" si="22"/>
        <v>428</v>
      </c>
      <c r="G429" s="13">
        <v>2</v>
      </c>
      <c r="H429" s="13">
        <v>1</v>
      </c>
      <c r="I429" s="13">
        <v>1</v>
      </c>
      <c r="J429" s="13">
        <v>1</v>
      </c>
      <c r="K429" s="19">
        <v>8.6</v>
      </c>
    </row>
    <row r="430" spans="1:11" x14ac:dyDescent="0.25">
      <c r="A430" s="13">
        <v>429</v>
      </c>
      <c r="B430" s="14">
        <v>45956</v>
      </c>
      <c r="C430" s="13" t="str">
        <f t="shared" si="23"/>
        <v>Domingo</v>
      </c>
      <c r="D430" s="20">
        <v>0.79722222222222217</v>
      </c>
      <c r="E430" s="13">
        <f t="shared" si="21"/>
        <v>429</v>
      </c>
      <c r="F430" s="13">
        <f t="shared" si="22"/>
        <v>429</v>
      </c>
      <c r="G430" s="13">
        <v>1</v>
      </c>
      <c r="H430" s="13">
        <v>1</v>
      </c>
      <c r="I430" s="13">
        <v>1</v>
      </c>
      <c r="J430" s="13">
        <v>1</v>
      </c>
      <c r="K430" s="19">
        <v>7.5</v>
      </c>
    </row>
    <row r="431" spans="1:11" x14ac:dyDescent="0.25">
      <c r="A431" s="13">
        <v>430</v>
      </c>
      <c r="B431" s="14">
        <v>45956</v>
      </c>
      <c r="C431" s="13" t="str">
        <f t="shared" si="23"/>
        <v>Domingo</v>
      </c>
      <c r="D431" s="20">
        <v>0.85</v>
      </c>
      <c r="E431" s="13">
        <f t="shared" si="21"/>
        <v>430</v>
      </c>
      <c r="F431" s="13">
        <f t="shared" si="22"/>
        <v>430</v>
      </c>
      <c r="G431" s="13">
        <v>1</v>
      </c>
      <c r="H431" s="13">
        <v>1</v>
      </c>
      <c r="I431" s="13">
        <v>1</v>
      </c>
      <c r="J431" s="13">
        <v>1</v>
      </c>
      <c r="K431" s="19">
        <v>6.55</v>
      </c>
    </row>
    <row r="432" spans="1:11" x14ac:dyDescent="0.25">
      <c r="A432" s="13">
        <v>431</v>
      </c>
      <c r="B432" s="14">
        <v>45956</v>
      </c>
      <c r="C432" s="13" t="str">
        <f t="shared" si="23"/>
        <v>Domingo</v>
      </c>
      <c r="D432" s="20">
        <v>0.85277777777777775</v>
      </c>
      <c r="E432" s="13">
        <f t="shared" si="21"/>
        <v>431</v>
      </c>
      <c r="F432" s="13">
        <f t="shared" si="22"/>
        <v>431</v>
      </c>
      <c r="G432" s="13">
        <v>1</v>
      </c>
      <c r="H432" s="13">
        <v>1</v>
      </c>
      <c r="I432" s="13">
        <v>1</v>
      </c>
      <c r="J432" s="13">
        <v>1</v>
      </c>
      <c r="K432" s="19">
        <v>17.5</v>
      </c>
    </row>
    <row r="433" spans="1:11" x14ac:dyDescent="0.25">
      <c r="A433" s="13">
        <v>432</v>
      </c>
      <c r="B433" s="14">
        <v>45956</v>
      </c>
      <c r="C433" s="13" t="str">
        <f t="shared" si="23"/>
        <v>Domingo</v>
      </c>
      <c r="D433" s="20">
        <v>0.87430555555555556</v>
      </c>
      <c r="E433" s="13">
        <f t="shared" si="21"/>
        <v>432</v>
      </c>
      <c r="F433" s="13">
        <f t="shared" si="22"/>
        <v>432</v>
      </c>
      <c r="G433" s="13">
        <v>2</v>
      </c>
      <c r="H433" s="13">
        <v>1</v>
      </c>
      <c r="I433" s="13">
        <v>1</v>
      </c>
      <c r="J433" s="13">
        <v>1</v>
      </c>
      <c r="K433" s="19">
        <v>8.9</v>
      </c>
    </row>
    <row r="434" spans="1:11" x14ac:dyDescent="0.25">
      <c r="A434" s="13">
        <v>433</v>
      </c>
      <c r="B434" s="14">
        <v>45956</v>
      </c>
      <c r="C434" s="13" t="str">
        <f t="shared" si="23"/>
        <v>Domingo</v>
      </c>
      <c r="D434" s="20">
        <v>0.8847222222222223</v>
      </c>
      <c r="E434" s="13">
        <f t="shared" si="21"/>
        <v>433</v>
      </c>
      <c r="F434" s="13">
        <f t="shared" si="22"/>
        <v>433</v>
      </c>
      <c r="G434" s="13">
        <v>5</v>
      </c>
      <c r="H434" s="13">
        <v>1</v>
      </c>
      <c r="I434" s="13">
        <v>1</v>
      </c>
      <c r="J434" s="13">
        <v>1</v>
      </c>
      <c r="K434" s="19">
        <v>0</v>
      </c>
    </row>
    <row r="435" spans="1:11" x14ac:dyDescent="0.25">
      <c r="A435" s="13">
        <v>434</v>
      </c>
      <c r="B435" s="14">
        <v>45957</v>
      </c>
      <c r="C435" s="13" t="str">
        <f t="shared" si="23"/>
        <v>Segunda-Feira</v>
      </c>
      <c r="E435" s="13">
        <f t="shared" si="21"/>
        <v>434</v>
      </c>
      <c r="F435" s="13">
        <f t="shared" si="22"/>
        <v>434</v>
      </c>
    </row>
    <row r="436" spans="1:11" x14ac:dyDescent="0.25">
      <c r="A436" s="13">
        <v>435</v>
      </c>
      <c r="B436" s="14">
        <v>45957</v>
      </c>
      <c r="C436" s="13" t="str">
        <f t="shared" si="23"/>
        <v>Segunda-Feira</v>
      </c>
      <c r="E436" s="13">
        <f t="shared" si="21"/>
        <v>435</v>
      </c>
      <c r="F436" s="13">
        <f t="shared" si="22"/>
        <v>435</v>
      </c>
    </row>
    <row r="437" spans="1:11" x14ac:dyDescent="0.25">
      <c r="A437" s="13">
        <v>436</v>
      </c>
      <c r="B437" s="14">
        <v>45957</v>
      </c>
      <c r="C437" s="13" t="str">
        <f t="shared" si="23"/>
        <v>Segunda-Feira</v>
      </c>
      <c r="E437" s="13">
        <f t="shared" si="21"/>
        <v>436</v>
      </c>
      <c r="F437" s="13">
        <f t="shared" si="22"/>
        <v>436</v>
      </c>
    </row>
    <row r="438" spans="1:11" x14ac:dyDescent="0.25">
      <c r="A438" s="13">
        <v>437</v>
      </c>
      <c r="E438" s="13">
        <f t="shared" si="21"/>
        <v>437</v>
      </c>
      <c r="F438" s="13">
        <f t="shared" si="22"/>
        <v>437</v>
      </c>
    </row>
    <row r="439" spans="1:11" x14ac:dyDescent="0.25">
      <c r="A439" s="13">
        <v>438</v>
      </c>
      <c r="E439" s="13">
        <f t="shared" si="21"/>
        <v>438</v>
      </c>
      <c r="F439" s="13">
        <f t="shared" si="22"/>
        <v>438</v>
      </c>
    </row>
    <row r="440" spans="1:11" x14ac:dyDescent="0.25">
      <c r="A440" s="13">
        <v>439</v>
      </c>
      <c r="E440" s="13">
        <f t="shared" si="21"/>
        <v>439</v>
      </c>
      <c r="F440" s="13">
        <f t="shared" si="22"/>
        <v>439</v>
      </c>
    </row>
    <row r="441" spans="1:11" x14ac:dyDescent="0.25">
      <c r="A441" s="13">
        <v>440</v>
      </c>
      <c r="E441" s="13">
        <f t="shared" si="21"/>
        <v>440</v>
      </c>
      <c r="F441" s="13">
        <f t="shared" si="22"/>
        <v>440</v>
      </c>
    </row>
    <row r="442" spans="1:11" x14ac:dyDescent="0.25">
      <c r="A442" s="13">
        <v>441</v>
      </c>
      <c r="E442" s="13">
        <f t="shared" si="21"/>
        <v>441</v>
      </c>
      <c r="F442" s="13">
        <f t="shared" si="22"/>
        <v>441</v>
      </c>
    </row>
    <row r="443" spans="1:11" x14ac:dyDescent="0.25">
      <c r="A443" s="13">
        <v>442</v>
      </c>
      <c r="E443" s="13">
        <f t="shared" si="21"/>
        <v>442</v>
      </c>
      <c r="F443" s="13">
        <f t="shared" si="22"/>
        <v>442</v>
      </c>
    </row>
    <row r="444" spans="1:11" x14ac:dyDescent="0.25">
      <c r="A444" s="13">
        <v>443</v>
      </c>
      <c r="E444" s="13">
        <f t="shared" si="21"/>
        <v>443</v>
      </c>
      <c r="F444" s="13">
        <f t="shared" si="22"/>
        <v>443</v>
      </c>
    </row>
    <row r="445" spans="1:11" x14ac:dyDescent="0.25">
      <c r="A445" s="13">
        <v>444</v>
      </c>
      <c r="E445" s="13">
        <f t="shared" si="21"/>
        <v>444</v>
      </c>
      <c r="F445" s="13">
        <f t="shared" si="22"/>
        <v>444</v>
      </c>
    </row>
    <row r="446" spans="1:11" x14ac:dyDescent="0.25">
      <c r="A446" s="13">
        <v>445</v>
      </c>
      <c r="E446" s="13">
        <f t="shared" si="21"/>
        <v>445</v>
      </c>
      <c r="F446" s="13">
        <f t="shared" si="22"/>
        <v>445</v>
      </c>
    </row>
    <row r="447" spans="1:11" x14ac:dyDescent="0.25">
      <c r="A447" s="13">
        <v>446</v>
      </c>
      <c r="E447" s="13">
        <f t="shared" si="21"/>
        <v>446</v>
      </c>
      <c r="F447" s="13">
        <f t="shared" si="22"/>
        <v>446</v>
      </c>
    </row>
    <row r="448" spans="1:11" x14ac:dyDescent="0.25">
      <c r="A448" s="13">
        <v>447</v>
      </c>
      <c r="E448" s="13">
        <f t="shared" si="21"/>
        <v>447</v>
      </c>
      <c r="F448" s="13">
        <f t="shared" si="22"/>
        <v>447</v>
      </c>
    </row>
    <row r="449" spans="1:6" x14ac:dyDescent="0.25">
      <c r="A449" s="13">
        <v>448</v>
      </c>
      <c r="E449" s="13">
        <f t="shared" si="21"/>
        <v>448</v>
      </c>
      <c r="F449" s="13">
        <f t="shared" si="22"/>
        <v>448</v>
      </c>
    </row>
    <row r="450" spans="1:6" x14ac:dyDescent="0.25">
      <c r="A450" s="13">
        <v>449</v>
      </c>
      <c r="E450" s="13">
        <f t="shared" si="21"/>
        <v>449</v>
      </c>
      <c r="F450" s="13">
        <f t="shared" si="22"/>
        <v>449</v>
      </c>
    </row>
    <row r="451" spans="1:6" x14ac:dyDescent="0.25">
      <c r="A451" s="13">
        <v>450</v>
      </c>
      <c r="E451" s="13">
        <f t="shared" si="21"/>
        <v>450</v>
      </c>
      <c r="F451" s="13">
        <f t="shared" si="22"/>
        <v>450</v>
      </c>
    </row>
    <row r="452" spans="1:6" x14ac:dyDescent="0.25">
      <c r="A452" s="13">
        <v>451</v>
      </c>
      <c r="E452" s="13">
        <f t="shared" si="21"/>
        <v>451</v>
      </c>
      <c r="F452" s="13">
        <f t="shared" si="22"/>
        <v>451</v>
      </c>
    </row>
    <row r="453" spans="1:6" x14ac:dyDescent="0.25">
      <c r="A453" s="13">
        <v>452</v>
      </c>
      <c r="E453" s="13">
        <f t="shared" si="21"/>
        <v>452</v>
      </c>
      <c r="F453" s="13">
        <f t="shared" si="22"/>
        <v>452</v>
      </c>
    </row>
    <row r="454" spans="1:6" x14ac:dyDescent="0.25">
      <c r="A454" s="13">
        <v>453</v>
      </c>
      <c r="E454" s="13">
        <f t="shared" si="21"/>
        <v>453</v>
      </c>
      <c r="F454" s="13">
        <f t="shared" si="22"/>
        <v>453</v>
      </c>
    </row>
    <row r="455" spans="1:6" x14ac:dyDescent="0.25">
      <c r="A455" s="13">
        <v>454</v>
      </c>
      <c r="E455" s="13">
        <f t="shared" si="21"/>
        <v>454</v>
      </c>
      <c r="F455" s="13">
        <f t="shared" si="22"/>
        <v>454</v>
      </c>
    </row>
    <row r="456" spans="1:6" x14ac:dyDescent="0.25">
      <c r="A456" s="13">
        <v>455</v>
      </c>
      <c r="E456" s="13">
        <f t="shared" si="21"/>
        <v>455</v>
      </c>
      <c r="F456" s="13">
        <f t="shared" si="22"/>
        <v>455</v>
      </c>
    </row>
    <row r="457" spans="1:6" x14ac:dyDescent="0.25">
      <c r="A457" s="13">
        <v>456</v>
      </c>
      <c r="E457" s="13">
        <f t="shared" si="21"/>
        <v>456</v>
      </c>
      <c r="F457" s="13">
        <f t="shared" si="22"/>
        <v>456</v>
      </c>
    </row>
    <row r="458" spans="1:6" x14ac:dyDescent="0.25">
      <c r="A458" s="13">
        <v>457</v>
      </c>
      <c r="E458" s="13">
        <f t="shared" si="21"/>
        <v>457</v>
      </c>
      <c r="F458" s="13">
        <f t="shared" si="22"/>
        <v>457</v>
      </c>
    </row>
    <row r="459" spans="1:6" x14ac:dyDescent="0.25">
      <c r="A459" s="13">
        <v>458</v>
      </c>
      <c r="E459" s="13">
        <f t="shared" si="21"/>
        <v>458</v>
      </c>
      <c r="F459" s="13">
        <f t="shared" si="22"/>
        <v>458</v>
      </c>
    </row>
    <row r="460" spans="1:6" x14ac:dyDescent="0.25">
      <c r="A460" s="13">
        <v>459</v>
      </c>
      <c r="E460" s="13">
        <f t="shared" si="21"/>
        <v>459</v>
      </c>
      <c r="F460" s="13">
        <f t="shared" si="22"/>
        <v>459</v>
      </c>
    </row>
    <row r="461" spans="1:6" x14ac:dyDescent="0.25">
      <c r="A461" s="13">
        <v>460</v>
      </c>
      <c r="E461" s="13">
        <f t="shared" si="21"/>
        <v>460</v>
      </c>
      <c r="F461" s="13">
        <f t="shared" si="22"/>
        <v>460</v>
      </c>
    </row>
    <row r="462" spans="1:6" x14ac:dyDescent="0.25">
      <c r="A462" s="13">
        <v>461</v>
      </c>
      <c r="E462" s="13">
        <f t="shared" si="21"/>
        <v>461</v>
      </c>
      <c r="F462" s="13">
        <f t="shared" si="22"/>
        <v>461</v>
      </c>
    </row>
    <row r="463" spans="1:6" x14ac:dyDescent="0.25">
      <c r="A463" s="13">
        <v>462</v>
      </c>
      <c r="E463" s="13">
        <f t="shared" si="21"/>
        <v>462</v>
      </c>
      <c r="F463" s="13">
        <f t="shared" si="22"/>
        <v>462</v>
      </c>
    </row>
    <row r="464" spans="1:6" x14ac:dyDescent="0.25">
      <c r="A464" s="13">
        <v>463</v>
      </c>
      <c r="E464" s="13">
        <f t="shared" si="21"/>
        <v>463</v>
      </c>
      <c r="F464" s="13">
        <f t="shared" si="22"/>
        <v>463</v>
      </c>
    </row>
    <row r="465" spans="1:6" x14ac:dyDescent="0.25">
      <c r="A465" s="13">
        <v>464</v>
      </c>
      <c r="E465" s="13">
        <f t="shared" si="21"/>
        <v>464</v>
      </c>
      <c r="F465" s="13">
        <f t="shared" si="22"/>
        <v>464</v>
      </c>
    </row>
    <row r="466" spans="1:6" x14ac:dyDescent="0.25">
      <c r="A466" s="13">
        <v>465</v>
      </c>
      <c r="E466" s="13">
        <f t="shared" si="21"/>
        <v>465</v>
      </c>
      <c r="F466" s="13">
        <f t="shared" si="22"/>
        <v>465</v>
      </c>
    </row>
    <row r="467" spans="1:6" x14ac:dyDescent="0.25">
      <c r="A467" s="13">
        <v>466</v>
      </c>
      <c r="E467" s="13">
        <f t="shared" si="21"/>
        <v>466</v>
      </c>
      <c r="F467" s="13">
        <f t="shared" si="22"/>
        <v>466</v>
      </c>
    </row>
    <row r="468" spans="1:6" x14ac:dyDescent="0.25">
      <c r="A468" s="13">
        <v>467</v>
      </c>
      <c r="E468" s="13">
        <f t="shared" si="21"/>
        <v>467</v>
      </c>
      <c r="F468" s="13">
        <f t="shared" si="22"/>
        <v>467</v>
      </c>
    </row>
    <row r="469" spans="1:6" x14ac:dyDescent="0.25">
      <c r="A469" s="13">
        <v>468</v>
      </c>
      <c r="E469" s="13">
        <f t="shared" si="21"/>
        <v>468</v>
      </c>
      <c r="F469" s="13">
        <f t="shared" si="22"/>
        <v>468</v>
      </c>
    </row>
    <row r="470" spans="1:6" x14ac:dyDescent="0.25">
      <c r="A470" s="13">
        <v>469</v>
      </c>
      <c r="E470" s="13">
        <f t="shared" si="21"/>
        <v>469</v>
      </c>
      <c r="F470" s="13">
        <f t="shared" si="22"/>
        <v>469</v>
      </c>
    </row>
    <row r="471" spans="1:6" x14ac:dyDescent="0.25">
      <c r="A471" s="13">
        <v>470</v>
      </c>
      <c r="E471" s="13">
        <f t="shared" si="21"/>
        <v>470</v>
      </c>
      <c r="F471" s="13">
        <f t="shared" si="22"/>
        <v>470</v>
      </c>
    </row>
    <row r="472" spans="1:6" x14ac:dyDescent="0.25">
      <c r="A472" s="13">
        <v>471</v>
      </c>
      <c r="E472" s="13">
        <f t="shared" si="21"/>
        <v>471</v>
      </c>
      <c r="F472" s="13">
        <f t="shared" si="22"/>
        <v>471</v>
      </c>
    </row>
    <row r="473" spans="1:6" x14ac:dyDescent="0.25">
      <c r="A473" s="13">
        <v>472</v>
      </c>
      <c r="E473" s="13">
        <f t="shared" si="21"/>
        <v>472</v>
      </c>
      <c r="F473" s="13">
        <f t="shared" si="22"/>
        <v>472</v>
      </c>
    </row>
    <row r="474" spans="1:6" x14ac:dyDescent="0.25">
      <c r="A474" s="13">
        <v>473</v>
      </c>
      <c r="E474" s="13">
        <f t="shared" si="21"/>
        <v>473</v>
      </c>
      <c r="F474" s="13">
        <f t="shared" si="22"/>
        <v>473</v>
      </c>
    </row>
    <row r="475" spans="1:6" x14ac:dyDescent="0.25">
      <c r="A475" s="13">
        <v>474</v>
      </c>
      <c r="E475" s="13">
        <f t="shared" si="21"/>
        <v>474</v>
      </c>
      <c r="F475" s="13">
        <f t="shared" si="22"/>
        <v>474</v>
      </c>
    </row>
    <row r="476" spans="1:6" x14ac:dyDescent="0.25">
      <c r="A476" s="13">
        <v>475</v>
      </c>
      <c r="E476" s="13">
        <f t="shared" si="21"/>
        <v>475</v>
      </c>
      <c r="F476" s="13">
        <f t="shared" si="22"/>
        <v>475</v>
      </c>
    </row>
    <row r="477" spans="1:6" x14ac:dyDescent="0.25">
      <c r="A477" s="13">
        <v>476</v>
      </c>
      <c r="E477" s="13">
        <f t="shared" si="21"/>
        <v>476</v>
      </c>
      <c r="F477" s="13">
        <f t="shared" si="22"/>
        <v>476</v>
      </c>
    </row>
    <row r="478" spans="1:6" x14ac:dyDescent="0.25">
      <c r="A478" s="13">
        <v>477</v>
      </c>
      <c r="E478" s="13">
        <f t="shared" si="21"/>
        <v>477</v>
      </c>
      <c r="F478" s="13">
        <f t="shared" si="22"/>
        <v>477</v>
      </c>
    </row>
    <row r="479" spans="1:6" x14ac:dyDescent="0.25">
      <c r="A479" s="13">
        <v>478</v>
      </c>
      <c r="E479" s="13">
        <f t="shared" si="21"/>
        <v>478</v>
      </c>
      <c r="F479" s="13">
        <f t="shared" si="22"/>
        <v>478</v>
      </c>
    </row>
    <row r="480" spans="1:6" x14ac:dyDescent="0.25">
      <c r="A480" s="13">
        <v>479</v>
      </c>
      <c r="E480" s="13">
        <f t="shared" si="21"/>
        <v>479</v>
      </c>
      <c r="F480" s="13">
        <f t="shared" si="22"/>
        <v>479</v>
      </c>
    </row>
    <row r="481" spans="1:6" x14ac:dyDescent="0.25">
      <c r="A481" s="13">
        <v>480</v>
      </c>
      <c r="E481" s="13">
        <f t="shared" si="21"/>
        <v>480</v>
      </c>
      <c r="F481" s="13">
        <f t="shared" si="22"/>
        <v>480</v>
      </c>
    </row>
    <row r="482" spans="1:6" x14ac:dyDescent="0.25">
      <c r="A482" s="13">
        <v>481</v>
      </c>
      <c r="E482" s="13">
        <f t="shared" ref="E482:E501" si="24">A482</f>
        <v>481</v>
      </c>
      <c r="F482" s="13">
        <f t="shared" ref="F482:F501" si="25">A482</f>
        <v>481</v>
      </c>
    </row>
    <row r="483" spans="1:6" x14ac:dyDescent="0.25">
      <c r="A483" s="13">
        <v>482</v>
      </c>
      <c r="E483" s="13">
        <f t="shared" si="24"/>
        <v>482</v>
      </c>
      <c r="F483" s="13">
        <f t="shared" si="25"/>
        <v>482</v>
      </c>
    </row>
    <row r="484" spans="1:6" x14ac:dyDescent="0.25">
      <c r="A484" s="13">
        <v>483</v>
      </c>
      <c r="E484" s="13">
        <f t="shared" si="24"/>
        <v>483</v>
      </c>
      <c r="F484" s="13">
        <f t="shared" si="25"/>
        <v>483</v>
      </c>
    </row>
    <row r="485" spans="1:6" x14ac:dyDescent="0.25">
      <c r="A485" s="13">
        <v>484</v>
      </c>
      <c r="E485" s="13">
        <f t="shared" si="24"/>
        <v>484</v>
      </c>
      <c r="F485" s="13">
        <f t="shared" si="25"/>
        <v>484</v>
      </c>
    </row>
    <row r="486" spans="1:6" x14ac:dyDescent="0.25">
      <c r="A486" s="13">
        <v>485</v>
      </c>
      <c r="E486" s="13">
        <f t="shared" si="24"/>
        <v>485</v>
      </c>
      <c r="F486" s="13">
        <f t="shared" si="25"/>
        <v>485</v>
      </c>
    </row>
    <row r="487" spans="1:6" x14ac:dyDescent="0.25">
      <c r="A487" s="13">
        <v>486</v>
      </c>
      <c r="E487" s="13">
        <f t="shared" si="24"/>
        <v>486</v>
      </c>
      <c r="F487" s="13">
        <f t="shared" si="25"/>
        <v>486</v>
      </c>
    </row>
    <row r="488" spans="1:6" x14ac:dyDescent="0.25">
      <c r="A488" s="13">
        <v>487</v>
      </c>
      <c r="E488" s="13">
        <f t="shared" si="24"/>
        <v>487</v>
      </c>
      <c r="F488" s="13">
        <f t="shared" si="25"/>
        <v>487</v>
      </c>
    </row>
    <row r="489" spans="1:6" x14ac:dyDescent="0.25">
      <c r="A489" s="13">
        <v>488</v>
      </c>
      <c r="E489" s="13">
        <f t="shared" si="24"/>
        <v>488</v>
      </c>
      <c r="F489" s="13">
        <f t="shared" si="25"/>
        <v>488</v>
      </c>
    </row>
    <row r="490" spans="1:6" x14ac:dyDescent="0.25">
      <c r="A490" s="13">
        <v>489</v>
      </c>
      <c r="E490" s="13">
        <f t="shared" si="24"/>
        <v>489</v>
      </c>
      <c r="F490" s="13">
        <f t="shared" si="25"/>
        <v>489</v>
      </c>
    </row>
    <row r="491" spans="1:6" x14ac:dyDescent="0.25">
      <c r="A491" s="13">
        <v>490</v>
      </c>
      <c r="E491" s="13">
        <f t="shared" si="24"/>
        <v>490</v>
      </c>
      <c r="F491" s="13">
        <f t="shared" si="25"/>
        <v>490</v>
      </c>
    </row>
    <row r="492" spans="1:6" x14ac:dyDescent="0.25">
      <c r="A492" s="13">
        <v>491</v>
      </c>
      <c r="E492" s="13">
        <f t="shared" si="24"/>
        <v>491</v>
      </c>
      <c r="F492" s="13">
        <f t="shared" si="25"/>
        <v>491</v>
      </c>
    </row>
    <row r="493" spans="1:6" x14ac:dyDescent="0.25">
      <c r="A493" s="13">
        <v>492</v>
      </c>
      <c r="E493" s="13">
        <f t="shared" si="24"/>
        <v>492</v>
      </c>
      <c r="F493" s="13">
        <f t="shared" si="25"/>
        <v>492</v>
      </c>
    </row>
    <row r="494" spans="1:6" x14ac:dyDescent="0.25">
      <c r="A494" s="13">
        <v>493</v>
      </c>
      <c r="E494" s="13">
        <f t="shared" si="24"/>
        <v>493</v>
      </c>
      <c r="F494" s="13">
        <f t="shared" si="25"/>
        <v>493</v>
      </c>
    </row>
    <row r="495" spans="1:6" x14ac:dyDescent="0.25">
      <c r="A495" s="13">
        <v>494</v>
      </c>
      <c r="E495" s="13">
        <f t="shared" si="24"/>
        <v>494</v>
      </c>
      <c r="F495" s="13">
        <f t="shared" si="25"/>
        <v>494</v>
      </c>
    </row>
    <row r="496" spans="1:6" x14ac:dyDescent="0.25">
      <c r="A496" s="13">
        <v>495</v>
      </c>
      <c r="E496" s="13">
        <f t="shared" si="24"/>
        <v>495</v>
      </c>
      <c r="F496" s="13">
        <f t="shared" si="25"/>
        <v>495</v>
      </c>
    </row>
    <row r="497" spans="1:6" x14ac:dyDescent="0.25">
      <c r="A497" s="13">
        <v>496</v>
      </c>
      <c r="E497" s="13">
        <f t="shared" si="24"/>
        <v>496</v>
      </c>
      <c r="F497" s="13">
        <f t="shared" si="25"/>
        <v>496</v>
      </c>
    </row>
    <row r="498" spans="1:6" x14ac:dyDescent="0.25">
      <c r="A498" s="13">
        <v>497</v>
      </c>
      <c r="E498" s="13">
        <f t="shared" si="24"/>
        <v>497</v>
      </c>
      <c r="F498" s="13">
        <f t="shared" si="25"/>
        <v>497</v>
      </c>
    </row>
    <row r="499" spans="1:6" x14ac:dyDescent="0.25">
      <c r="A499" s="13">
        <v>498</v>
      </c>
      <c r="E499" s="13">
        <f t="shared" si="24"/>
        <v>498</v>
      </c>
      <c r="F499" s="13">
        <f t="shared" si="25"/>
        <v>498</v>
      </c>
    </row>
    <row r="500" spans="1:6" x14ac:dyDescent="0.25">
      <c r="A500" s="13">
        <v>499</v>
      </c>
      <c r="E500" s="13">
        <f t="shared" si="24"/>
        <v>499</v>
      </c>
      <c r="F500" s="13">
        <f t="shared" si="25"/>
        <v>499</v>
      </c>
    </row>
    <row r="501" spans="1:6" x14ac:dyDescent="0.25">
      <c r="A501" s="13">
        <v>500</v>
      </c>
      <c r="E501" s="13">
        <f t="shared" si="24"/>
        <v>500</v>
      </c>
      <c r="F501" s="13">
        <f t="shared" si="25"/>
        <v>500</v>
      </c>
    </row>
  </sheetData>
  <autoFilter ref="A1:K201" xr:uid="{3EEA8A6B-8BE4-4406-833E-B39BA3A5BFDC}">
    <sortState ref="A2:K417">
      <sortCondition ref="B1:B20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270F6-9341-400E-AD11-880978F9790F}">
  <dimension ref="A1:G595"/>
  <sheetViews>
    <sheetView workbookViewId="0">
      <pane ySplit="1" topLeftCell="A581" activePane="bottomLeft" state="frozen"/>
      <selection pane="bottomLeft" activeCell="A595" sqref="A595"/>
    </sheetView>
  </sheetViews>
  <sheetFormatPr defaultRowHeight="15" x14ac:dyDescent="0.25"/>
  <cols>
    <col min="1" max="1" width="8.28515625" style="1" bestFit="1" customWidth="1"/>
    <col min="2" max="2" width="19.140625" style="1" bestFit="1" customWidth="1"/>
    <col min="3" max="3" width="17.42578125" style="1" bestFit="1" customWidth="1"/>
    <col min="4" max="4" width="22.42578125" style="1" bestFit="1" customWidth="1"/>
    <col min="5" max="5" width="19.42578125" style="1" bestFit="1" customWidth="1"/>
    <col min="6" max="6" width="21.5703125" style="18" bestFit="1" customWidth="1"/>
    <col min="7" max="7" width="23.85546875" style="1" bestFit="1" customWidth="1"/>
    <col min="8" max="16384" width="9.140625" style="1"/>
  </cols>
  <sheetData>
    <row r="1" spans="1:7" s="10" customFormat="1" ht="15.75" customHeight="1" x14ac:dyDescent="0.25">
      <c r="A1" s="11" t="s">
        <v>4</v>
      </c>
      <c r="B1" s="11" t="s">
        <v>11</v>
      </c>
      <c r="C1" s="11" t="s">
        <v>12</v>
      </c>
      <c r="D1" s="11" t="s">
        <v>13</v>
      </c>
      <c r="E1" s="11" t="s">
        <v>14</v>
      </c>
      <c r="F1" s="12" t="s">
        <v>15</v>
      </c>
      <c r="G1" s="10" t="s">
        <v>16</v>
      </c>
    </row>
    <row r="2" spans="1:7" x14ac:dyDescent="0.25">
      <c r="A2" s="13">
        <v>1</v>
      </c>
      <c r="B2" s="1" t="s">
        <v>44</v>
      </c>
      <c r="C2" s="1" t="s">
        <v>46</v>
      </c>
      <c r="D2" s="1" t="s">
        <v>44</v>
      </c>
      <c r="E2" s="1" t="s">
        <v>46</v>
      </c>
      <c r="F2" s="18">
        <v>1.5</v>
      </c>
      <c r="G2" s="1">
        <f ca="1">CHOOSE(RANDBETWEEN(1,4),0.5,1,1.5,2)</f>
        <v>1</v>
      </c>
    </row>
    <row r="3" spans="1:7" x14ac:dyDescent="0.25">
      <c r="A3" s="13">
        <v>2</v>
      </c>
      <c r="B3" s="1" t="s">
        <v>47</v>
      </c>
      <c r="C3" s="1" t="s">
        <v>48</v>
      </c>
      <c r="D3" s="1" t="s">
        <v>47</v>
      </c>
      <c r="E3" s="1" t="s">
        <v>49</v>
      </c>
      <c r="F3" s="18">
        <v>2.6</v>
      </c>
      <c r="G3" s="1">
        <f t="shared" ref="G3:G66" ca="1" si="0">CHOOSE(RANDBETWEEN(1,4),0.5,1,1.5,2)</f>
        <v>2</v>
      </c>
    </row>
    <row r="4" spans="1:7" x14ac:dyDescent="0.25">
      <c r="A4" s="13">
        <v>3</v>
      </c>
      <c r="B4" s="1" t="s">
        <v>47</v>
      </c>
      <c r="C4" s="1" t="s">
        <v>50</v>
      </c>
      <c r="D4" s="1" t="s">
        <v>47</v>
      </c>
      <c r="E4" s="1" t="s">
        <v>50</v>
      </c>
      <c r="F4" s="18">
        <v>2.2999999999999998</v>
      </c>
      <c r="G4" s="1">
        <f t="shared" ca="1" si="0"/>
        <v>1</v>
      </c>
    </row>
    <row r="5" spans="1:7" x14ac:dyDescent="0.25">
      <c r="A5" s="13">
        <v>4</v>
      </c>
      <c r="B5" s="1" t="s">
        <v>47</v>
      </c>
      <c r="C5" s="1" t="s">
        <v>51</v>
      </c>
      <c r="D5" s="1" t="s">
        <v>47</v>
      </c>
      <c r="E5" s="1" t="s">
        <v>52</v>
      </c>
      <c r="F5" s="18">
        <v>6</v>
      </c>
      <c r="G5" s="1">
        <f t="shared" ca="1" si="0"/>
        <v>2</v>
      </c>
    </row>
    <row r="6" spans="1:7" x14ac:dyDescent="0.25">
      <c r="A6" s="13">
        <v>5</v>
      </c>
      <c r="B6" s="1" t="s">
        <v>47</v>
      </c>
      <c r="C6" s="1" t="s">
        <v>51</v>
      </c>
      <c r="D6" s="1" t="s">
        <v>47</v>
      </c>
      <c r="E6" s="1" t="s">
        <v>46</v>
      </c>
      <c r="F6" s="18">
        <v>5.0999999999999996</v>
      </c>
      <c r="G6" s="1">
        <f t="shared" ca="1" si="0"/>
        <v>1</v>
      </c>
    </row>
    <row r="7" spans="1:7" x14ac:dyDescent="0.25">
      <c r="A7" s="13">
        <v>6</v>
      </c>
      <c r="B7" s="1">
        <v>0</v>
      </c>
      <c r="C7" s="1">
        <v>0</v>
      </c>
      <c r="D7" s="1">
        <v>0</v>
      </c>
      <c r="E7" s="1">
        <v>0</v>
      </c>
      <c r="F7" s="18">
        <v>0</v>
      </c>
      <c r="G7" s="1">
        <f t="shared" ca="1" si="0"/>
        <v>1.5</v>
      </c>
    </row>
    <row r="8" spans="1:7" x14ac:dyDescent="0.25">
      <c r="A8" s="13">
        <v>7</v>
      </c>
      <c r="B8" s="1" t="s">
        <v>47</v>
      </c>
      <c r="C8" s="1" t="s">
        <v>48</v>
      </c>
      <c r="D8" s="1" t="s">
        <v>47</v>
      </c>
      <c r="E8" s="1" t="s">
        <v>51</v>
      </c>
      <c r="F8" s="18">
        <v>3.5</v>
      </c>
      <c r="G8" s="1">
        <f t="shared" ca="1" si="0"/>
        <v>2</v>
      </c>
    </row>
    <row r="9" spans="1:7" x14ac:dyDescent="0.25">
      <c r="A9" s="13">
        <v>8</v>
      </c>
      <c r="B9" s="1">
        <v>0</v>
      </c>
      <c r="C9" s="1">
        <v>0</v>
      </c>
      <c r="D9" s="1">
        <v>0</v>
      </c>
      <c r="E9" s="1">
        <v>0</v>
      </c>
      <c r="F9" s="18">
        <v>0</v>
      </c>
      <c r="G9" s="1">
        <f t="shared" ca="1" si="0"/>
        <v>0.5</v>
      </c>
    </row>
    <row r="10" spans="1:7" x14ac:dyDescent="0.25">
      <c r="A10" s="13">
        <v>9</v>
      </c>
      <c r="B10" s="1" t="s">
        <v>47</v>
      </c>
      <c r="C10" s="1" t="s">
        <v>53</v>
      </c>
      <c r="D10" s="1" t="s">
        <v>47</v>
      </c>
      <c r="E10" s="1" t="s">
        <v>54</v>
      </c>
      <c r="F10" s="18">
        <v>5.0999999999999996</v>
      </c>
      <c r="G10" s="1">
        <f t="shared" ca="1" si="0"/>
        <v>2</v>
      </c>
    </row>
    <row r="11" spans="1:7" x14ac:dyDescent="0.25">
      <c r="A11" s="13">
        <v>10</v>
      </c>
      <c r="B11" s="1" t="s">
        <v>56</v>
      </c>
      <c r="C11" s="1" t="s">
        <v>57</v>
      </c>
      <c r="D11" s="1" t="s">
        <v>56</v>
      </c>
      <c r="E11" s="1" t="s">
        <v>46</v>
      </c>
      <c r="F11" s="18">
        <v>3.5</v>
      </c>
      <c r="G11" s="1">
        <f t="shared" ca="1" si="0"/>
        <v>2</v>
      </c>
    </row>
    <row r="12" spans="1:7" x14ac:dyDescent="0.25">
      <c r="A12" s="13">
        <v>11</v>
      </c>
      <c r="B12" s="1">
        <v>0</v>
      </c>
      <c r="C12" s="1">
        <v>0</v>
      </c>
      <c r="D12" s="1">
        <v>0</v>
      </c>
      <c r="E12" s="1">
        <v>0</v>
      </c>
      <c r="F12" s="18">
        <v>0</v>
      </c>
      <c r="G12" s="1">
        <f t="shared" ca="1" si="0"/>
        <v>0.5</v>
      </c>
    </row>
    <row r="13" spans="1:7" x14ac:dyDescent="0.25">
      <c r="A13" s="13">
        <v>12</v>
      </c>
      <c r="B13" s="1" t="s">
        <v>47</v>
      </c>
      <c r="C13" s="1" t="s">
        <v>58</v>
      </c>
      <c r="D13" s="1" t="s">
        <v>47</v>
      </c>
      <c r="E13" s="1" t="s">
        <v>51</v>
      </c>
      <c r="F13" s="18">
        <v>2.8</v>
      </c>
      <c r="G13" s="1">
        <f t="shared" ca="1" si="0"/>
        <v>0.5</v>
      </c>
    </row>
    <row r="14" spans="1:7" x14ac:dyDescent="0.25">
      <c r="A14" s="13">
        <v>13</v>
      </c>
      <c r="B14" s="1" t="s">
        <v>47</v>
      </c>
      <c r="C14" s="1" t="s">
        <v>51</v>
      </c>
      <c r="D14" s="1" t="s">
        <v>47</v>
      </c>
      <c r="E14" s="1" t="s">
        <v>59</v>
      </c>
      <c r="F14" s="18">
        <v>2.8</v>
      </c>
      <c r="G14" s="1">
        <f t="shared" ca="1" si="0"/>
        <v>0.5</v>
      </c>
    </row>
    <row r="15" spans="1:7" x14ac:dyDescent="0.25">
      <c r="A15" s="13">
        <v>14</v>
      </c>
      <c r="B15" s="1" t="s">
        <v>47</v>
      </c>
      <c r="C15" s="1" t="s">
        <v>60</v>
      </c>
      <c r="D15" s="1" t="s">
        <v>44</v>
      </c>
      <c r="E15" s="1" t="s">
        <v>61</v>
      </c>
      <c r="F15" s="18">
        <v>17.100000000000001</v>
      </c>
      <c r="G15" s="1">
        <f t="shared" ca="1" si="0"/>
        <v>1</v>
      </c>
    </row>
    <row r="16" spans="1:7" x14ac:dyDescent="0.25">
      <c r="A16" s="13">
        <v>15</v>
      </c>
      <c r="B16" s="1" t="s">
        <v>44</v>
      </c>
      <c r="C16" s="1" t="s">
        <v>62</v>
      </c>
      <c r="D16" s="1" t="s">
        <v>47</v>
      </c>
      <c r="E16" s="1" t="s">
        <v>63</v>
      </c>
      <c r="F16" s="18">
        <v>8.6</v>
      </c>
      <c r="G16" s="1">
        <f t="shared" ca="1" si="0"/>
        <v>0.5</v>
      </c>
    </row>
    <row r="17" spans="1:7" x14ac:dyDescent="0.25">
      <c r="A17" s="13">
        <v>16</v>
      </c>
      <c r="B17" s="1" t="s">
        <v>47</v>
      </c>
      <c r="C17" s="1" t="s">
        <v>64</v>
      </c>
      <c r="D17" s="1" t="s">
        <v>47</v>
      </c>
      <c r="E17" s="1" t="s">
        <v>65</v>
      </c>
      <c r="F17" s="18">
        <v>1.9</v>
      </c>
      <c r="G17" s="1">
        <f t="shared" ca="1" si="0"/>
        <v>1.5</v>
      </c>
    </row>
    <row r="18" spans="1:7" x14ac:dyDescent="0.25">
      <c r="A18" s="13">
        <v>17</v>
      </c>
      <c r="B18" s="1" t="s">
        <v>47</v>
      </c>
      <c r="C18" s="1" t="s">
        <v>66</v>
      </c>
      <c r="D18" s="1" t="s">
        <v>47</v>
      </c>
      <c r="E18" s="1" t="s">
        <v>67</v>
      </c>
      <c r="F18" s="18">
        <v>3.1</v>
      </c>
      <c r="G18" s="1">
        <f t="shared" ca="1" si="0"/>
        <v>1.5</v>
      </c>
    </row>
    <row r="19" spans="1:7" x14ac:dyDescent="0.25">
      <c r="A19" s="13">
        <v>18</v>
      </c>
      <c r="B19" s="1">
        <v>0</v>
      </c>
      <c r="C19" s="1">
        <v>0</v>
      </c>
      <c r="D19" s="1">
        <v>0</v>
      </c>
      <c r="E19" s="1">
        <v>0</v>
      </c>
      <c r="F19" s="18">
        <v>0</v>
      </c>
      <c r="G19" s="1">
        <f t="shared" ca="1" si="0"/>
        <v>0.5</v>
      </c>
    </row>
    <row r="20" spans="1:7" x14ac:dyDescent="0.25">
      <c r="A20" s="13">
        <v>19</v>
      </c>
      <c r="B20" s="1" t="s">
        <v>47</v>
      </c>
      <c r="C20" s="1" t="s">
        <v>51</v>
      </c>
      <c r="D20" s="1" t="s">
        <v>47</v>
      </c>
      <c r="E20" s="1" t="s">
        <v>68</v>
      </c>
      <c r="F20" s="18">
        <v>13.2</v>
      </c>
      <c r="G20" s="1">
        <f t="shared" ca="1" si="0"/>
        <v>1.5</v>
      </c>
    </row>
    <row r="21" spans="1:7" x14ac:dyDescent="0.25">
      <c r="A21" s="13">
        <v>20</v>
      </c>
      <c r="B21" s="1" t="s">
        <v>47</v>
      </c>
      <c r="C21" s="1" t="s">
        <v>69</v>
      </c>
      <c r="D21" s="1" t="s">
        <v>47</v>
      </c>
      <c r="E21" s="1" t="s">
        <v>70</v>
      </c>
      <c r="F21" s="18">
        <v>2.4</v>
      </c>
      <c r="G21" s="1">
        <f t="shared" ca="1" si="0"/>
        <v>0.5</v>
      </c>
    </row>
    <row r="22" spans="1:7" x14ac:dyDescent="0.25">
      <c r="A22" s="13">
        <v>21</v>
      </c>
      <c r="B22" s="1" t="s">
        <v>47</v>
      </c>
      <c r="C22" s="1" t="s">
        <v>67</v>
      </c>
      <c r="D22" s="1" t="s">
        <v>47</v>
      </c>
      <c r="E22" s="1" t="s">
        <v>66</v>
      </c>
      <c r="F22" s="18">
        <v>1.5</v>
      </c>
      <c r="G22" s="1">
        <f t="shared" ca="1" si="0"/>
        <v>0.5</v>
      </c>
    </row>
    <row r="23" spans="1:7" x14ac:dyDescent="0.25">
      <c r="A23" s="13">
        <v>22</v>
      </c>
      <c r="B23" s="1" t="s">
        <v>47</v>
      </c>
      <c r="C23" s="1" t="s">
        <v>71</v>
      </c>
      <c r="D23" s="1" t="s">
        <v>47</v>
      </c>
      <c r="E23" s="1" t="s">
        <v>71</v>
      </c>
      <c r="F23" s="18">
        <v>0.5</v>
      </c>
      <c r="G23" s="1">
        <f t="shared" ca="1" si="0"/>
        <v>0.5</v>
      </c>
    </row>
    <row r="24" spans="1:7" x14ac:dyDescent="0.25">
      <c r="A24" s="13">
        <v>23</v>
      </c>
      <c r="B24" s="1" t="s">
        <v>47</v>
      </c>
      <c r="C24" s="1" t="s">
        <v>51</v>
      </c>
      <c r="D24" s="1" t="s">
        <v>47</v>
      </c>
      <c r="E24" s="1" t="s">
        <v>54</v>
      </c>
      <c r="F24" s="18">
        <v>2</v>
      </c>
      <c r="G24" s="1">
        <f t="shared" ca="1" si="0"/>
        <v>2</v>
      </c>
    </row>
    <row r="25" spans="1:7" x14ac:dyDescent="0.25">
      <c r="A25" s="13">
        <v>24</v>
      </c>
      <c r="B25" s="1" t="s">
        <v>44</v>
      </c>
      <c r="C25" s="1" t="s">
        <v>46</v>
      </c>
      <c r="D25" s="1" t="s">
        <v>44</v>
      </c>
      <c r="E25" s="1" t="s">
        <v>72</v>
      </c>
      <c r="F25" s="18">
        <v>4</v>
      </c>
      <c r="G25" s="1">
        <f t="shared" ca="1" si="0"/>
        <v>2</v>
      </c>
    </row>
    <row r="26" spans="1:7" x14ac:dyDescent="0.25">
      <c r="A26" s="13">
        <v>25</v>
      </c>
      <c r="B26" s="1" t="s">
        <v>47</v>
      </c>
      <c r="C26" s="1" t="s">
        <v>54</v>
      </c>
      <c r="D26" s="1" t="s">
        <v>47</v>
      </c>
      <c r="E26" s="1" t="s">
        <v>54</v>
      </c>
      <c r="F26" s="18">
        <v>2.4</v>
      </c>
      <c r="G26" s="1">
        <f t="shared" ca="1" si="0"/>
        <v>1.5</v>
      </c>
    </row>
    <row r="27" spans="1:7" x14ac:dyDescent="0.25">
      <c r="A27" s="13">
        <v>26</v>
      </c>
      <c r="B27" s="1" t="s">
        <v>47</v>
      </c>
      <c r="C27" s="1" t="s">
        <v>73</v>
      </c>
      <c r="D27" s="1" t="s">
        <v>44</v>
      </c>
      <c r="E27" s="1" t="s">
        <v>62</v>
      </c>
      <c r="F27" s="18">
        <v>19</v>
      </c>
      <c r="G27" s="1">
        <f t="shared" ca="1" si="0"/>
        <v>0.5</v>
      </c>
    </row>
    <row r="28" spans="1:7" x14ac:dyDescent="0.25">
      <c r="A28" s="13">
        <v>27</v>
      </c>
      <c r="B28" s="1" t="s">
        <v>44</v>
      </c>
      <c r="C28" s="1" t="s">
        <v>62</v>
      </c>
      <c r="D28" s="1" t="s">
        <v>44</v>
      </c>
      <c r="E28" s="1" t="s">
        <v>46</v>
      </c>
      <c r="F28" s="18">
        <v>4.0999999999999996</v>
      </c>
      <c r="G28" s="1">
        <f t="shared" ca="1" si="0"/>
        <v>0.5</v>
      </c>
    </row>
    <row r="29" spans="1:7" x14ac:dyDescent="0.25">
      <c r="A29" s="13">
        <v>28</v>
      </c>
      <c r="B29" s="1" t="s">
        <v>44</v>
      </c>
      <c r="C29" s="1" t="s">
        <v>46</v>
      </c>
      <c r="D29" s="1" t="s">
        <v>44</v>
      </c>
      <c r="E29" s="1" t="s">
        <v>74</v>
      </c>
      <c r="F29" s="18">
        <v>2.6</v>
      </c>
      <c r="G29" s="1">
        <f t="shared" ca="1" si="0"/>
        <v>1.5</v>
      </c>
    </row>
    <row r="30" spans="1:7" x14ac:dyDescent="0.25">
      <c r="A30" s="13">
        <v>29</v>
      </c>
      <c r="B30" s="1" t="s">
        <v>44</v>
      </c>
      <c r="C30" s="1" t="s">
        <v>74</v>
      </c>
      <c r="D30" s="1" t="s">
        <v>44</v>
      </c>
      <c r="E30" s="1" t="s">
        <v>46</v>
      </c>
      <c r="F30" s="18">
        <v>2.2000000000000002</v>
      </c>
      <c r="G30" s="1">
        <f t="shared" ca="1" si="0"/>
        <v>0.5</v>
      </c>
    </row>
    <row r="31" spans="1:7" x14ac:dyDescent="0.25">
      <c r="A31" s="13">
        <v>30</v>
      </c>
      <c r="B31" s="1" t="s">
        <v>47</v>
      </c>
      <c r="C31" s="1" t="s">
        <v>75</v>
      </c>
      <c r="D31" s="1" t="s">
        <v>47</v>
      </c>
      <c r="E31" s="1" t="s">
        <v>76</v>
      </c>
      <c r="F31" s="18">
        <v>2.2000000000000002</v>
      </c>
      <c r="G31" s="1">
        <f t="shared" ca="1" si="0"/>
        <v>2</v>
      </c>
    </row>
    <row r="32" spans="1:7" x14ac:dyDescent="0.25">
      <c r="A32" s="13">
        <v>31</v>
      </c>
      <c r="B32" s="1" t="s">
        <v>47</v>
      </c>
      <c r="C32" s="1" t="s">
        <v>77</v>
      </c>
      <c r="D32" s="1" t="s">
        <v>47</v>
      </c>
      <c r="E32" s="1" t="s">
        <v>78</v>
      </c>
      <c r="F32" s="18">
        <v>9.4</v>
      </c>
      <c r="G32" s="1">
        <f t="shared" ca="1" si="0"/>
        <v>2</v>
      </c>
    </row>
    <row r="33" spans="1:7" x14ac:dyDescent="0.25">
      <c r="A33" s="13">
        <v>32</v>
      </c>
      <c r="B33" s="1" t="s">
        <v>44</v>
      </c>
      <c r="C33" s="1" t="s">
        <v>74</v>
      </c>
      <c r="D33" s="1" t="s">
        <v>44</v>
      </c>
      <c r="E33" s="1" t="s">
        <v>79</v>
      </c>
      <c r="F33" s="18">
        <v>8.3000000000000007</v>
      </c>
      <c r="G33" s="1">
        <f t="shared" ca="1" si="0"/>
        <v>1</v>
      </c>
    </row>
    <row r="34" spans="1:7" x14ac:dyDescent="0.25">
      <c r="A34" s="13">
        <v>33</v>
      </c>
      <c r="B34" s="1" t="s">
        <v>44</v>
      </c>
      <c r="C34" s="1" t="s">
        <v>79</v>
      </c>
      <c r="D34" s="1" t="s">
        <v>44</v>
      </c>
      <c r="E34" s="1" t="s">
        <v>46</v>
      </c>
      <c r="F34" s="18">
        <v>6</v>
      </c>
      <c r="G34" s="1">
        <f t="shared" ca="1" si="0"/>
        <v>1</v>
      </c>
    </row>
    <row r="35" spans="1:7" x14ac:dyDescent="0.25">
      <c r="A35" s="13">
        <v>34</v>
      </c>
      <c r="B35" s="1" t="s">
        <v>44</v>
      </c>
      <c r="C35" s="1" t="s">
        <v>46</v>
      </c>
      <c r="D35" s="1" t="s">
        <v>44</v>
      </c>
      <c r="E35" s="1" t="s">
        <v>62</v>
      </c>
      <c r="F35" s="18">
        <v>4.0999999999999996</v>
      </c>
      <c r="G35" s="1">
        <f t="shared" ca="1" si="0"/>
        <v>2</v>
      </c>
    </row>
    <row r="36" spans="1:7" x14ac:dyDescent="0.25">
      <c r="A36" s="13">
        <v>35</v>
      </c>
      <c r="B36" s="1" t="s">
        <v>44</v>
      </c>
      <c r="C36" s="1" t="s">
        <v>62</v>
      </c>
      <c r="D36" s="1" t="s">
        <v>47</v>
      </c>
      <c r="E36" s="1" t="s">
        <v>73</v>
      </c>
      <c r="F36" s="18">
        <v>19.600000000000001</v>
      </c>
      <c r="G36" s="1">
        <f t="shared" ca="1" si="0"/>
        <v>0.5</v>
      </c>
    </row>
    <row r="37" spans="1:7" x14ac:dyDescent="0.25">
      <c r="A37" s="13">
        <v>36</v>
      </c>
      <c r="B37" s="1" t="s">
        <v>47</v>
      </c>
      <c r="C37" s="1" t="s">
        <v>48</v>
      </c>
      <c r="D37" s="1" t="s">
        <v>47</v>
      </c>
      <c r="E37" s="1" t="s">
        <v>46</v>
      </c>
      <c r="F37" s="18">
        <v>2.1</v>
      </c>
      <c r="G37" s="1">
        <f t="shared" ca="1" si="0"/>
        <v>1.5</v>
      </c>
    </row>
    <row r="38" spans="1:7" x14ac:dyDescent="0.25">
      <c r="A38" s="13">
        <v>37</v>
      </c>
      <c r="B38" s="1" t="s">
        <v>47</v>
      </c>
      <c r="C38" s="1" t="s">
        <v>48</v>
      </c>
      <c r="D38" s="1" t="s">
        <v>47</v>
      </c>
      <c r="E38" s="1" t="s">
        <v>80</v>
      </c>
      <c r="F38" s="18">
        <v>5.2</v>
      </c>
      <c r="G38" s="1">
        <f t="shared" ca="1" si="0"/>
        <v>0.5</v>
      </c>
    </row>
    <row r="39" spans="1:7" x14ac:dyDescent="0.25">
      <c r="A39" s="13">
        <v>38</v>
      </c>
      <c r="B39" s="1" t="s">
        <v>47</v>
      </c>
      <c r="C39" s="1" t="s">
        <v>81</v>
      </c>
      <c r="D39" s="1" t="s">
        <v>82</v>
      </c>
      <c r="E39" s="1" t="s">
        <v>83</v>
      </c>
      <c r="F39" s="18">
        <v>29</v>
      </c>
      <c r="G39" s="1">
        <f t="shared" ca="1" si="0"/>
        <v>0.5</v>
      </c>
    </row>
    <row r="40" spans="1:7" x14ac:dyDescent="0.25">
      <c r="A40" s="13">
        <v>39</v>
      </c>
      <c r="B40" s="1" t="s">
        <v>82</v>
      </c>
      <c r="C40" s="1" t="s">
        <v>83</v>
      </c>
      <c r="D40" s="1" t="s">
        <v>82</v>
      </c>
      <c r="E40" s="1" t="s">
        <v>84</v>
      </c>
      <c r="F40" s="18">
        <v>3.9</v>
      </c>
      <c r="G40" s="1">
        <f t="shared" ca="1" si="0"/>
        <v>2</v>
      </c>
    </row>
    <row r="41" spans="1:7" x14ac:dyDescent="0.25">
      <c r="A41" s="13">
        <v>40</v>
      </c>
      <c r="B41" s="1" t="s">
        <v>47</v>
      </c>
      <c r="C41" s="1" t="s">
        <v>85</v>
      </c>
      <c r="D41" s="1" t="s">
        <v>44</v>
      </c>
      <c r="E41" s="1" t="s">
        <v>74</v>
      </c>
      <c r="F41" s="18">
        <v>17.399999999999999</v>
      </c>
      <c r="G41" s="1">
        <f t="shared" ca="1" si="0"/>
        <v>1</v>
      </c>
    </row>
    <row r="42" spans="1:7" x14ac:dyDescent="0.25">
      <c r="A42" s="13">
        <v>41</v>
      </c>
      <c r="B42" s="1" t="s">
        <v>44</v>
      </c>
      <c r="C42" s="1" t="s">
        <v>74</v>
      </c>
      <c r="D42" s="1" t="s">
        <v>44</v>
      </c>
      <c r="E42" s="1" t="s">
        <v>86</v>
      </c>
      <c r="F42" s="18">
        <v>2.7</v>
      </c>
      <c r="G42" s="1">
        <f t="shared" ca="1" si="0"/>
        <v>1</v>
      </c>
    </row>
    <row r="43" spans="1:7" x14ac:dyDescent="0.25">
      <c r="A43" s="13">
        <v>42</v>
      </c>
      <c r="B43" s="1" t="s">
        <v>44</v>
      </c>
      <c r="C43" s="1" t="s">
        <v>46</v>
      </c>
      <c r="D43" s="1" t="s">
        <v>44</v>
      </c>
      <c r="E43" s="1" t="s">
        <v>46</v>
      </c>
      <c r="F43" s="18">
        <v>0</v>
      </c>
      <c r="G43" s="1">
        <f t="shared" ca="1" si="0"/>
        <v>1.5</v>
      </c>
    </row>
    <row r="44" spans="1:7" x14ac:dyDescent="0.25">
      <c r="A44" s="13">
        <v>43</v>
      </c>
      <c r="B44" s="1" t="s">
        <v>44</v>
      </c>
      <c r="C44" s="1" t="s">
        <v>46</v>
      </c>
      <c r="D44" s="1" t="s">
        <v>44</v>
      </c>
      <c r="E44" s="1" t="s">
        <v>87</v>
      </c>
      <c r="F44" s="18">
        <v>5.8</v>
      </c>
      <c r="G44" s="1">
        <f t="shared" ca="1" si="0"/>
        <v>1</v>
      </c>
    </row>
    <row r="45" spans="1:7" x14ac:dyDescent="0.25">
      <c r="A45" s="13">
        <v>44</v>
      </c>
      <c r="B45" s="1" t="s">
        <v>44</v>
      </c>
      <c r="C45" s="1" t="s">
        <v>46</v>
      </c>
      <c r="D45" s="1" t="s">
        <v>44</v>
      </c>
      <c r="E45" s="1" t="s">
        <v>91</v>
      </c>
      <c r="F45" s="18">
        <v>4.8</v>
      </c>
      <c r="G45" s="1">
        <f ca="1">CHOOSE(RANDBETWEEN(1,4),0.5,1,1.5,2)</f>
        <v>0.5</v>
      </c>
    </row>
    <row r="46" spans="1:7" x14ac:dyDescent="0.25">
      <c r="A46" s="13">
        <v>45</v>
      </c>
      <c r="B46" s="1" t="s">
        <v>44</v>
      </c>
      <c r="C46" s="1" t="s">
        <v>79</v>
      </c>
      <c r="D46" s="1" t="s">
        <v>44</v>
      </c>
      <c r="E46" s="1" t="s">
        <v>91</v>
      </c>
      <c r="F46" s="18">
        <v>2.7</v>
      </c>
      <c r="G46" s="1">
        <f t="shared" ca="1" si="0"/>
        <v>1</v>
      </c>
    </row>
    <row r="47" spans="1:7" x14ac:dyDescent="0.25">
      <c r="A47" s="13">
        <v>46</v>
      </c>
      <c r="B47" s="1" t="s">
        <v>44</v>
      </c>
      <c r="C47" s="1" t="s">
        <v>62</v>
      </c>
      <c r="D47" s="1" t="s">
        <v>47</v>
      </c>
      <c r="E47" s="1" t="s">
        <v>68</v>
      </c>
      <c r="F47" s="18">
        <v>6.3</v>
      </c>
      <c r="G47" s="1">
        <f t="shared" ca="1" si="0"/>
        <v>1</v>
      </c>
    </row>
    <row r="48" spans="1:7" x14ac:dyDescent="0.25">
      <c r="A48" s="13">
        <v>47</v>
      </c>
      <c r="B48" s="1" t="s">
        <v>47</v>
      </c>
      <c r="C48" s="1" t="s">
        <v>58</v>
      </c>
      <c r="D48" s="1" t="s">
        <v>47</v>
      </c>
      <c r="E48" s="1" t="s">
        <v>54</v>
      </c>
      <c r="F48" s="18">
        <v>2.9</v>
      </c>
      <c r="G48" s="1">
        <f t="shared" ca="1" si="0"/>
        <v>0.5</v>
      </c>
    </row>
    <row r="49" spans="1:7" x14ac:dyDescent="0.25">
      <c r="A49" s="13">
        <v>48</v>
      </c>
      <c r="B49" s="1" t="s">
        <v>47</v>
      </c>
      <c r="C49" s="1" t="s">
        <v>92</v>
      </c>
      <c r="D49" s="1" t="s">
        <v>44</v>
      </c>
      <c r="E49" s="1" t="s">
        <v>93</v>
      </c>
      <c r="F49" s="18">
        <v>21.1</v>
      </c>
      <c r="G49" s="1">
        <f t="shared" ca="1" si="0"/>
        <v>0.5</v>
      </c>
    </row>
    <row r="50" spans="1:7" x14ac:dyDescent="0.25">
      <c r="A50" s="13">
        <v>49</v>
      </c>
      <c r="B50" s="1" t="s">
        <v>44</v>
      </c>
      <c r="C50" s="1" t="s">
        <v>94</v>
      </c>
      <c r="D50" s="1" t="s">
        <v>44</v>
      </c>
      <c r="E50" s="1" t="s">
        <v>95</v>
      </c>
      <c r="F50" s="18">
        <v>3.7</v>
      </c>
      <c r="G50" s="1">
        <f t="shared" ca="1" si="0"/>
        <v>1.5</v>
      </c>
    </row>
    <row r="51" spans="1:7" x14ac:dyDescent="0.25">
      <c r="A51" s="13">
        <v>50</v>
      </c>
      <c r="B51" s="1" t="s">
        <v>44</v>
      </c>
      <c r="C51" s="1" t="s">
        <v>95</v>
      </c>
      <c r="D51" s="1" t="s">
        <v>44</v>
      </c>
      <c r="E51" s="1" t="s">
        <v>95</v>
      </c>
      <c r="F51" s="18">
        <v>1.1000000000000001</v>
      </c>
      <c r="G51" s="1">
        <f t="shared" ca="1" si="0"/>
        <v>1</v>
      </c>
    </row>
    <row r="52" spans="1:7" x14ac:dyDescent="0.25">
      <c r="A52" s="13">
        <v>51</v>
      </c>
      <c r="B52" s="1" t="s">
        <v>44</v>
      </c>
      <c r="C52" s="1" t="s">
        <v>95</v>
      </c>
      <c r="D52" s="1" t="s">
        <v>44</v>
      </c>
      <c r="E52" s="1" t="s">
        <v>94</v>
      </c>
      <c r="F52" s="18">
        <v>5</v>
      </c>
      <c r="G52" s="1">
        <f t="shared" ca="1" si="0"/>
        <v>1</v>
      </c>
    </row>
    <row r="53" spans="1:7" x14ac:dyDescent="0.25">
      <c r="A53" s="13">
        <v>52</v>
      </c>
      <c r="B53" s="1" t="s">
        <v>44</v>
      </c>
      <c r="C53" s="1" t="s">
        <v>94</v>
      </c>
      <c r="D53" s="1" t="s">
        <v>44</v>
      </c>
      <c r="E53" s="1" t="s">
        <v>96</v>
      </c>
      <c r="F53" s="18">
        <v>6.7</v>
      </c>
      <c r="G53" s="1">
        <f t="shared" ca="1" si="0"/>
        <v>2</v>
      </c>
    </row>
    <row r="54" spans="1:7" x14ac:dyDescent="0.25">
      <c r="A54" s="13">
        <v>53</v>
      </c>
      <c r="B54" s="1" t="s">
        <v>44</v>
      </c>
      <c r="C54" s="1" t="s">
        <v>62</v>
      </c>
      <c r="D54" s="1" t="s">
        <v>47</v>
      </c>
      <c r="E54" s="1" t="s">
        <v>54</v>
      </c>
      <c r="F54" s="18">
        <v>14.8</v>
      </c>
      <c r="G54" s="1">
        <f t="shared" ca="1" si="0"/>
        <v>2</v>
      </c>
    </row>
    <row r="55" spans="1:7" x14ac:dyDescent="0.25">
      <c r="A55" s="13">
        <v>54</v>
      </c>
      <c r="B55" s="1" t="s">
        <v>47</v>
      </c>
      <c r="C55" s="1" t="s">
        <v>54</v>
      </c>
      <c r="D55" s="1" t="s">
        <v>47</v>
      </c>
      <c r="E55" s="1" t="s">
        <v>51</v>
      </c>
      <c r="F55" s="18">
        <v>3</v>
      </c>
      <c r="G55" s="1">
        <f t="shared" ca="1" si="0"/>
        <v>0.5</v>
      </c>
    </row>
    <row r="56" spans="1:7" x14ac:dyDescent="0.25">
      <c r="A56" s="13">
        <v>55</v>
      </c>
      <c r="B56" s="1" t="s">
        <v>47</v>
      </c>
      <c r="C56" s="1" t="s">
        <v>97</v>
      </c>
      <c r="D56" s="1" t="s">
        <v>44</v>
      </c>
      <c r="E56" s="1" t="s">
        <v>46</v>
      </c>
      <c r="F56" s="18">
        <v>13</v>
      </c>
      <c r="G56" s="1">
        <f t="shared" ca="1" si="0"/>
        <v>1.5</v>
      </c>
    </row>
    <row r="57" spans="1:7" x14ac:dyDescent="0.25">
      <c r="A57" s="13">
        <v>56</v>
      </c>
      <c r="B57" s="1" t="s">
        <v>44</v>
      </c>
      <c r="C57" s="1" t="s">
        <v>46</v>
      </c>
      <c r="D57" s="1" t="s">
        <v>44</v>
      </c>
      <c r="E57" s="1" t="s">
        <v>98</v>
      </c>
      <c r="F57" s="18">
        <v>1.1000000000000001</v>
      </c>
      <c r="G57" s="1">
        <f t="shared" ca="1" si="0"/>
        <v>0.5</v>
      </c>
    </row>
    <row r="58" spans="1:7" x14ac:dyDescent="0.25">
      <c r="A58" s="13">
        <v>57</v>
      </c>
      <c r="B58" s="1" t="s">
        <v>44</v>
      </c>
      <c r="C58" s="1" t="s">
        <v>98</v>
      </c>
      <c r="D58" s="1" t="s">
        <v>44</v>
      </c>
      <c r="E58" s="1" t="s">
        <v>46</v>
      </c>
      <c r="F58" s="18">
        <v>1.7</v>
      </c>
      <c r="G58" s="1">
        <f t="shared" ca="1" si="0"/>
        <v>1</v>
      </c>
    </row>
    <row r="59" spans="1:7" x14ac:dyDescent="0.25">
      <c r="A59" s="13">
        <v>58</v>
      </c>
      <c r="B59" s="1" t="s">
        <v>47</v>
      </c>
      <c r="C59" s="1" t="s">
        <v>81</v>
      </c>
      <c r="D59" s="1" t="s">
        <v>47</v>
      </c>
      <c r="E59" s="1" t="s">
        <v>76</v>
      </c>
      <c r="F59" s="18">
        <v>4.5</v>
      </c>
      <c r="G59" s="1">
        <f t="shared" ca="1" si="0"/>
        <v>1</v>
      </c>
    </row>
    <row r="60" spans="1:7" x14ac:dyDescent="0.25">
      <c r="A60" s="13">
        <v>59</v>
      </c>
      <c r="B60" s="1" t="s">
        <v>47</v>
      </c>
      <c r="C60" s="1" t="s">
        <v>99</v>
      </c>
      <c r="D60" s="1" t="s">
        <v>44</v>
      </c>
      <c r="E60" s="1" t="s">
        <v>74</v>
      </c>
      <c r="F60" s="18">
        <v>9</v>
      </c>
      <c r="G60" s="1">
        <f t="shared" ca="1" si="0"/>
        <v>1</v>
      </c>
    </row>
    <row r="61" spans="1:7" x14ac:dyDescent="0.25">
      <c r="A61" s="13">
        <v>60</v>
      </c>
      <c r="B61" s="1" t="s">
        <v>44</v>
      </c>
      <c r="C61" s="1" t="s">
        <v>100</v>
      </c>
      <c r="D61" s="1" t="s">
        <v>44</v>
      </c>
      <c r="E61" s="1" t="s">
        <v>100</v>
      </c>
      <c r="F61" s="18">
        <v>1.4</v>
      </c>
      <c r="G61" s="1">
        <f t="shared" ca="1" si="0"/>
        <v>1.5</v>
      </c>
    </row>
    <row r="62" spans="1:7" x14ac:dyDescent="0.25">
      <c r="A62" s="13">
        <v>61</v>
      </c>
      <c r="B62" s="1" t="s">
        <v>44</v>
      </c>
      <c r="C62" s="1" t="s">
        <v>100</v>
      </c>
      <c r="D62" s="1" t="s">
        <v>44</v>
      </c>
      <c r="E62" s="1" t="s">
        <v>62</v>
      </c>
      <c r="F62" s="18">
        <v>3.3</v>
      </c>
      <c r="G62" s="1">
        <f t="shared" ca="1" si="0"/>
        <v>0.5</v>
      </c>
    </row>
    <row r="63" spans="1:7" x14ac:dyDescent="0.25">
      <c r="A63" s="13">
        <v>62</v>
      </c>
      <c r="B63" s="1" t="s">
        <v>47</v>
      </c>
      <c r="C63" s="1" t="s">
        <v>54</v>
      </c>
      <c r="D63" s="1" t="s">
        <v>47</v>
      </c>
      <c r="E63" s="1" t="s">
        <v>101</v>
      </c>
      <c r="F63" s="18">
        <v>1.8</v>
      </c>
      <c r="G63" s="1">
        <f t="shared" ca="1" si="0"/>
        <v>2</v>
      </c>
    </row>
    <row r="64" spans="1:7" x14ac:dyDescent="0.25">
      <c r="A64" s="13">
        <v>63</v>
      </c>
      <c r="B64" s="1" t="s">
        <v>47</v>
      </c>
      <c r="C64" s="1" t="s">
        <v>51</v>
      </c>
      <c r="D64" s="1" t="s">
        <v>47</v>
      </c>
      <c r="E64" s="1" t="s">
        <v>51</v>
      </c>
      <c r="F64" s="18">
        <v>1.4</v>
      </c>
      <c r="G64" s="1">
        <f t="shared" ca="1" si="0"/>
        <v>0.5</v>
      </c>
    </row>
    <row r="65" spans="1:7" x14ac:dyDescent="0.25">
      <c r="A65" s="13">
        <v>64</v>
      </c>
      <c r="B65" s="1" t="s">
        <v>44</v>
      </c>
      <c r="C65" s="1" t="s">
        <v>62</v>
      </c>
      <c r="D65" s="1" t="s">
        <v>47</v>
      </c>
      <c r="E65" s="1" t="s">
        <v>102</v>
      </c>
      <c r="F65" s="18">
        <v>11.5</v>
      </c>
      <c r="G65" s="1">
        <f t="shared" ca="1" si="0"/>
        <v>0.5</v>
      </c>
    </row>
    <row r="66" spans="1:7" x14ac:dyDescent="0.25">
      <c r="A66" s="13">
        <v>65</v>
      </c>
      <c r="B66" s="1" t="s">
        <v>47</v>
      </c>
      <c r="C66" s="1" t="s">
        <v>103</v>
      </c>
      <c r="D66" s="1" t="s">
        <v>47</v>
      </c>
      <c r="E66" s="1" t="s">
        <v>77</v>
      </c>
      <c r="F66" s="18">
        <v>4.5999999999999996</v>
      </c>
      <c r="G66" s="1">
        <f t="shared" ca="1" si="0"/>
        <v>1.5</v>
      </c>
    </row>
    <row r="67" spans="1:7" x14ac:dyDescent="0.25">
      <c r="A67" s="13">
        <v>66</v>
      </c>
      <c r="B67" s="1" t="s">
        <v>47</v>
      </c>
      <c r="C67" s="1" t="s">
        <v>81</v>
      </c>
      <c r="D67" s="1" t="s">
        <v>47</v>
      </c>
      <c r="E67" s="1" t="s">
        <v>68</v>
      </c>
      <c r="F67" s="18">
        <v>3.1</v>
      </c>
      <c r="G67" s="1">
        <f t="shared" ref="G67:G130" ca="1" si="1">CHOOSE(RANDBETWEEN(1,4),0.5,1,1.5,2)</f>
        <v>0.5</v>
      </c>
    </row>
    <row r="68" spans="1:7" x14ac:dyDescent="0.25">
      <c r="A68" s="13">
        <v>67</v>
      </c>
      <c r="B68" s="1" t="s">
        <v>47</v>
      </c>
      <c r="C68" s="1" t="s">
        <v>68</v>
      </c>
      <c r="D68" s="1" t="s">
        <v>47</v>
      </c>
      <c r="E68" s="1" t="s">
        <v>54</v>
      </c>
      <c r="F68" s="18">
        <v>10.8</v>
      </c>
      <c r="G68" s="1">
        <f t="shared" ca="1" si="1"/>
        <v>2</v>
      </c>
    </row>
    <row r="69" spans="1:7" x14ac:dyDescent="0.25">
      <c r="A69" s="13">
        <v>68</v>
      </c>
      <c r="B69" s="1" t="s">
        <v>47</v>
      </c>
      <c r="C69" s="1" t="s">
        <v>51</v>
      </c>
      <c r="D69" s="1" t="s">
        <v>47</v>
      </c>
      <c r="E69" s="1" t="s">
        <v>46</v>
      </c>
      <c r="F69" s="18">
        <v>6.9</v>
      </c>
      <c r="G69" s="1">
        <f t="shared" ca="1" si="1"/>
        <v>1</v>
      </c>
    </row>
    <row r="70" spans="1:7" x14ac:dyDescent="0.25">
      <c r="A70" s="13">
        <v>69</v>
      </c>
      <c r="B70" s="1" t="s">
        <v>47</v>
      </c>
      <c r="C70" s="1" t="s">
        <v>104</v>
      </c>
      <c r="D70" s="1" t="s">
        <v>47</v>
      </c>
      <c r="E70" s="1" t="s">
        <v>71</v>
      </c>
      <c r="F70" s="18">
        <v>2.7</v>
      </c>
      <c r="G70" s="1">
        <f t="shared" ca="1" si="1"/>
        <v>1</v>
      </c>
    </row>
    <row r="71" spans="1:7" x14ac:dyDescent="0.25">
      <c r="A71" s="13">
        <v>70</v>
      </c>
      <c r="B71" s="1" t="s">
        <v>44</v>
      </c>
      <c r="C71" s="1" t="s">
        <v>94</v>
      </c>
      <c r="D71" s="1" t="s">
        <v>44</v>
      </c>
      <c r="E71" s="1" t="s">
        <v>94</v>
      </c>
      <c r="F71" s="18">
        <v>2.2999999999999998</v>
      </c>
      <c r="G71" s="1">
        <f t="shared" ca="1" si="1"/>
        <v>2</v>
      </c>
    </row>
    <row r="72" spans="1:7" x14ac:dyDescent="0.25">
      <c r="A72" s="13">
        <v>71</v>
      </c>
      <c r="B72" s="1" t="s">
        <v>44</v>
      </c>
      <c r="C72" s="1" t="s">
        <v>94</v>
      </c>
      <c r="D72" s="1" t="s">
        <v>44</v>
      </c>
      <c r="E72" s="1" t="s">
        <v>105</v>
      </c>
      <c r="F72" s="18">
        <v>6.6</v>
      </c>
      <c r="G72" s="1">
        <f t="shared" ca="1" si="1"/>
        <v>1.5</v>
      </c>
    </row>
    <row r="73" spans="1:7" x14ac:dyDescent="0.25">
      <c r="A73" s="13">
        <v>72</v>
      </c>
      <c r="B73" s="1" t="s">
        <v>44</v>
      </c>
      <c r="C73" s="1" t="s">
        <v>106</v>
      </c>
      <c r="D73" s="1" t="s">
        <v>44</v>
      </c>
      <c r="E73" s="1" t="s">
        <v>107</v>
      </c>
      <c r="F73" s="18">
        <v>1.6</v>
      </c>
      <c r="G73" s="1">
        <f t="shared" ca="1" si="1"/>
        <v>2</v>
      </c>
    </row>
    <row r="74" spans="1:7" x14ac:dyDescent="0.25">
      <c r="A74" s="13">
        <v>73</v>
      </c>
      <c r="B74" s="1">
        <v>0</v>
      </c>
      <c r="C74" s="1">
        <v>0</v>
      </c>
      <c r="D74" s="1">
        <v>0</v>
      </c>
      <c r="E74" s="1">
        <v>0</v>
      </c>
      <c r="F74" s="18">
        <v>0</v>
      </c>
      <c r="G74" s="1">
        <f t="shared" ca="1" si="1"/>
        <v>1.5</v>
      </c>
    </row>
    <row r="75" spans="1:7" x14ac:dyDescent="0.25">
      <c r="A75" s="13">
        <v>74</v>
      </c>
      <c r="B75" s="1" t="s">
        <v>44</v>
      </c>
      <c r="C75" s="1" t="s">
        <v>87</v>
      </c>
      <c r="D75" s="1" t="s">
        <v>44</v>
      </c>
      <c r="E75" s="1" t="s">
        <v>108</v>
      </c>
      <c r="F75" s="18">
        <v>3.9</v>
      </c>
      <c r="G75" s="1">
        <f t="shared" ca="1" si="1"/>
        <v>1</v>
      </c>
    </row>
    <row r="76" spans="1:7" x14ac:dyDescent="0.25">
      <c r="A76" s="13">
        <v>75</v>
      </c>
      <c r="B76" s="1" t="s">
        <v>47</v>
      </c>
      <c r="C76" s="1" t="s">
        <v>97</v>
      </c>
      <c r="D76" s="1" t="s">
        <v>47</v>
      </c>
      <c r="E76" s="1" t="s">
        <v>51</v>
      </c>
      <c r="F76" s="18">
        <v>8.5</v>
      </c>
      <c r="G76" s="1">
        <f t="shared" ca="1" si="1"/>
        <v>2</v>
      </c>
    </row>
    <row r="77" spans="1:7" x14ac:dyDescent="0.25">
      <c r="A77" s="13">
        <v>76</v>
      </c>
      <c r="B77" s="1" t="s">
        <v>47</v>
      </c>
      <c r="C77" s="1" t="s">
        <v>51</v>
      </c>
      <c r="D77" s="1" t="s">
        <v>47</v>
      </c>
      <c r="E77" s="1" t="s">
        <v>109</v>
      </c>
      <c r="F77" s="18">
        <v>3.7</v>
      </c>
      <c r="G77" s="1">
        <f t="shared" ca="1" si="1"/>
        <v>1.5</v>
      </c>
    </row>
    <row r="78" spans="1:7" x14ac:dyDescent="0.25">
      <c r="A78" s="13">
        <v>77</v>
      </c>
      <c r="B78" s="1" t="s">
        <v>47</v>
      </c>
      <c r="C78" s="1" t="s">
        <v>110</v>
      </c>
      <c r="D78" s="1" t="s">
        <v>47</v>
      </c>
      <c r="E78" s="1" t="s">
        <v>46</v>
      </c>
      <c r="F78" s="18">
        <v>9.1999999999999993</v>
      </c>
      <c r="G78" s="1">
        <f t="shared" ca="1" si="1"/>
        <v>1</v>
      </c>
    </row>
    <row r="79" spans="1:7" x14ac:dyDescent="0.25">
      <c r="A79" s="13">
        <v>78</v>
      </c>
      <c r="B79" s="1">
        <v>0</v>
      </c>
      <c r="C79" s="1">
        <v>0</v>
      </c>
      <c r="D79" s="1">
        <v>0</v>
      </c>
      <c r="E79" s="1">
        <v>0</v>
      </c>
      <c r="F79" s="18">
        <v>0</v>
      </c>
      <c r="G79" s="1">
        <f t="shared" ca="1" si="1"/>
        <v>1</v>
      </c>
    </row>
    <row r="80" spans="1:7" x14ac:dyDescent="0.25">
      <c r="A80" s="13">
        <v>79</v>
      </c>
      <c r="B80" s="1" t="s">
        <v>44</v>
      </c>
      <c r="C80" s="1" t="s">
        <v>46</v>
      </c>
      <c r="D80" s="1" t="s">
        <v>44</v>
      </c>
      <c r="E80" s="1" t="s">
        <v>98</v>
      </c>
      <c r="F80" s="18">
        <v>2.2999999999999998</v>
      </c>
      <c r="G80" s="1">
        <f t="shared" ca="1" si="1"/>
        <v>1</v>
      </c>
    </row>
    <row r="81" spans="1:7" x14ac:dyDescent="0.25">
      <c r="A81" s="13">
        <v>80</v>
      </c>
      <c r="B81" s="1" t="s">
        <v>44</v>
      </c>
      <c r="C81" s="1" t="s">
        <v>46</v>
      </c>
      <c r="D81" s="1" t="s">
        <v>44</v>
      </c>
      <c r="E81" s="1" t="s">
        <v>46</v>
      </c>
      <c r="F81" s="18">
        <v>1.4</v>
      </c>
      <c r="G81" s="1">
        <f t="shared" ca="1" si="1"/>
        <v>0.5</v>
      </c>
    </row>
    <row r="82" spans="1:7" x14ac:dyDescent="0.25">
      <c r="A82" s="13">
        <v>81</v>
      </c>
      <c r="B82" s="1" t="s">
        <v>47</v>
      </c>
      <c r="C82" s="1" t="s">
        <v>111</v>
      </c>
      <c r="D82" s="1" t="s">
        <v>44</v>
      </c>
      <c r="E82" s="1" t="s">
        <v>74</v>
      </c>
      <c r="F82" s="18">
        <v>17.27</v>
      </c>
      <c r="G82" s="1">
        <f t="shared" ca="1" si="1"/>
        <v>1.5</v>
      </c>
    </row>
    <row r="83" spans="1:7" x14ac:dyDescent="0.25">
      <c r="A83" s="13">
        <v>82</v>
      </c>
      <c r="B83" s="1" t="s">
        <v>44</v>
      </c>
      <c r="C83" s="1" t="s">
        <v>74</v>
      </c>
      <c r="D83" s="1" t="s">
        <v>44</v>
      </c>
      <c r="E83" s="1" t="s">
        <v>46</v>
      </c>
      <c r="F83" s="18">
        <v>2.95</v>
      </c>
      <c r="G83" s="1">
        <f t="shared" ca="1" si="1"/>
        <v>0.5</v>
      </c>
    </row>
    <row r="84" spans="1:7" x14ac:dyDescent="0.25">
      <c r="A84" s="13">
        <v>83</v>
      </c>
      <c r="B84" s="1" t="s">
        <v>44</v>
      </c>
      <c r="C84" s="1" t="s">
        <v>112</v>
      </c>
      <c r="D84" s="1" t="s">
        <v>44</v>
      </c>
      <c r="E84" s="1" t="s">
        <v>113</v>
      </c>
      <c r="F84" s="18">
        <v>0.94</v>
      </c>
      <c r="G84" s="1">
        <f t="shared" ca="1" si="1"/>
        <v>1.5</v>
      </c>
    </row>
    <row r="85" spans="1:7" x14ac:dyDescent="0.25">
      <c r="A85" s="13">
        <v>84</v>
      </c>
      <c r="B85" s="1" t="s">
        <v>44</v>
      </c>
      <c r="C85" s="1" t="s">
        <v>46</v>
      </c>
      <c r="D85" s="1" t="s">
        <v>44</v>
      </c>
      <c r="E85" s="1" t="s">
        <v>46</v>
      </c>
      <c r="F85" s="18">
        <v>2.2599999999999998</v>
      </c>
      <c r="G85" s="1">
        <f t="shared" ca="1" si="1"/>
        <v>2</v>
      </c>
    </row>
    <row r="86" spans="1:7" x14ac:dyDescent="0.25">
      <c r="A86" s="13">
        <v>85</v>
      </c>
      <c r="B86" s="1" t="s">
        <v>44</v>
      </c>
      <c r="C86" s="1" t="s">
        <v>46</v>
      </c>
      <c r="D86" s="1" t="s">
        <v>44</v>
      </c>
      <c r="E86" s="1" t="s">
        <v>74</v>
      </c>
      <c r="F86" s="18">
        <v>3.92</v>
      </c>
      <c r="G86" s="1">
        <f t="shared" ca="1" si="1"/>
        <v>1.5</v>
      </c>
    </row>
    <row r="87" spans="1:7" x14ac:dyDescent="0.25">
      <c r="A87" s="13">
        <v>86</v>
      </c>
      <c r="B87" s="1" t="s">
        <v>44</v>
      </c>
      <c r="C87" s="1" t="s">
        <v>74</v>
      </c>
      <c r="D87" s="1" t="s">
        <v>44</v>
      </c>
      <c r="E87" s="1" t="s">
        <v>114</v>
      </c>
      <c r="F87" s="18">
        <v>4.57</v>
      </c>
      <c r="G87" s="1">
        <f t="shared" ca="1" si="1"/>
        <v>1.5</v>
      </c>
    </row>
    <row r="88" spans="1:7" x14ac:dyDescent="0.25">
      <c r="A88" s="13">
        <v>87</v>
      </c>
      <c r="B88" s="1" t="s">
        <v>44</v>
      </c>
      <c r="C88" s="1" t="s">
        <v>114</v>
      </c>
      <c r="D88" s="1" t="s">
        <v>44</v>
      </c>
      <c r="E88" s="1" t="s">
        <v>74</v>
      </c>
      <c r="F88" s="18">
        <v>3.41</v>
      </c>
      <c r="G88" s="1">
        <f t="shared" ca="1" si="1"/>
        <v>1.5</v>
      </c>
    </row>
    <row r="89" spans="1:7" x14ac:dyDescent="0.25">
      <c r="A89" s="13">
        <v>88</v>
      </c>
      <c r="B89" s="1" t="s">
        <v>44</v>
      </c>
      <c r="C89" s="1" t="s">
        <v>74</v>
      </c>
      <c r="D89" s="1" t="s">
        <v>44</v>
      </c>
      <c r="E89" s="1" t="s">
        <v>115</v>
      </c>
      <c r="F89" s="18">
        <v>2.23</v>
      </c>
      <c r="G89" s="1">
        <f t="shared" ca="1" si="1"/>
        <v>1</v>
      </c>
    </row>
    <row r="90" spans="1:7" x14ac:dyDescent="0.25">
      <c r="A90" s="13">
        <v>89</v>
      </c>
      <c r="B90" s="1" t="s">
        <v>44</v>
      </c>
      <c r="C90" s="1" t="s">
        <v>74</v>
      </c>
      <c r="D90" s="1" t="s">
        <v>47</v>
      </c>
      <c r="E90" s="1" t="s">
        <v>53</v>
      </c>
      <c r="F90" s="18">
        <v>10.95</v>
      </c>
      <c r="G90" s="1">
        <f t="shared" ca="1" si="1"/>
        <v>1</v>
      </c>
    </row>
    <row r="91" spans="1:7" x14ac:dyDescent="0.25">
      <c r="A91" s="13">
        <v>90</v>
      </c>
      <c r="B91" s="1" t="s">
        <v>44</v>
      </c>
      <c r="C91" s="1" t="s">
        <v>115</v>
      </c>
      <c r="D91" s="1" t="s">
        <v>47</v>
      </c>
      <c r="E91" s="1" t="s">
        <v>53</v>
      </c>
      <c r="F91" s="18">
        <v>5.37</v>
      </c>
      <c r="G91" s="1">
        <f t="shared" ca="1" si="1"/>
        <v>0.5</v>
      </c>
    </row>
    <row r="92" spans="1:7" x14ac:dyDescent="0.25">
      <c r="A92" s="13">
        <v>91</v>
      </c>
      <c r="B92" s="1" t="s">
        <v>47</v>
      </c>
      <c r="C92" s="1" t="s">
        <v>53</v>
      </c>
      <c r="D92" s="1" t="s">
        <v>44</v>
      </c>
      <c r="E92" s="1" t="s">
        <v>116</v>
      </c>
      <c r="F92" s="18">
        <v>9.15</v>
      </c>
      <c r="G92" s="1">
        <f t="shared" ca="1" si="1"/>
        <v>1.5</v>
      </c>
    </row>
    <row r="93" spans="1:7" x14ac:dyDescent="0.25">
      <c r="A93" s="13">
        <v>92</v>
      </c>
      <c r="B93" s="1" t="s">
        <v>44</v>
      </c>
      <c r="C93" s="1" t="s">
        <v>62</v>
      </c>
      <c r="D93" s="1" t="s">
        <v>44</v>
      </c>
      <c r="E93" s="1" t="s">
        <v>79</v>
      </c>
      <c r="F93" s="18">
        <v>2.46</v>
      </c>
      <c r="G93" s="1">
        <f t="shared" ca="1" si="1"/>
        <v>0.5</v>
      </c>
    </row>
    <row r="94" spans="1:7" x14ac:dyDescent="0.25">
      <c r="A94" s="13">
        <v>93</v>
      </c>
      <c r="B94" s="1" t="s">
        <v>44</v>
      </c>
      <c r="C94" s="1" t="s">
        <v>79</v>
      </c>
      <c r="D94" s="1" t="s">
        <v>47</v>
      </c>
      <c r="E94" s="1" t="s">
        <v>109</v>
      </c>
      <c r="F94" s="18">
        <v>20.61</v>
      </c>
      <c r="G94" s="1">
        <f t="shared" ca="1" si="1"/>
        <v>0.5</v>
      </c>
    </row>
    <row r="95" spans="1:7" x14ac:dyDescent="0.25">
      <c r="A95" s="13">
        <v>94</v>
      </c>
      <c r="B95" s="1" t="s">
        <v>47</v>
      </c>
      <c r="C95" s="1" t="s">
        <v>109</v>
      </c>
      <c r="D95" s="1" t="s">
        <v>47</v>
      </c>
      <c r="E95" s="1" t="s">
        <v>51</v>
      </c>
      <c r="F95" s="18">
        <v>4.9000000000000004</v>
      </c>
      <c r="G95" s="1">
        <f t="shared" ca="1" si="1"/>
        <v>1.5</v>
      </c>
    </row>
    <row r="96" spans="1:7" x14ac:dyDescent="0.25">
      <c r="A96" s="13">
        <v>95</v>
      </c>
      <c r="B96" s="1" t="s">
        <v>47</v>
      </c>
      <c r="C96" s="1" t="s">
        <v>51</v>
      </c>
      <c r="D96" s="1" t="s">
        <v>47</v>
      </c>
      <c r="E96" s="1" t="s">
        <v>51</v>
      </c>
      <c r="F96" s="18">
        <v>0</v>
      </c>
      <c r="G96" s="1">
        <f t="shared" ca="1" si="1"/>
        <v>0.5</v>
      </c>
    </row>
    <row r="97" spans="1:7" x14ac:dyDescent="0.25">
      <c r="A97" s="13">
        <v>96</v>
      </c>
      <c r="B97" s="1" t="s">
        <v>47</v>
      </c>
      <c r="C97" s="1" t="s">
        <v>59</v>
      </c>
      <c r="D97" s="1" t="s">
        <v>47</v>
      </c>
      <c r="E97" s="1" t="s">
        <v>51</v>
      </c>
      <c r="F97" s="18">
        <v>2.17</v>
      </c>
      <c r="G97" s="1">
        <f t="shared" ca="1" si="1"/>
        <v>0.5</v>
      </c>
    </row>
    <row r="98" spans="1:7" x14ac:dyDescent="0.25">
      <c r="A98" s="13">
        <v>97</v>
      </c>
      <c r="B98" s="1" t="s">
        <v>47</v>
      </c>
      <c r="C98" s="1" t="s">
        <v>51</v>
      </c>
      <c r="D98" s="1" t="s">
        <v>47</v>
      </c>
      <c r="E98" s="1" t="s">
        <v>54</v>
      </c>
      <c r="F98" s="18">
        <v>3.21</v>
      </c>
      <c r="G98" s="1">
        <f t="shared" ca="1" si="1"/>
        <v>1</v>
      </c>
    </row>
    <row r="99" spans="1:7" x14ac:dyDescent="0.25">
      <c r="A99" s="13">
        <v>98</v>
      </c>
      <c r="B99" s="1" t="s">
        <v>47</v>
      </c>
      <c r="C99" s="1" t="s">
        <v>54</v>
      </c>
      <c r="D99" s="1" t="s">
        <v>47</v>
      </c>
      <c r="E99" s="1" t="s">
        <v>51</v>
      </c>
      <c r="F99" s="18">
        <v>2.1800000000000002</v>
      </c>
      <c r="G99" s="1">
        <f t="shared" ca="1" si="1"/>
        <v>2</v>
      </c>
    </row>
    <row r="100" spans="1:7" x14ac:dyDescent="0.25">
      <c r="A100" s="13">
        <v>99</v>
      </c>
      <c r="B100" s="1" t="s">
        <v>47</v>
      </c>
      <c r="C100" s="1" t="s">
        <v>50</v>
      </c>
      <c r="D100" s="1" t="s">
        <v>47</v>
      </c>
      <c r="E100" s="1" t="s">
        <v>109</v>
      </c>
      <c r="F100" s="18">
        <v>3.31</v>
      </c>
      <c r="G100" s="1">
        <f t="shared" ca="1" si="1"/>
        <v>1.5</v>
      </c>
    </row>
    <row r="101" spans="1:7" x14ac:dyDescent="0.25">
      <c r="A101" s="13">
        <v>100</v>
      </c>
      <c r="B101" s="1" t="s">
        <v>47</v>
      </c>
      <c r="C101" s="1" t="s">
        <v>109</v>
      </c>
      <c r="D101" s="1" t="s">
        <v>47</v>
      </c>
      <c r="E101" s="1" t="s">
        <v>50</v>
      </c>
      <c r="F101" s="18">
        <v>3.77</v>
      </c>
      <c r="G101" s="1">
        <f t="shared" ca="1" si="1"/>
        <v>2</v>
      </c>
    </row>
    <row r="102" spans="1:7" x14ac:dyDescent="0.25">
      <c r="A102" s="13">
        <v>101</v>
      </c>
      <c r="B102" s="1" t="s">
        <v>47</v>
      </c>
      <c r="C102" s="1" t="s">
        <v>50</v>
      </c>
      <c r="D102" s="1" t="s">
        <v>47</v>
      </c>
      <c r="E102" s="1" t="s">
        <v>97</v>
      </c>
      <c r="F102" s="18">
        <v>4.9000000000000004</v>
      </c>
      <c r="G102" s="1">
        <f t="shared" ca="1" si="1"/>
        <v>0.5</v>
      </c>
    </row>
    <row r="103" spans="1:7" x14ac:dyDescent="0.25">
      <c r="A103" s="13">
        <v>102</v>
      </c>
      <c r="B103" s="1" t="s">
        <v>47</v>
      </c>
      <c r="C103" s="1" t="s">
        <v>97</v>
      </c>
      <c r="D103" s="1" t="s">
        <v>47</v>
      </c>
      <c r="E103" s="1" t="s">
        <v>71</v>
      </c>
      <c r="F103" s="18">
        <v>11.16</v>
      </c>
      <c r="G103" s="1">
        <f t="shared" ca="1" si="1"/>
        <v>1</v>
      </c>
    </row>
    <row r="104" spans="1:7" x14ac:dyDescent="0.25">
      <c r="A104" s="13">
        <v>103</v>
      </c>
      <c r="B104" s="1" t="s">
        <v>47</v>
      </c>
      <c r="C104" s="1" t="s">
        <v>66</v>
      </c>
      <c r="D104" s="1" t="s">
        <v>47</v>
      </c>
      <c r="E104" s="1" t="s">
        <v>59</v>
      </c>
      <c r="F104" s="18">
        <v>6.9</v>
      </c>
      <c r="G104" s="1">
        <f t="shared" ca="1" si="1"/>
        <v>1</v>
      </c>
    </row>
    <row r="105" spans="1:7" x14ac:dyDescent="0.25">
      <c r="A105" s="13">
        <v>104</v>
      </c>
      <c r="B105" s="1" t="s">
        <v>47</v>
      </c>
      <c r="C105" s="1" t="s">
        <v>58</v>
      </c>
      <c r="D105" s="1" t="s">
        <v>47</v>
      </c>
      <c r="E105" s="1" t="s">
        <v>51</v>
      </c>
      <c r="F105" s="18">
        <v>1.1200000000000001</v>
      </c>
      <c r="G105" s="1">
        <f t="shared" ca="1" si="1"/>
        <v>2</v>
      </c>
    </row>
    <row r="106" spans="1:7" x14ac:dyDescent="0.25">
      <c r="A106" s="13">
        <v>105</v>
      </c>
      <c r="B106" s="1" t="s">
        <v>47</v>
      </c>
      <c r="C106" s="1" t="s">
        <v>50</v>
      </c>
      <c r="D106" s="1" t="s">
        <v>47</v>
      </c>
      <c r="E106" s="1" t="s">
        <v>50</v>
      </c>
      <c r="F106" s="18">
        <v>0</v>
      </c>
      <c r="G106" s="1">
        <f t="shared" ca="1" si="1"/>
        <v>0.5</v>
      </c>
    </row>
    <row r="107" spans="1:7" x14ac:dyDescent="0.25">
      <c r="A107" s="13">
        <v>106</v>
      </c>
      <c r="B107" s="1" t="s">
        <v>47</v>
      </c>
      <c r="C107" s="1" t="s">
        <v>117</v>
      </c>
      <c r="D107" s="1" t="s">
        <v>47</v>
      </c>
      <c r="E107" s="1" t="s">
        <v>73</v>
      </c>
      <c r="F107" s="18">
        <v>2.06</v>
      </c>
      <c r="G107" s="1">
        <f t="shared" ca="1" si="1"/>
        <v>2</v>
      </c>
    </row>
    <row r="108" spans="1:7" x14ac:dyDescent="0.25">
      <c r="A108" s="13">
        <v>107</v>
      </c>
      <c r="B108" s="1" t="s">
        <v>47</v>
      </c>
      <c r="C108" s="1" t="s">
        <v>51</v>
      </c>
      <c r="D108" s="1" t="s">
        <v>47</v>
      </c>
      <c r="E108" s="1" t="s">
        <v>54</v>
      </c>
      <c r="F108" s="18">
        <v>3.01</v>
      </c>
      <c r="G108" s="1">
        <f t="shared" ca="1" si="1"/>
        <v>2</v>
      </c>
    </row>
    <row r="109" spans="1:7" x14ac:dyDescent="0.25">
      <c r="A109" s="13">
        <v>108</v>
      </c>
      <c r="B109" s="1" t="s">
        <v>47</v>
      </c>
      <c r="C109" s="1" t="s">
        <v>54</v>
      </c>
      <c r="D109" s="1" t="s">
        <v>47</v>
      </c>
      <c r="E109" s="1" t="s">
        <v>71</v>
      </c>
      <c r="F109" s="18">
        <v>3.02</v>
      </c>
      <c r="G109" s="1">
        <f t="shared" ca="1" si="1"/>
        <v>0.5</v>
      </c>
    </row>
    <row r="110" spans="1:7" x14ac:dyDescent="0.25">
      <c r="A110" s="13">
        <v>109</v>
      </c>
      <c r="B110" s="1" t="s">
        <v>47</v>
      </c>
      <c r="C110" s="1" t="s">
        <v>48</v>
      </c>
      <c r="D110" s="1" t="s">
        <v>47</v>
      </c>
      <c r="E110" s="1" t="s">
        <v>71</v>
      </c>
      <c r="F110" s="18">
        <v>1.73</v>
      </c>
      <c r="G110" s="1">
        <f t="shared" ca="1" si="1"/>
        <v>1.5</v>
      </c>
    </row>
    <row r="111" spans="1:7" x14ac:dyDescent="0.25">
      <c r="A111" s="13">
        <v>110</v>
      </c>
      <c r="B111" s="1" t="s">
        <v>47</v>
      </c>
      <c r="C111" s="1" t="s">
        <v>46</v>
      </c>
      <c r="D111" s="1" t="s">
        <v>47</v>
      </c>
      <c r="E111" s="1" t="s">
        <v>46</v>
      </c>
      <c r="F111" s="18">
        <v>0</v>
      </c>
      <c r="G111" s="1">
        <f t="shared" ca="1" si="1"/>
        <v>2</v>
      </c>
    </row>
    <row r="112" spans="1:7" x14ac:dyDescent="0.25">
      <c r="A112" s="13">
        <v>111</v>
      </c>
      <c r="B112" s="1" t="s">
        <v>47</v>
      </c>
      <c r="C112" s="1" t="s">
        <v>46</v>
      </c>
      <c r="D112" s="1" t="s">
        <v>47</v>
      </c>
      <c r="E112" s="1" t="s">
        <v>118</v>
      </c>
      <c r="F112" s="18">
        <v>7.6</v>
      </c>
      <c r="G112" s="1">
        <f t="shared" ca="1" si="1"/>
        <v>2</v>
      </c>
    </row>
    <row r="113" spans="1:7" x14ac:dyDescent="0.25">
      <c r="A113" s="13">
        <v>112</v>
      </c>
      <c r="B113" s="1" t="s">
        <v>47</v>
      </c>
      <c r="C113" s="1" t="s">
        <v>118</v>
      </c>
      <c r="D113" s="1" t="s">
        <v>47</v>
      </c>
      <c r="E113" s="1" t="s">
        <v>59</v>
      </c>
      <c r="F113" s="18">
        <v>2.96</v>
      </c>
      <c r="G113" s="1">
        <f t="shared" ca="1" si="1"/>
        <v>0.5</v>
      </c>
    </row>
    <row r="114" spans="1:7" x14ac:dyDescent="0.25">
      <c r="A114" s="13">
        <v>113</v>
      </c>
      <c r="B114" s="1" t="s">
        <v>47</v>
      </c>
      <c r="C114" s="1" t="s">
        <v>101</v>
      </c>
      <c r="D114" s="1" t="s">
        <v>44</v>
      </c>
      <c r="E114" s="1" t="s">
        <v>46</v>
      </c>
      <c r="F114" s="18">
        <v>19.18</v>
      </c>
      <c r="G114" s="1">
        <f t="shared" ca="1" si="1"/>
        <v>2</v>
      </c>
    </row>
    <row r="115" spans="1:7" x14ac:dyDescent="0.25">
      <c r="A115" s="13">
        <v>114</v>
      </c>
      <c r="B115" s="1" t="s">
        <v>44</v>
      </c>
      <c r="C115" s="1" t="s">
        <v>46</v>
      </c>
      <c r="D115" s="1" t="s">
        <v>47</v>
      </c>
      <c r="E115" s="1" t="s">
        <v>54</v>
      </c>
      <c r="F115" s="18">
        <v>15.95</v>
      </c>
      <c r="G115" s="1">
        <f t="shared" ca="1" si="1"/>
        <v>1.5</v>
      </c>
    </row>
    <row r="116" spans="1:7" x14ac:dyDescent="0.25">
      <c r="A116" s="13">
        <v>115</v>
      </c>
      <c r="B116" s="1" t="s">
        <v>47</v>
      </c>
      <c r="C116" s="1" t="s">
        <v>54</v>
      </c>
      <c r="D116" s="1" t="s">
        <v>47</v>
      </c>
      <c r="E116" s="1" t="s">
        <v>111</v>
      </c>
      <c r="F116" s="18">
        <v>6.29</v>
      </c>
      <c r="G116" s="1">
        <f t="shared" ca="1" si="1"/>
        <v>2</v>
      </c>
    </row>
    <row r="117" spans="1:7" x14ac:dyDescent="0.25">
      <c r="A117" s="13">
        <v>116</v>
      </c>
      <c r="B117" s="1" t="s">
        <v>47</v>
      </c>
      <c r="C117" s="1" t="s">
        <v>111</v>
      </c>
      <c r="D117" s="1" t="s">
        <v>47</v>
      </c>
      <c r="E117" s="1" t="s">
        <v>111</v>
      </c>
      <c r="F117" s="18">
        <v>1.71</v>
      </c>
      <c r="G117" s="1">
        <f t="shared" ca="1" si="1"/>
        <v>1</v>
      </c>
    </row>
    <row r="118" spans="1:7" x14ac:dyDescent="0.25">
      <c r="A118" s="13">
        <v>117</v>
      </c>
      <c r="B118" s="1" t="s">
        <v>47</v>
      </c>
      <c r="C118" s="1" t="s">
        <v>97</v>
      </c>
      <c r="D118" s="1" t="s">
        <v>47</v>
      </c>
      <c r="E118" s="1" t="s">
        <v>54</v>
      </c>
      <c r="F118" s="18">
        <v>2.5</v>
      </c>
      <c r="G118" s="1">
        <f t="shared" ca="1" si="1"/>
        <v>0.5</v>
      </c>
    </row>
    <row r="119" spans="1:7" x14ac:dyDescent="0.25">
      <c r="A119" s="13">
        <v>118</v>
      </c>
      <c r="B119" s="1" t="s">
        <v>47</v>
      </c>
      <c r="C119" s="1" t="s">
        <v>54</v>
      </c>
      <c r="D119" s="1" t="s">
        <v>44</v>
      </c>
      <c r="E119" s="1" t="s">
        <v>105</v>
      </c>
      <c r="F119" s="18">
        <v>12.65</v>
      </c>
      <c r="G119" s="1">
        <f t="shared" ca="1" si="1"/>
        <v>0.5</v>
      </c>
    </row>
    <row r="120" spans="1:7" x14ac:dyDescent="0.25">
      <c r="A120" s="13">
        <v>119</v>
      </c>
      <c r="B120" s="1" t="s">
        <v>44</v>
      </c>
      <c r="C120" s="1" t="s">
        <v>105</v>
      </c>
      <c r="D120" s="1" t="s">
        <v>44</v>
      </c>
      <c r="E120" s="1" t="s">
        <v>46</v>
      </c>
      <c r="F120" s="18">
        <v>7.4</v>
      </c>
      <c r="G120" s="1">
        <f t="shared" ca="1" si="1"/>
        <v>1</v>
      </c>
    </row>
    <row r="121" spans="1:7" x14ac:dyDescent="0.25">
      <c r="A121" s="13">
        <v>120</v>
      </c>
      <c r="B121" s="1" t="s">
        <v>44</v>
      </c>
      <c r="C121" s="1" t="s">
        <v>120</v>
      </c>
      <c r="D121" s="1" t="s">
        <v>47</v>
      </c>
      <c r="E121" s="1" t="s">
        <v>121</v>
      </c>
      <c r="F121" s="18">
        <v>22.18</v>
      </c>
      <c r="G121" s="1">
        <f t="shared" ca="1" si="1"/>
        <v>1</v>
      </c>
    </row>
    <row r="122" spans="1:7" x14ac:dyDescent="0.25">
      <c r="A122" s="13">
        <v>121</v>
      </c>
      <c r="B122" s="1" t="s">
        <v>47</v>
      </c>
      <c r="C122" s="1" t="s">
        <v>52</v>
      </c>
      <c r="D122" s="1" t="s">
        <v>47</v>
      </c>
      <c r="E122" s="1" t="s">
        <v>122</v>
      </c>
      <c r="F122" s="18">
        <v>11.3</v>
      </c>
      <c r="G122" s="1">
        <f t="shared" ca="1" si="1"/>
        <v>1</v>
      </c>
    </row>
    <row r="123" spans="1:7" x14ac:dyDescent="0.25">
      <c r="A123" s="13">
        <v>122</v>
      </c>
      <c r="B123" s="1" t="s">
        <v>47</v>
      </c>
      <c r="C123" s="1" t="s">
        <v>123</v>
      </c>
      <c r="D123" s="1" t="s">
        <v>47</v>
      </c>
      <c r="E123" s="1" t="s">
        <v>58</v>
      </c>
      <c r="F123" s="18">
        <v>2.23</v>
      </c>
      <c r="G123" s="1">
        <f t="shared" ca="1" si="1"/>
        <v>2</v>
      </c>
    </row>
    <row r="124" spans="1:7" x14ac:dyDescent="0.25">
      <c r="A124" s="13">
        <v>123</v>
      </c>
      <c r="B124" s="1" t="s">
        <v>47</v>
      </c>
      <c r="C124" s="1" t="s">
        <v>59</v>
      </c>
      <c r="D124" s="1" t="s">
        <v>47</v>
      </c>
      <c r="E124" s="1" t="s">
        <v>54</v>
      </c>
      <c r="F124" s="18">
        <v>2.13</v>
      </c>
      <c r="G124" s="1">
        <f t="shared" ca="1" si="1"/>
        <v>0.5</v>
      </c>
    </row>
    <row r="125" spans="1:7" x14ac:dyDescent="0.25">
      <c r="A125" s="13">
        <v>124</v>
      </c>
      <c r="B125" s="1" t="s">
        <v>47</v>
      </c>
      <c r="C125" s="1" t="s">
        <v>50</v>
      </c>
      <c r="D125" s="1" t="s">
        <v>47</v>
      </c>
      <c r="E125" s="1" t="s">
        <v>46</v>
      </c>
      <c r="F125" s="18">
        <v>6.19</v>
      </c>
      <c r="G125" s="1">
        <f t="shared" ca="1" si="1"/>
        <v>0.5</v>
      </c>
    </row>
    <row r="126" spans="1:7" x14ac:dyDescent="0.25">
      <c r="A126" s="13">
        <v>125</v>
      </c>
      <c r="B126" s="1" t="s">
        <v>47</v>
      </c>
      <c r="C126" s="1" t="s">
        <v>46</v>
      </c>
      <c r="D126" s="1" t="s">
        <v>47</v>
      </c>
      <c r="E126" s="1" t="s">
        <v>122</v>
      </c>
      <c r="F126" s="18">
        <v>4.2</v>
      </c>
      <c r="G126" s="1">
        <f t="shared" ca="1" si="1"/>
        <v>1</v>
      </c>
    </row>
    <row r="127" spans="1:7" x14ac:dyDescent="0.25">
      <c r="A127" s="13">
        <v>126</v>
      </c>
      <c r="B127" s="1" t="s">
        <v>47</v>
      </c>
      <c r="C127" s="1" t="s">
        <v>122</v>
      </c>
      <c r="D127" s="1" t="s">
        <v>47</v>
      </c>
      <c r="E127" s="1" t="s">
        <v>46</v>
      </c>
      <c r="F127" s="18">
        <v>4.24</v>
      </c>
      <c r="G127" s="1">
        <f t="shared" ca="1" si="1"/>
        <v>1.5</v>
      </c>
    </row>
    <row r="128" spans="1:7" x14ac:dyDescent="0.25">
      <c r="A128" s="13">
        <v>127</v>
      </c>
      <c r="B128" s="1" t="s">
        <v>47</v>
      </c>
      <c r="C128" s="1" t="s">
        <v>46</v>
      </c>
      <c r="D128" s="1" t="s">
        <v>47</v>
      </c>
      <c r="E128" s="1" t="s">
        <v>54</v>
      </c>
      <c r="F128" s="18">
        <v>5.39</v>
      </c>
      <c r="G128" s="1">
        <f t="shared" ca="1" si="1"/>
        <v>2</v>
      </c>
    </row>
    <row r="129" spans="1:7" x14ac:dyDescent="0.25">
      <c r="A129" s="13">
        <v>128</v>
      </c>
      <c r="B129" s="1" t="s">
        <v>47</v>
      </c>
      <c r="C129" s="1" t="s">
        <v>54</v>
      </c>
      <c r="D129" s="1" t="s">
        <v>47</v>
      </c>
      <c r="E129" s="1" t="s">
        <v>124</v>
      </c>
      <c r="F129" s="18">
        <v>6.17</v>
      </c>
      <c r="G129" s="1">
        <f t="shared" ca="1" si="1"/>
        <v>2</v>
      </c>
    </row>
    <row r="130" spans="1:7" x14ac:dyDescent="0.25">
      <c r="A130" s="13">
        <v>129</v>
      </c>
      <c r="B130" s="1" t="s">
        <v>47</v>
      </c>
      <c r="C130" s="1" t="s">
        <v>65</v>
      </c>
      <c r="D130" s="1" t="s">
        <v>47</v>
      </c>
      <c r="E130" s="1" t="s">
        <v>49</v>
      </c>
      <c r="F130" s="18">
        <v>4.88</v>
      </c>
      <c r="G130" s="1">
        <f t="shared" ca="1" si="1"/>
        <v>1.5</v>
      </c>
    </row>
    <row r="131" spans="1:7" x14ac:dyDescent="0.25">
      <c r="A131" s="13">
        <v>130</v>
      </c>
      <c r="B131" s="1" t="s">
        <v>47</v>
      </c>
      <c r="C131" s="1" t="s">
        <v>123</v>
      </c>
      <c r="D131" s="1" t="s">
        <v>47</v>
      </c>
      <c r="E131" s="1" t="s">
        <v>59</v>
      </c>
      <c r="F131" s="18">
        <v>2.54</v>
      </c>
      <c r="G131" s="1">
        <f t="shared" ref="G131:G194" ca="1" si="2">CHOOSE(RANDBETWEEN(1,4),0.5,1,1.5,2)</f>
        <v>0.5</v>
      </c>
    </row>
    <row r="132" spans="1:7" x14ac:dyDescent="0.25">
      <c r="A132" s="13">
        <v>131</v>
      </c>
      <c r="B132" s="1" t="s">
        <v>47</v>
      </c>
      <c r="C132" s="1" t="s">
        <v>59</v>
      </c>
      <c r="D132" s="1" t="s">
        <v>47</v>
      </c>
      <c r="E132" s="1" t="s">
        <v>125</v>
      </c>
      <c r="F132" s="18">
        <v>3.32</v>
      </c>
      <c r="G132" s="1">
        <f t="shared" ca="1" si="2"/>
        <v>0.5</v>
      </c>
    </row>
    <row r="133" spans="1:7" x14ac:dyDescent="0.25">
      <c r="A133" s="13">
        <v>132</v>
      </c>
      <c r="B133" s="1" t="s">
        <v>47</v>
      </c>
      <c r="C133" s="1" t="s">
        <v>126</v>
      </c>
      <c r="D133" s="1" t="s">
        <v>47</v>
      </c>
      <c r="E133" s="1" t="s">
        <v>126</v>
      </c>
      <c r="F133" s="18">
        <v>0</v>
      </c>
      <c r="G133" s="1">
        <f t="shared" ca="1" si="2"/>
        <v>2</v>
      </c>
    </row>
    <row r="134" spans="1:7" x14ac:dyDescent="0.25">
      <c r="A134" s="13">
        <v>133</v>
      </c>
      <c r="B134" s="1" t="s">
        <v>47</v>
      </c>
      <c r="C134" s="1" t="s">
        <v>60</v>
      </c>
      <c r="D134" s="1" t="s">
        <v>47</v>
      </c>
      <c r="E134" s="1" t="s">
        <v>126</v>
      </c>
      <c r="F134" s="18">
        <v>1.33</v>
      </c>
      <c r="G134" s="1">
        <f t="shared" ca="1" si="2"/>
        <v>2</v>
      </c>
    </row>
    <row r="135" spans="1:7" x14ac:dyDescent="0.25">
      <c r="A135" s="13">
        <v>134</v>
      </c>
      <c r="B135" s="1" t="s">
        <v>47</v>
      </c>
      <c r="C135" s="1" t="s">
        <v>126</v>
      </c>
      <c r="D135" s="1" t="s">
        <v>47</v>
      </c>
      <c r="E135" s="1" t="s">
        <v>46</v>
      </c>
      <c r="F135" s="18">
        <v>1.17</v>
      </c>
      <c r="G135" s="1">
        <f t="shared" ca="1" si="2"/>
        <v>1.5</v>
      </c>
    </row>
    <row r="136" spans="1:7" x14ac:dyDescent="0.25">
      <c r="A136" s="13">
        <v>135</v>
      </c>
      <c r="B136" s="1" t="s">
        <v>47</v>
      </c>
      <c r="C136" s="1" t="s">
        <v>125</v>
      </c>
      <c r="D136" s="1" t="s">
        <v>44</v>
      </c>
      <c r="E136" s="1" t="s">
        <v>74</v>
      </c>
      <c r="F136" s="18">
        <v>15.6</v>
      </c>
      <c r="G136" s="1">
        <f t="shared" ca="1" si="2"/>
        <v>1.5</v>
      </c>
    </row>
    <row r="137" spans="1:7" x14ac:dyDescent="0.25">
      <c r="A137" s="13">
        <v>136</v>
      </c>
      <c r="B137" s="1" t="s">
        <v>44</v>
      </c>
      <c r="C137" s="1" t="s">
        <v>74</v>
      </c>
      <c r="D137" s="1" t="s">
        <v>47</v>
      </c>
      <c r="E137" s="1" t="s">
        <v>46</v>
      </c>
      <c r="F137" s="18">
        <v>17.829999999999998</v>
      </c>
      <c r="G137" s="1">
        <f t="shared" ca="1" si="2"/>
        <v>0.5</v>
      </c>
    </row>
    <row r="138" spans="1:7" x14ac:dyDescent="0.25">
      <c r="A138" s="13">
        <v>137</v>
      </c>
      <c r="B138" s="1" t="s">
        <v>47</v>
      </c>
      <c r="C138" s="1" t="s">
        <v>46</v>
      </c>
      <c r="D138" s="1" t="s">
        <v>47</v>
      </c>
      <c r="E138" s="1" t="s">
        <v>46</v>
      </c>
      <c r="F138" s="18">
        <v>2.12</v>
      </c>
      <c r="G138" s="1">
        <f t="shared" ca="1" si="2"/>
        <v>2</v>
      </c>
    </row>
    <row r="139" spans="1:7" x14ac:dyDescent="0.25">
      <c r="A139" s="13">
        <v>138</v>
      </c>
      <c r="B139" s="1" t="s">
        <v>47</v>
      </c>
      <c r="C139" s="1" t="s">
        <v>46</v>
      </c>
      <c r="D139" s="1" t="s">
        <v>47</v>
      </c>
      <c r="E139" s="1" t="s">
        <v>102</v>
      </c>
      <c r="F139" s="18">
        <v>4.51</v>
      </c>
      <c r="G139" s="1">
        <f t="shared" ca="1" si="2"/>
        <v>2</v>
      </c>
    </row>
    <row r="140" spans="1:7" x14ac:dyDescent="0.25">
      <c r="A140" s="13">
        <v>139</v>
      </c>
      <c r="B140" s="1" t="s">
        <v>47</v>
      </c>
      <c r="C140" s="1" t="s">
        <v>127</v>
      </c>
      <c r="D140" s="1" t="s">
        <v>44</v>
      </c>
      <c r="E140" s="1" t="s">
        <v>79</v>
      </c>
      <c r="F140" s="18">
        <v>4.0999999999999996</v>
      </c>
      <c r="G140" s="1">
        <f t="shared" ca="1" si="2"/>
        <v>0.5</v>
      </c>
    </row>
    <row r="141" spans="1:7" x14ac:dyDescent="0.25">
      <c r="A141" s="13">
        <v>140</v>
      </c>
      <c r="B141" s="1" t="s">
        <v>44</v>
      </c>
      <c r="C141" s="1" t="s">
        <v>128</v>
      </c>
      <c r="D141" s="1" t="s">
        <v>47</v>
      </c>
      <c r="E141" s="1" t="s">
        <v>59</v>
      </c>
      <c r="F141" s="18">
        <v>11.83</v>
      </c>
      <c r="G141" s="1">
        <f t="shared" ca="1" si="2"/>
        <v>1.5</v>
      </c>
    </row>
    <row r="142" spans="1:7" x14ac:dyDescent="0.25">
      <c r="A142" s="13">
        <v>141</v>
      </c>
      <c r="B142" s="1" t="s">
        <v>47</v>
      </c>
      <c r="C142" s="1" t="s">
        <v>54</v>
      </c>
      <c r="D142" s="1" t="s">
        <v>47</v>
      </c>
      <c r="E142" s="1" t="s">
        <v>129</v>
      </c>
      <c r="F142" s="18">
        <v>2.6</v>
      </c>
      <c r="G142" s="1">
        <f t="shared" ca="1" si="2"/>
        <v>0.5</v>
      </c>
    </row>
    <row r="143" spans="1:7" x14ac:dyDescent="0.25">
      <c r="A143" s="13">
        <v>142</v>
      </c>
      <c r="B143" s="1" t="s">
        <v>47</v>
      </c>
      <c r="C143" s="1" t="s">
        <v>129</v>
      </c>
      <c r="D143" s="1" t="s">
        <v>47</v>
      </c>
      <c r="E143" s="1" t="s">
        <v>71</v>
      </c>
      <c r="F143" s="18">
        <v>6.73</v>
      </c>
      <c r="G143" s="1">
        <f t="shared" ca="1" si="2"/>
        <v>0.5</v>
      </c>
    </row>
    <row r="144" spans="1:7" x14ac:dyDescent="0.25">
      <c r="A144" s="13">
        <v>143</v>
      </c>
      <c r="B144" s="1" t="s">
        <v>47</v>
      </c>
      <c r="C144" s="1" t="s">
        <v>71</v>
      </c>
      <c r="D144" s="1" t="s">
        <v>47</v>
      </c>
      <c r="E144" s="1" t="s">
        <v>81</v>
      </c>
      <c r="F144" s="18">
        <v>4.22</v>
      </c>
      <c r="G144" s="1">
        <f t="shared" ca="1" si="2"/>
        <v>1.5</v>
      </c>
    </row>
    <row r="145" spans="1:7" x14ac:dyDescent="0.25">
      <c r="A145" s="13">
        <v>144</v>
      </c>
      <c r="B145" s="1" t="s">
        <v>47</v>
      </c>
      <c r="C145" s="1" t="s">
        <v>80</v>
      </c>
      <c r="D145" s="1" t="s">
        <v>47</v>
      </c>
      <c r="E145" s="1" t="s">
        <v>46</v>
      </c>
      <c r="F145" s="18">
        <v>4.3600000000000003</v>
      </c>
      <c r="G145" s="1">
        <f t="shared" ca="1" si="2"/>
        <v>1.5</v>
      </c>
    </row>
    <row r="146" spans="1:7" x14ac:dyDescent="0.25">
      <c r="A146" s="13">
        <v>145</v>
      </c>
      <c r="B146" s="1" t="s">
        <v>47</v>
      </c>
      <c r="C146" s="1" t="s">
        <v>46</v>
      </c>
      <c r="D146" s="1" t="s">
        <v>47</v>
      </c>
      <c r="E146" s="1" t="s">
        <v>46</v>
      </c>
      <c r="F146" s="18">
        <v>0</v>
      </c>
      <c r="G146" s="1">
        <f t="shared" ca="1" si="2"/>
        <v>2</v>
      </c>
    </row>
    <row r="147" spans="1:7" x14ac:dyDescent="0.25">
      <c r="A147" s="13">
        <v>146</v>
      </c>
      <c r="B147" s="1" t="s">
        <v>47</v>
      </c>
      <c r="C147" s="1" t="s">
        <v>131</v>
      </c>
      <c r="D147" s="1" t="s">
        <v>47</v>
      </c>
      <c r="E147" s="1" t="s">
        <v>66</v>
      </c>
      <c r="F147" s="18">
        <v>2.66</v>
      </c>
      <c r="G147" s="1">
        <f t="shared" ca="1" si="2"/>
        <v>2</v>
      </c>
    </row>
    <row r="148" spans="1:7" x14ac:dyDescent="0.25">
      <c r="A148" s="13">
        <v>147</v>
      </c>
      <c r="B148" s="1" t="s">
        <v>47</v>
      </c>
      <c r="C148" s="1" t="s">
        <v>53</v>
      </c>
      <c r="D148" s="1" t="s">
        <v>47</v>
      </c>
      <c r="E148" s="1" t="s">
        <v>81</v>
      </c>
      <c r="F148" s="18">
        <v>11.17</v>
      </c>
      <c r="G148" s="1">
        <f t="shared" ca="1" si="2"/>
        <v>1.5</v>
      </c>
    </row>
    <row r="149" spans="1:7" x14ac:dyDescent="0.25">
      <c r="A149" s="13">
        <v>148</v>
      </c>
      <c r="B149" s="1" t="s">
        <v>47</v>
      </c>
      <c r="C149" s="1" t="s">
        <v>127</v>
      </c>
      <c r="D149" s="1" t="s">
        <v>47</v>
      </c>
      <c r="E149" s="1" t="s">
        <v>53</v>
      </c>
      <c r="F149" s="18">
        <v>12.86</v>
      </c>
      <c r="G149" s="1">
        <f t="shared" ca="1" si="2"/>
        <v>1</v>
      </c>
    </row>
    <row r="150" spans="1:7" x14ac:dyDescent="0.25">
      <c r="A150" s="13">
        <v>149</v>
      </c>
      <c r="B150" s="1" t="s">
        <v>47</v>
      </c>
      <c r="C150" s="1" t="s">
        <v>81</v>
      </c>
      <c r="D150" s="1" t="s">
        <v>47</v>
      </c>
      <c r="E150" s="1" t="s">
        <v>59</v>
      </c>
      <c r="F150" s="18">
        <v>6.03</v>
      </c>
      <c r="G150" s="1">
        <f t="shared" ca="1" si="2"/>
        <v>0.5</v>
      </c>
    </row>
    <row r="151" spans="1:7" x14ac:dyDescent="0.25">
      <c r="A151" s="13">
        <v>150</v>
      </c>
      <c r="B151" s="1" t="s">
        <v>47</v>
      </c>
      <c r="C151" s="1" t="s">
        <v>50</v>
      </c>
      <c r="D151" s="1" t="s">
        <v>47</v>
      </c>
      <c r="E151" s="1" t="s">
        <v>59</v>
      </c>
      <c r="F151" s="18">
        <v>2.0699999999999998</v>
      </c>
      <c r="G151" s="1">
        <f t="shared" ca="1" si="2"/>
        <v>1</v>
      </c>
    </row>
    <row r="152" spans="1:7" x14ac:dyDescent="0.25">
      <c r="A152" s="13">
        <v>151</v>
      </c>
      <c r="B152" s="1" t="s">
        <v>47</v>
      </c>
      <c r="C152" s="1" t="s">
        <v>59</v>
      </c>
      <c r="D152" s="1" t="s">
        <v>47</v>
      </c>
      <c r="E152" s="1" t="s">
        <v>71</v>
      </c>
      <c r="F152" s="18">
        <v>2.69</v>
      </c>
      <c r="G152" s="1">
        <f t="shared" ca="1" si="2"/>
        <v>0.5</v>
      </c>
    </row>
    <row r="153" spans="1:7" x14ac:dyDescent="0.25">
      <c r="A153" s="13">
        <v>152</v>
      </c>
      <c r="B153" s="1">
        <v>0</v>
      </c>
      <c r="C153" s="1">
        <v>0</v>
      </c>
      <c r="D153" s="1">
        <v>0</v>
      </c>
      <c r="E153" s="1">
        <v>0</v>
      </c>
      <c r="F153" s="18">
        <v>0</v>
      </c>
      <c r="G153" s="1">
        <v>0</v>
      </c>
    </row>
    <row r="154" spans="1:7" x14ac:dyDescent="0.25">
      <c r="A154" s="13">
        <v>153</v>
      </c>
      <c r="B154" s="1" t="s">
        <v>47</v>
      </c>
      <c r="C154" s="1" t="s">
        <v>132</v>
      </c>
      <c r="D154" s="1" t="s">
        <v>47</v>
      </c>
      <c r="E154" s="1" t="s">
        <v>51</v>
      </c>
      <c r="F154" s="18">
        <v>4.83</v>
      </c>
      <c r="G154" s="1">
        <f t="shared" ca="1" si="2"/>
        <v>1.5</v>
      </c>
    </row>
    <row r="155" spans="1:7" x14ac:dyDescent="0.25">
      <c r="A155" s="13">
        <v>154</v>
      </c>
      <c r="B155" s="1" t="s">
        <v>47</v>
      </c>
      <c r="C155" s="1" t="s">
        <v>51</v>
      </c>
      <c r="D155" s="1" t="s">
        <v>47</v>
      </c>
      <c r="E155" s="1" t="s">
        <v>54</v>
      </c>
      <c r="F155" s="18">
        <v>6.04</v>
      </c>
      <c r="G155" s="1">
        <f t="shared" ca="1" si="2"/>
        <v>1.5</v>
      </c>
    </row>
    <row r="156" spans="1:7" x14ac:dyDescent="0.25">
      <c r="A156" s="13">
        <v>155</v>
      </c>
      <c r="B156" s="1" t="s">
        <v>47</v>
      </c>
      <c r="C156" s="1" t="s">
        <v>97</v>
      </c>
      <c r="D156" s="1" t="s">
        <v>47</v>
      </c>
      <c r="E156" s="1" t="s">
        <v>97</v>
      </c>
      <c r="F156" s="18">
        <v>0</v>
      </c>
      <c r="G156" s="1">
        <f t="shared" ca="1" si="2"/>
        <v>1</v>
      </c>
    </row>
    <row r="157" spans="1:7" x14ac:dyDescent="0.25">
      <c r="A157" s="13">
        <v>156</v>
      </c>
      <c r="B157" s="1" t="s">
        <v>47</v>
      </c>
      <c r="C157" s="1" t="s">
        <v>117</v>
      </c>
      <c r="D157" s="1" t="s">
        <v>47</v>
      </c>
      <c r="E157" s="1" t="s">
        <v>54</v>
      </c>
      <c r="F157" s="18">
        <v>3.31</v>
      </c>
      <c r="G157" s="1">
        <f t="shared" ca="1" si="2"/>
        <v>0.5</v>
      </c>
    </row>
    <row r="158" spans="1:7" x14ac:dyDescent="0.25">
      <c r="A158" s="13">
        <v>157</v>
      </c>
      <c r="B158" s="1" t="s">
        <v>47</v>
      </c>
      <c r="C158" s="1" t="s">
        <v>54</v>
      </c>
      <c r="D158" s="1" t="s">
        <v>47</v>
      </c>
      <c r="E158" s="1" t="s">
        <v>70</v>
      </c>
      <c r="F158" s="18">
        <v>8.24</v>
      </c>
      <c r="G158" s="1">
        <f t="shared" ca="1" si="2"/>
        <v>1</v>
      </c>
    </row>
    <row r="159" spans="1:7" x14ac:dyDescent="0.25">
      <c r="A159" s="13">
        <v>158</v>
      </c>
      <c r="B159" s="1" t="s">
        <v>47</v>
      </c>
      <c r="C159" s="1" t="s">
        <v>70</v>
      </c>
      <c r="D159" s="1" t="s">
        <v>47</v>
      </c>
      <c r="E159" s="1" t="s">
        <v>48</v>
      </c>
      <c r="F159" s="18">
        <v>5.22</v>
      </c>
      <c r="G159" s="1">
        <f t="shared" ca="1" si="2"/>
        <v>0.5</v>
      </c>
    </row>
    <row r="160" spans="1:7" x14ac:dyDescent="0.25">
      <c r="A160" s="13">
        <v>159</v>
      </c>
      <c r="B160" s="1" t="s">
        <v>47</v>
      </c>
      <c r="C160" s="1" t="s">
        <v>49</v>
      </c>
      <c r="D160" s="1" t="s">
        <v>47</v>
      </c>
      <c r="E160" s="1" t="s">
        <v>122</v>
      </c>
      <c r="F160" s="18">
        <v>3.31</v>
      </c>
      <c r="G160" s="1">
        <f t="shared" ca="1" si="2"/>
        <v>2</v>
      </c>
    </row>
    <row r="161" spans="1:7" x14ac:dyDescent="0.25">
      <c r="A161" s="13">
        <v>160</v>
      </c>
      <c r="B161" s="1" t="s">
        <v>47</v>
      </c>
      <c r="C161" s="1" t="s">
        <v>122</v>
      </c>
      <c r="D161" s="1" t="s">
        <v>47</v>
      </c>
      <c r="E161" s="1" t="s">
        <v>122</v>
      </c>
      <c r="F161" s="18">
        <v>1.1000000000000001</v>
      </c>
      <c r="G161" s="1">
        <f t="shared" ca="1" si="2"/>
        <v>2</v>
      </c>
    </row>
    <row r="162" spans="1:7" x14ac:dyDescent="0.25">
      <c r="A162" s="13">
        <v>161</v>
      </c>
      <c r="B162" s="1" t="s">
        <v>47</v>
      </c>
      <c r="C162" s="1" t="s">
        <v>122</v>
      </c>
      <c r="D162" s="1" t="s">
        <v>47</v>
      </c>
      <c r="E162" s="1" t="s">
        <v>54</v>
      </c>
      <c r="F162" s="18">
        <v>4.5599999999999996</v>
      </c>
      <c r="G162" s="1">
        <f t="shared" ca="1" si="2"/>
        <v>1</v>
      </c>
    </row>
    <row r="163" spans="1:7" x14ac:dyDescent="0.25">
      <c r="A163" s="13">
        <v>162</v>
      </c>
      <c r="B163" s="1" t="s">
        <v>47</v>
      </c>
      <c r="C163" s="1" t="s">
        <v>97</v>
      </c>
      <c r="D163" s="1" t="s">
        <v>44</v>
      </c>
      <c r="E163" s="1" t="s">
        <v>62</v>
      </c>
      <c r="F163" s="18">
        <v>5.81</v>
      </c>
      <c r="G163" s="1">
        <f t="shared" ca="1" si="2"/>
        <v>1.5</v>
      </c>
    </row>
    <row r="164" spans="1:7" x14ac:dyDescent="0.25">
      <c r="A164" s="13">
        <v>163</v>
      </c>
      <c r="B164" s="1" t="s">
        <v>47</v>
      </c>
      <c r="C164" s="1" t="s">
        <v>118</v>
      </c>
      <c r="D164" s="1" t="s">
        <v>47</v>
      </c>
      <c r="E164" s="1" t="s">
        <v>51</v>
      </c>
      <c r="F164" s="18">
        <v>1.68</v>
      </c>
      <c r="G164" s="1">
        <f t="shared" ca="1" si="2"/>
        <v>0.5</v>
      </c>
    </row>
    <row r="165" spans="1:7" x14ac:dyDescent="0.25">
      <c r="A165" s="13">
        <v>164</v>
      </c>
      <c r="B165" s="1" t="s">
        <v>47</v>
      </c>
      <c r="C165" s="1" t="s">
        <v>51</v>
      </c>
      <c r="D165" s="1" t="s">
        <v>47</v>
      </c>
      <c r="E165" s="1" t="s">
        <v>48</v>
      </c>
      <c r="F165" s="18">
        <v>4.9000000000000004</v>
      </c>
      <c r="G165" s="1">
        <f t="shared" ca="1" si="2"/>
        <v>2</v>
      </c>
    </row>
    <row r="166" spans="1:7" x14ac:dyDescent="0.25">
      <c r="A166" s="13">
        <v>165</v>
      </c>
      <c r="B166" s="1">
        <v>0</v>
      </c>
      <c r="C166" s="1">
        <v>0</v>
      </c>
      <c r="D166" s="1">
        <v>0</v>
      </c>
      <c r="E166" s="1">
        <v>0</v>
      </c>
      <c r="F166" s="18">
        <v>0</v>
      </c>
      <c r="G166" s="1">
        <v>0</v>
      </c>
    </row>
    <row r="167" spans="1:7" x14ac:dyDescent="0.25">
      <c r="A167" s="13">
        <v>166</v>
      </c>
      <c r="B167" s="1" t="s">
        <v>47</v>
      </c>
      <c r="C167" s="1" t="s">
        <v>48</v>
      </c>
      <c r="D167" s="1" t="s">
        <v>47</v>
      </c>
      <c r="E167" s="1" t="s">
        <v>51</v>
      </c>
      <c r="F167" s="18">
        <v>4.3</v>
      </c>
      <c r="G167" s="1">
        <f t="shared" ca="1" si="2"/>
        <v>1.5</v>
      </c>
    </row>
    <row r="168" spans="1:7" x14ac:dyDescent="0.25">
      <c r="A168" s="13">
        <v>167</v>
      </c>
      <c r="B168" s="1" t="s">
        <v>47</v>
      </c>
      <c r="C168" s="1" t="s">
        <v>51</v>
      </c>
      <c r="D168" s="1" t="s">
        <v>44</v>
      </c>
      <c r="E168" s="1" t="s">
        <v>120</v>
      </c>
      <c r="F168" s="18">
        <v>17.3</v>
      </c>
      <c r="G168" s="1">
        <f t="shared" ca="1" si="2"/>
        <v>1.5</v>
      </c>
    </row>
    <row r="169" spans="1:7" x14ac:dyDescent="0.25">
      <c r="A169" s="13">
        <v>168</v>
      </c>
      <c r="B169" s="1" t="s">
        <v>44</v>
      </c>
      <c r="C169" s="1" t="s">
        <v>62</v>
      </c>
      <c r="D169" s="1" t="s">
        <v>44</v>
      </c>
      <c r="E169" s="1" t="s">
        <v>62</v>
      </c>
      <c r="F169" s="18">
        <v>0.8</v>
      </c>
      <c r="G169" s="1">
        <f t="shared" ca="1" si="2"/>
        <v>1.5</v>
      </c>
    </row>
    <row r="170" spans="1:7" x14ac:dyDescent="0.25">
      <c r="A170" s="13">
        <v>169</v>
      </c>
      <c r="B170" s="1" t="s">
        <v>44</v>
      </c>
      <c r="C170" s="1" t="s">
        <v>62</v>
      </c>
      <c r="D170" s="1" t="s">
        <v>47</v>
      </c>
      <c r="E170" s="1" t="s">
        <v>50</v>
      </c>
      <c r="F170" s="18">
        <v>14.52</v>
      </c>
      <c r="G170" s="1">
        <f t="shared" ca="1" si="2"/>
        <v>1</v>
      </c>
    </row>
    <row r="171" spans="1:7" x14ac:dyDescent="0.25">
      <c r="A171" s="13">
        <v>170</v>
      </c>
      <c r="B171" s="1" t="s">
        <v>47</v>
      </c>
      <c r="C171" s="1" t="s">
        <v>50</v>
      </c>
      <c r="D171" s="1" t="s">
        <v>47</v>
      </c>
      <c r="E171" s="1" t="s">
        <v>51</v>
      </c>
      <c r="F171" s="18">
        <v>2.2599999999999998</v>
      </c>
      <c r="G171" s="1">
        <f t="shared" ca="1" si="2"/>
        <v>0.5</v>
      </c>
    </row>
    <row r="172" spans="1:7" x14ac:dyDescent="0.25">
      <c r="A172" s="13">
        <v>171</v>
      </c>
      <c r="B172" s="1" t="s">
        <v>47</v>
      </c>
      <c r="C172" s="1" t="s">
        <v>51</v>
      </c>
      <c r="D172" s="1" t="s">
        <v>47</v>
      </c>
      <c r="E172" s="1" t="s">
        <v>58</v>
      </c>
      <c r="F172" s="18">
        <v>1.59</v>
      </c>
      <c r="G172" s="1">
        <f t="shared" ca="1" si="2"/>
        <v>0.5</v>
      </c>
    </row>
    <row r="173" spans="1:7" x14ac:dyDescent="0.25">
      <c r="A173" s="13">
        <v>172</v>
      </c>
      <c r="B173" s="1" t="s">
        <v>47</v>
      </c>
      <c r="C173" s="1" t="s">
        <v>58</v>
      </c>
      <c r="D173" s="1" t="s">
        <v>47</v>
      </c>
      <c r="E173" s="1" t="s">
        <v>133</v>
      </c>
      <c r="F173" s="18">
        <v>1.64</v>
      </c>
      <c r="G173" s="1">
        <f t="shared" ca="1" si="2"/>
        <v>0.5</v>
      </c>
    </row>
    <row r="174" spans="1:7" x14ac:dyDescent="0.25">
      <c r="A174" s="13">
        <v>173</v>
      </c>
      <c r="B174" s="1" t="s">
        <v>47</v>
      </c>
      <c r="C174" s="1" t="s">
        <v>133</v>
      </c>
      <c r="D174" s="1" t="s">
        <v>47</v>
      </c>
      <c r="E174" s="1" t="s">
        <v>59</v>
      </c>
      <c r="F174" s="18">
        <v>4.42</v>
      </c>
      <c r="G174" s="1">
        <f t="shared" ca="1" si="2"/>
        <v>2</v>
      </c>
    </row>
    <row r="175" spans="1:7" x14ac:dyDescent="0.25">
      <c r="A175" s="13">
        <v>174</v>
      </c>
      <c r="B175" s="1" t="s">
        <v>47</v>
      </c>
      <c r="C175" s="1" t="s">
        <v>50</v>
      </c>
      <c r="D175" s="1" t="s">
        <v>47</v>
      </c>
      <c r="E175" s="1" t="s">
        <v>51</v>
      </c>
      <c r="F175" s="18">
        <v>1.2</v>
      </c>
      <c r="G175" s="1">
        <f t="shared" ca="1" si="2"/>
        <v>1</v>
      </c>
    </row>
    <row r="176" spans="1:7" x14ac:dyDescent="0.25">
      <c r="A176" s="13">
        <v>175</v>
      </c>
      <c r="B176" s="1" t="s">
        <v>47</v>
      </c>
      <c r="C176" s="1" t="s">
        <v>117</v>
      </c>
      <c r="D176" s="1" t="s">
        <v>47</v>
      </c>
      <c r="E176" s="1" t="s">
        <v>50</v>
      </c>
      <c r="F176" s="18">
        <v>1.42</v>
      </c>
      <c r="G176" s="1">
        <f t="shared" ca="1" si="2"/>
        <v>1.5</v>
      </c>
    </row>
    <row r="177" spans="1:7" x14ac:dyDescent="0.25">
      <c r="A177" s="13">
        <v>176</v>
      </c>
      <c r="B177" s="1" t="s">
        <v>47</v>
      </c>
      <c r="C177" s="1" t="s">
        <v>117</v>
      </c>
      <c r="D177" s="1" t="s">
        <v>47</v>
      </c>
      <c r="E177" s="1" t="s">
        <v>59</v>
      </c>
      <c r="F177" s="18">
        <v>2</v>
      </c>
      <c r="G177" s="1">
        <f t="shared" ca="1" si="2"/>
        <v>0.5</v>
      </c>
    </row>
    <row r="178" spans="1:7" x14ac:dyDescent="0.25">
      <c r="A178" s="13">
        <v>177</v>
      </c>
      <c r="B178" s="1" t="s">
        <v>47</v>
      </c>
      <c r="C178" s="1" t="s">
        <v>59</v>
      </c>
      <c r="D178" s="1" t="s">
        <v>47</v>
      </c>
      <c r="E178" s="1" t="s">
        <v>58</v>
      </c>
      <c r="F178" s="18">
        <v>2.1</v>
      </c>
      <c r="G178" s="1">
        <f t="shared" ca="1" si="2"/>
        <v>0.5</v>
      </c>
    </row>
    <row r="179" spans="1:7" x14ac:dyDescent="0.25">
      <c r="A179" s="13">
        <v>178</v>
      </c>
      <c r="B179" s="1" t="s">
        <v>47</v>
      </c>
      <c r="C179" s="1" t="s">
        <v>58</v>
      </c>
      <c r="D179" s="1" t="s">
        <v>47</v>
      </c>
      <c r="E179" s="1" t="s">
        <v>51</v>
      </c>
      <c r="F179" s="18">
        <v>1.57</v>
      </c>
      <c r="G179" s="1">
        <f t="shared" ca="1" si="2"/>
        <v>1</v>
      </c>
    </row>
    <row r="180" spans="1:7" x14ac:dyDescent="0.25">
      <c r="A180" s="13">
        <v>179</v>
      </c>
      <c r="B180" s="1" t="s">
        <v>47</v>
      </c>
      <c r="C180" s="1" t="s">
        <v>51</v>
      </c>
      <c r="D180" s="1" t="s">
        <v>47</v>
      </c>
      <c r="E180" s="1" t="s">
        <v>54</v>
      </c>
      <c r="F180" s="18">
        <v>3</v>
      </c>
      <c r="G180" s="1">
        <f t="shared" ca="1" si="2"/>
        <v>1</v>
      </c>
    </row>
    <row r="181" spans="1:7" x14ac:dyDescent="0.25">
      <c r="A181" s="13">
        <v>180</v>
      </c>
      <c r="B181" s="1" t="s">
        <v>47</v>
      </c>
      <c r="C181" s="1" t="s">
        <v>54</v>
      </c>
      <c r="D181" s="1" t="s">
        <v>47</v>
      </c>
      <c r="E181" s="1" t="s">
        <v>54</v>
      </c>
      <c r="F181" s="18">
        <v>2.06</v>
      </c>
      <c r="G181" s="1">
        <f t="shared" ca="1" si="2"/>
        <v>2</v>
      </c>
    </row>
    <row r="182" spans="1:7" x14ac:dyDescent="0.25">
      <c r="A182" s="13">
        <v>181</v>
      </c>
      <c r="B182" s="1" t="s">
        <v>47</v>
      </c>
      <c r="C182" s="1" t="s">
        <v>50</v>
      </c>
      <c r="D182" s="1" t="s">
        <v>47</v>
      </c>
      <c r="E182" s="1" t="s">
        <v>51</v>
      </c>
      <c r="F182" s="18">
        <v>1.78</v>
      </c>
      <c r="G182" s="1">
        <f t="shared" ca="1" si="2"/>
        <v>2</v>
      </c>
    </row>
    <row r="183" spans="1:7" x14ac:dyDescent="0.25">
      <c r="A183" s="13">
        <v>182</v>
      </c>
      <c r="B183" s="1" t="s">
        <v>47</v>
      </c>
      <c r="C183" s="1" t="s">
        <v>51</v>
      </c>
      <c r="D183" s="1" t="s">
        <v>47</v>
      </c>
      <c r="E183" s="1" t="s">
        <v>48</v>
      </c>
      <c r="F183" s="18">
        <v>4.7699999999999996</v>
      </c>
      <c r="G183" s="1">
        <f t="shared" ca="1" si="2"/>
        <v>2</v>
      </c>
    </row>
    <row r="184" spans="1:7" x14ac:dyDescent="0.25">
      <c r="A184" s="13">
        <v>183</v>
      </c>
      <c r="B184" s="1" t="s">
        <v>47</v>
      </c>
      <c r="C184" s="1" t="s">
        <v>49</v>
      </c>
      <c r="D184" s="1" t="s">
        <v>47</v>
      </c>
      <c r="E184" s="1" t="s">
        <v>54</v>
      </c>
      <c r="F184" s="18">
        <v>9.69</v>
      </c>
      <c r="G184" s="1">
        <f t="shared" ca="1" si="2"/>
        <v>1</v>
      </c>
    </row>
    <row r="185" spans="1:7" x14ac:dyDescent="0.25">
      <c r="A185" s="13">
        <v>184</v>
      </c>
      <c r="B185" s="1" t="s">
        <v>47</v>
      </c>
      <c r="C185" s="1" t="s">
        <v>54</v>
      </c>
      <c r="D185" s="1" t="s">
        <v>47</v>
      </c>
      <c r="E185" s="1" t="s">
        <v>54</v>
      </c>
      <c r="F185" s="18">
        <v>1.75</v>
      </c>
      <c r="G185" s="1">
        <f t="shared" ca="1" si="2"/>
        <v>1.5</v>
      </c>
    </row>
    <row r="186" spans="1:7" x14ac:dyDescent="0.25">
      <c r="A186" s="13">
        <v>185</v>
      </c>
      <c r="B186" s="1" t="s">
        <v>47</v>
      </c>
      <c r="C186" s="1" t="s">
        <v>54</v>
      </c>
      <c r="D186" s="1" t="s">
        <v>47</v>
      </c>
      <c r="E186" s="1" t="s">
        <v>59</v>
      </c>
      <c r="F186" s="18">
        <v>0.54</v>
      </c>
      <c r="G186" s="1">
        <f t="shared" ca="1" si="2"/>
        <v>2</v>
      </c>
    </row>
    <row r="187" spans="1:7" x14ac:dyDescent="0.25">
      <c r="A187" s="13">
        <v>186</v>
      </c>
      <c r="B187" s="1" t="s">
        <v>47</v>
      </c>
      <c r="C187" s="1" t="s">
        <v>59</v>
      </c>
      <c r="D187" s="1" t="s">
        <v>47</v>
      </c>
      <c r="E187" s="1" t="s">
        <v>59</v>
      </c>
      <c r="F187" s="18">
        <v>1.22</v>
      </c>
      <c r="G187" s="1">
        <f t="shared" ca="1" si="2"/>
        <v>0.5</v>
      </c>
    </row>
    <row r="188" spans="1:7" x14ac:dyDescent="0.25">
      <c r="A188" s="13">
        <v>187</v>
      </c>
      <c r="B188" s="1" t="s">
        <v>47</v>
      </c>
      <c r="C188" s="1" t="s">
        <v>49</v>
      </c>
      <c r="D188" s="1" t="s">
        <v>47</v>
      </c>
      <c r="E188" s="1" t="s">
        <v>46</v>
      </c>
      <c r="F188" s="18">
        <v>2.33</v>
      </c>
      <c r="G188" s="1">
        <f t="shared" ca="1" si="2"/>
        <v>1</v>
      </c>
    </row>
    <row r="189" spans="1:7" x14ac:dyDescent="0.25">
      <c r="A189" s="13">
        <v>188</v>
      </c>
      <c r="B189" s="1" t="s">
        <v>47</v>
      </c>
      <c r="C189" s="1" t="s">
        <v>46</v>
      </c>
      <c r="D189" s="1" t="s">
        <v>47</v>
      </c>
      <c r="E189" s="1" t="s">
        <v>59</v>
      </c>
      <c r="F189" s="18">
        <v>4.58</v>
      </c>
      <c r="G189" s="1">
        <f t="shared" ca="1" si="2"/>
        <v>1</v>
      </c>
    </row>
    <row r="190" spans="1:7" x14ac:dyDescent="0.25">
      <c r="A190" s="13">
        <v>189</v>
      </c>
      <c r="B190" s="1" t="s">
        <v>47</v>
      </c>
      <c r="C190" s="1" t="s">
        <v>54</v>
      </c>
      <c r="D190" s="1" t="s">
        <v>47</v>
      </c>
      <c r="E190" s="1" t="s">
        <v>59</v>
      </c>
      <c r="F190" s="18">
        <v>2.17</v>
      </c>
      <c r="G190" s="1">
        <f t="shared" ca="1" si="2"/>
        <v>1.5</v>
      </c>
    </row>
    <row r="191" spans="1:7" x14ac:dyDescent="0.25">
      <c r="A191" s="13">
        <v>190</v>
      </c>
      <c r="B191" s="1" t="s">
        <v>47</v>
      </c>
      <c r="C191" s="1" t="s">
        <v>59</v>
      </c>
      <c r="D191" s="1" t="s">
        <v>47</v>
      </c>
      <c r="E191" s="1" t="s">
        <v>58</v>
      </c>
      <c r="F191" s="18">
        <v>1.67</v>
      </c>
      <c r="G191" s="1">
        <f t="shared" ca="1" si="2"/>
        <v>1</v>
      </c>
    </row>
    <row r="192" spans="1:7" x14ac:dyDescent="0.25">
      <c r="A192" s="13">
        <v>191</v>
      </c>
      <c r="B192" s="1" t="s">
        <v>47</v>
      </c>
      <c r="C192" s="1" t="s">
        <v>58</v>
      </c>
      <c r="D192" s="1" t="s">
        <v>47</v>
      </c>
      <c r="E192" s="1" t="s">
        <v>59</v>
      </c>
      <c r="F192" s="18">
        <v>3.66</v>
      </c>
      <c r="G192" s="1">
        <f t="shared" ca="1" si="2"/>
        <v>1.5</v>
      </c>
    </row>
    <row r="193" spans="1:7" x14ac:dyDescent="0.25">
      <c r="A193" s="13">
        <v>192</v>
      </c>
      <c r="B193" s="1" t="s">
        <v>47</v>
      </c>
      <c r="C193" s="1" t="s">
        <v>59</v>
      </c>
      <c r="D193" s="1" t="s">
        <v>47</v>
      </c>
      <c r="E193" s="1" t="s">
        <v>81</v>
      </c>
      <c r="F193" s="18">
        <v>4</v>
      </c>
      <c r="G193" s="1">
        <f t="shared" ca="1" si="2"/>
        <v>2</v>
      </c>
    </row>
    <row r="194" spans="1:7" x14ac:dyDescent="0.25">
      <c r="A194" s="13">
        <v>193</v>
      </c>
      <c r="B194" s="1" t="s">
        <v>47</v>
      </c>
      <c r="C194" s="1" t="s">
        <v>63</v>
      </c>
      <c r="D194" s="1" t="s">
        <v>44</v>
      </c>
      <c r="E194" s="1" t="s">
        <v>53</v>
      </c>
      <c r="F194" s="18">
        <v>12.3</v>
      </c>
      <c r="G194" s="1">
        <f t="shared" ca="1" si="2"/>
        <v>1.5</v>
      </c>
    </row>
    <row r="195" spans="1:7" x14ac:dyDescent="0.25">
      <c r="A195" s="13">
        <v>194</v>
      </c>
      <c r="B195" s="1" t="s">
        <v>47</v>
      </c>
      <c r="C195" s="1" t="s">
        <v>59</v>
      </c>
      <c r="D195" s="1" t="s">
        <v>47</v>
      </c>
      <c r="E195" s="1" t="s">
        <v>49</v>
      </c>
      <c r="F195" s="18">
        <v>4.3600000000000003</v>
      </c>
      <c r="G195" s="1">
        <f t="shared" ref="G195:G258" ca="1" si="3">CHOOSE(RANDBETWEEN(1,4),0.5,1,1.5,2)</f>
        <v>0.5</v>
      </c>
    </row>
    <row r="196" spans="1:7" x14ac:dyDescent="0.25">
      <c r="A196" s="13">
        <v>195</v>
      </c>
      <c r="B196" s="1" t="s">
        <v>47</v>
      </c>
      <c r="C196" s="1" t="s">
        <v>71</v>
      </c>
      <c r="D196" s="1" t="s">
        <v>47</v>
      </c>
      <c r="E196" s="1" t="s">
        <v>54</v>
      </c>
      <c r="F196" s="18">
        <v>4.97</v>
      </c>
      <c r="G196" s="1">
        <f t="shared" ca="1" si="3"/>
        <v>2</v>
      </c>
    </row>
    <row r="197" spans="1:7" x14ac:dyDescent="0.25">
      <c r="A197" s="13">
        <v>196</v>
      </c>
      <c r="B197" s="1" t="s">
        <v>47</v>
      </c>
      <c r="C197" s="1" t="s">
        <v>50</v>
      </c>
      <c r="D197" s="1" t="s">
        <v>47</v>
      </c>
      <c r="E197" s="1" t="s">
        <v>50</v>
      </c>
      <c r="F197" s="18">
        <v>1.76</v>
      </c>
      <c r="G197" s="1">
        <f t="shared" ca="1" si="3"/>
        <v>0.5</v>
      </c>
    </row>
    <row r="198" spans="1:7" x14ac:dyDescent="0.25">
      <c r="A198" s="13">
        <v>197</v>
      </c>
      <c r="B198" s="1" t="s">
        <v>47</v>
      </c>
      <c r="C198" s="1" t="s">
        <v>52</v>
      </c>
      <c r="D198" s="1" t="s">
        <v>47</v>
      </c>
      <c r="E198" s="1" t="s">
        <v>51</v>
      </c>
      <c r="F198" s="18">
        <v>8.0299999999999994</v>
      </c>
      <c r="G198" s="1">
        <f t="shared" ca="1" si="3"/>
        <v>0.5</v>
      </c>
    </row>
    <row r="199" spans="1:7" x14ac:dyDescent="0.25">
      <c r="A199" s="13">
        <v>198</v>
      </c>
      <c r="B199" s="1" t="s">
        <v>47</v>
      </c>
      <c r="C199" s="1" t="s">
        <v>123</v>
      </c>
      <c r="D199" s="1" t="s">
        <v>47</v>
      </c>
      <c r="E199" s="1" t="s">
        <v>77</v>
      </c>
      <c r="F199" s="18">
        <v>7.11</v>
      </c>
      <c r="G199" s="1">
        <f t="shared" ca="1" si="3"/>
        <v>2</v>
      </c>
    </row>
    <row r="200" spans="1:7" x14ac:dyDescent="0.25">
      <c r="A200" s="13">
        <v>199</v>
      </c>
      <c r="B200" s="1" t="s">
        <v>47</v>
      </c>
      <c r="C200" s="1" t="s">
        <v>75</v>
      </c>
      <c r="D200" s="1" t="s">
        <v>47</v>
      </c>
      <c r="E200" s="1" t="s">
        <v>118</v>
      </c>
      <c r="F200" s="18">
        <v>10.16</v>
      </c>
      <c r="G200" s="1">
        <f t="shared" ca="1" si="3"/>
        <v>1.5</v>
      </c>
    </row>
    <row r="201" spans="1:7" x14ac:dyDescent="0.25">
      <c r="A201" s="13">
        <v>200</v>
      </c>
      <c r="B201" s="1" t="s">
        <v>47</v>
      </c>
      <c r="C201" s="1" t="s">
        <v>117</v>
      </c>
      <c r="D201" s="1" t="s">
        <v>47</v>
      </c>
      <c r="E201" s="1" t="s">
        <v>59</v>
      </c>
      <c r="F201" s="18">
        <v>3.2</v>
      </c>
      <c r="G201" s="1">
        <f t="shared" ca="1" si="3"/>
        <v>2</v>
      </c>
    </row>
    <row r="202" spans="1:7" x14ac:dyDescent="0.25">
      <c r="A202" s="13">
        <v>201</v>
      </c>
      <c r="B202" s="1">
        <v>0</v>
      </c>
      <c r="C202" s="1">
        <v>0</v>
      </c>
      <c r="D202" s="1">
        <v>0</v>
      </c>
      <c r="E202" s="1">
        <v>0</v>
      </c>
      <c r="F202" s="18">
        <v>0</v>
      </c>
      <c r="G202" s="1">
        <f t="shared" ca="1" si="3"/>
        <v>0.5</v>
      </c>
    </row>
    <row r="203" spans="1:7" x14ac:dyDescent="0.25">
      <c r="A203" s="13">
        <v>202</v>
      </c>
      <c r="B203" s="1" t="s">
        <v>47</v>
      </c>
      <c r="C203" s="1" t="s">
        <v>51</v>
      </c>
      <c r="D203" s="1" t="s">
        <v>47</v>
      </c>
      <c r="E203" s="1" t="s">
        <v>53</v>
      </c>
      <c r="F203" s="18">
        <v>6.67</v>
      </c>
      <c r="G203" s="1">
        <f t="shared" ca="1" si="3"/>
        <v>1</v>
      </c>
    </row>
    <row r="204" spans="1:7" x14ac:dyDescent="0.25">
      <c r="A204" s="13">
        <v>203</v>
      </c>
      <c r="B204" s="1" t="s">
        <v>47</v>
      </c>
      <c r="C204" s="1" t="s">
        <v>101</v>
      </c>
      <c r="D204" s="1" t="s">
        <v>47</v>
      </c>
      <c r="E204" s="1" t="s">
        <v>118</v>
      </c>
      <c r="F204" s="18">
        <v>1.79</v>
      </c>
      <c r="G204" s="1">
        <f t="shared" ca="1" si="3"/>
        <v>1.5</v>
      </c>
    </row>
    <row r="205" spans="1:7" x14ac:dyDescent="0.25">
      <c r="A205" s="13">
        <v>204</v>
      </c>
      <c r="B205" s="1" t="s">
        <v>47</v>
      </c>
      <c r="C205" s="1" t="s">
        <v>51</v>
      </c>
      <c r="D205" s="1" t="s">
        <v>47</v>
      </c>
      <c r="E205" s="1" t="s">
        <v>52</v>
      </c>
      <c r="F205" s="18">
        <v>5.2</v>
      </c>
      <c r="G205" s="1">
        <f t="shared" ca="1" si="3"/>
        <v>2</v>
      </c>
    </row>
    <row r="206" spans="1:7" x14ac:dyDescent="0.25">
      <c r="A206" s="13">
        <v>205</v>
      </c>
      <c r="B206" s="1" t="s">
        <v>47</v>
      </c>
      <c r="C206" s="1" t="s">
        <v>52</v>
      </c>
      <c r="D206" s="1" t="s">
        <v>47</v>
      </c>
      <c r="E206" s="1" t="s">
        <v>51</v>
      </c>
      <c r="F206" s="18">
        <v>6.72</v>
      </c>
      <c r="G206" s="1">
        <f t="shared" ca="1" si="3"/>
        <v>2</v>
      </c>
    </row>
    <row r="207" spans="1:7" x14ac:dyDescent="0.25">
      <c r="A207" s="13">
        <v>206</v>
      </c>
      <c r="B207" s="1" t="s">
        <v>47</v>
      </c>
      <c r="C207" s="1" t="s">
        <v>118</v>
      </c>
      <c r="D207" s="1" t="s">
        <v>47</v>
      </c>
      <c r="E207" s="1" t="s">
        <v>51</v>
      </c>
      <c r="F207" s="18">
        <v>1.79</v>
      </c>
      <c r="G207" s="1">
        <f t="shared" ca="1" si="3"/>
        <v>0.5</v>
      </c>
    </row>
    <row r="208" spans="1:7" x14ac:dyDescent="0.25">
      <c r="A208" s="13">
        <v>207</v>
      </c>
      <c r="B208" s="1" t="s">
        <v>47</v>
      </c>
      <c r="C208" s="1" t="s">
        <v>54</v>
      </c>
      <c r="D208" s="1" t="s">
        <v>47</v>
      </c>
      <c r="E208" s="1" t="s">
        <v>54</v>
      </c>
      <c r="F208" s="18">
        <v>1.68</v>
      </c>
      <c r="G208" s="1">
        <f t="shared" ca="1" si="3"/>
        <v>0.5</v>
      </c>
    </row>
    <row r="209" spans="1:7" x14ac:dyDescent="0.25">
      <c r="A209" s="13">
        <v>208</v>
      </c>
      <c r="B209" s="1" t="s">
        <v>47</v>
      </c>
      <c r="C209" s="1" t="s">
        <v>54</v>
      </c>
      <c r="D209" s="1" t="s">
        <v>44</v>
      </c>
      <c r="E209" s="1" t="s">
        <v>79</v>
      </c>
      <c r="F209" s="18">
        <v>10.62</v>
      </c>
      <c r="G209" s="1">
        <f t="shared" ca="1" si="3"/>
        <v>2</v>
      </c>
    </row>
    <row r="210" spans="1:7" x14ac:dyDescent="0.25">
      <c r="A210" s="13">
        <v>209</v>
      </c>
      <c r="B210" s="1" t="s">
        <v>44</v>
      </c>
      <c r="C210" s="1" t="s">
        <v>79</v>
      </c>
      <c r="D210" s="1" t="s">
        <v>47</v>
      </c>
      <c r="E210" s="1" t="s">
        <v>111</v>
      </c>
      <c r="F210" s="18">
        <v>16.649999999999999</v>
      </c>
      <c r="G210" s="1">
        <f t="shared" ca="1" si="3"/>
        <v>1</v>
      </c>
    </row>
    <row r="211" spans="1:7" x14ac:dyDescent="0.25">
      <c r="A211" s="13">
        <v>210</v>
      </c>
      <c r="B211" s="1" t="s">
        <v>47</v>
      </c>
      <c r="C211" s="1" t="s">
        <v>111</v>
      </c>
      <c r="D211" s="1" t="s">
        <v>47</v>
      </c>
      <c r="E211" s="1" t="s">
        <v>58</v>
      </c>
      <c r="F211" s="18">
        <v>9.23</v>
      </c>
      <c r="G211" s="1">
        <f t="shared" ca="1" si="3"/>
        <v>0.5</v>
      </c>
    </row>
    <row r="212" spans="1:7" x14ac:dyDescent="0.25">
      <c r="A212" s="13">
        <v>211</v>
      </c>
      <c r="B212" s="1" t="s">
        <v>47</v>
      </c>
      <c r="C212" s="1" t="s">
        <v>51</v>
      </c>
      <c r="D212" s="1" t="s">
        <v>44</v>
      </c>
      <c r="E212" s="1" t="s">
        <v>62</v>
      </c>
      <c r="F212" s="18">
        <v>17.18</v>
      </c>
      <c r="G212" s="1">
        <f t="shared" ca="1" si="3"/>
        <v>1.5</v>
      </c>
    </row>
    <row r="213" spans="1:7" x14ac:dyDescent="0.25">
      <c r="A213" s="13">
        <v>212</v>
      </c>
      <c r="B213" s="1" t="s">
        <v>47</v>
      </c>
      <c r="C213" s="1" t="s">
        <v>54</v>
      </c>
      <c r="D213" s="1" t="s">
        <v>47</v>
      </c>
      <c r="E213" s="1" t="s">
        <v>54</v>
      </c>
      <c r="F213" s="18">
        <v>3.4</v>
      </c>
      <c r="G213" s="1">
        <f t="shared" ca="1" si="3"/>
        <v>1.5</v>
      </c>
    </row>
    <row r="214" spans="1:7" x14ac:dyDescent="0.25">
      <c r="A214" s="13">
        <v>213</v>
      </c>
      <c r="B214" s="1" t="s">
        <v>47</v>
      </c>
      <c r="C214" s="1" t="s">
        <v>54</v>
      </c>
      <c r="D214" s="1" t="s">
        <v>47</v>
      </c>
      <c r="E214" s="1" t="s">
        <v>59</v>
      </c>
      <c r="F214" s="18">
        <v>1.5</v>
      </c>
      <c r="G214" s="1">
        <f t="shared" ca="1" si="3"/>
        <v>0.5</v>
      </c>
    </row>
    <row r="215" spans="1:7" x14ac:dyDescent="0.25">
      <c r="A215" s="13">
        <v>214</v>
      </c>
      <c r="B215" s="1" t="s">
        <v>47</v>
      </c>
      <c r="C215" s="1" t="s">
        <v>59</v>
      </c>
      <c r="D215" s="1" t="s">
        <v>47</v>
      </c>
      <c r="E215" s="1" t="s">
        <v>54</v>
      </c>
      <c r="F215" s="18">
        <v>2.66</v>
      </c>
      <c r="G215" s="1">
        <f t="shared" ca="1" si="3"/>
        <v>1.5</v>
      </c>
    </row>
    <row r="216" spans="1:7" x14ac:dyDescent="0.25">
      <c r="A216" s="13">
        <v>215</v>
      </c>
      <c r="B216" s="1" t="s">
        <v>47</v>
      </c>
      <c r="C216" s="1" t="s">
        <v>54</v>
      </c>
      <c r="D216" s="1" t="s">
        <v>47</v>
      </c>
      <c r="E216" s="1" t="s">
        <v>58</v>
      </c>
      <c r="F216" s="18">
        <v>1.78</v>
      </c>
      <c r="G216" s="1">
        <f t="shared" ca="1" si="3"/>
        <v>0.5</v>
      </c>
    </row>
    <row r="217" spans="1:7" x14ac:dyDescent="0.25">
      <c r="A217" s="13">
        <v>216</v>
      </c>
      <c r="B217" s="1" t="s">
        <v>47</v>
      </c>
      <c r="C217" s="1" t="s">
        <v>59</v>
      </c>
      <c r="D217" s="1" t="s">
        <v>47</v>
      </c>
      <c r="E217" s="1" t="s">
        <v>59</v>
      </c>
      <c r="F217" s="18">
        <v>1.63</v>
      </c>
      <c r="G217" s="1">
        <f t="shared" ca="1" si="3"/>
        <v>1</v>
      </c>
    </row>
    <row r="218" spans="1:7" x14ac:dyDescent="0.25">
      <c r="A218" s="13">
        <v>217</v>
      </c>
      <c r="B218" s="1" t="s">
        <v>47</v>
      </c>
      <c r="C218" s="1" t="s">
        <v>51</v>
      </c>
      <c r="D218" s="1" t="s">
        <v>47</v>
      </c>
      <c r="E218" s="1" t="s">
        <v>117</v>
      </c>
      <c r="F218" s="18">
        <v>1.49</v>
      </c>
      <c r="G218" s="1">
        <f t="shared" ca="1" si="3"/>
        <v>0.5</v>
      </c>
    </row>
    <row r="219" spans="1:7" x14ac:dyDescent="0.25">
      <c r="A219" s="13">
        <v>218</v>
      </c>
      <c r="B219" s="1" t="s">
        <v>47</v>
      </c>
      <c r="C219" s="1" t="s">
        <v>117</v>
      </c>
      <c r="D219" s="1" t="s">
        <v>47</v>
      </c>
      <c r="E219" s="1" t="s">
        <v>59</v>
      </c>
      <c r="F219" s="18">
        <v>2.4900000000000002</v>
      </c>
      <c r="G219" s="1">
        <f t="shared" ca="1" si="3"/>
        <v>2</v>
      </c>
    </row>
    <row r="220" spans="1:7" x14ac:dyDescent="0.25">
      <c r="A220" s="13">
        <v>219</v>
      </c>
      <c r="B220" s="1" t="s">
        <v>47</v>
      </c>
      <c r="C220" s="1" t="s">
        <v>59</v>
      </c>
      <c r="D220" s="1" t="s">
        <v>47</v>
      </c>
      <c r="E220" s="1" t="s">
        <v>81</v>
      </c>
      <c r="F220" s="18">
        <v>5.94</v>
      </c>
      <c r="G220" s="1">
        <f t="shared" ca="1" si="3"/>
        <v>2</v>
      </c>
    </row>
    <row r="221" spans="1:7" x14ac:dyDescent="0.25">
      <c r="A221" s="13">
        <v>220</v>
      </c>
      <c r="B221" s="1" t="s">
        <v>47</v>
      </c>
      <c r="C221" s="1" t="s">
        <v>81</v>
      </c>
      <c r="D221" s="1" t="s">
        <v>47</v>
      </c>
      <c r="E221" s="1" t="s">
        <v>50</v>
      </c>
      <c r="F221" s="18">
        <v>7.1</v>
      </c>
      <c r="G221" s="1">
        <f t="shared" ca="1" si="3"/>
        <v>0.5</v>
      </c>
    </row>
    <row r="222" spans="1:7" x14ac:dyDescent="0.25">
      <c r="A222" s="13">
        <v>221</v>
      </c>
      <c r="B222" s="1" t="s">
        <v>47</v>
      </c>
      <c r="C222" s="1" t="s">
        <v>50</v>
      </c>
      <c r="D222" s="1" t="s">
        <v>47</v>
      </c>
      <c r="E222" s="1" t="s">
        <v>117</v>
      </c>
      <c r="F222" s="18">
        <v>1.3</v>
      </c>
      <c r="G222" s="1">
        <f t="shared" ca="1" si="3"/>
        <v>1.5</v>
      </c>
    </row>
    <row r="223" spans="1:7" x14ac:dyDescent="0.25">
      <c r="A223" s="13">
        <v>222</v>
      </c>
      <c r="B223" s="1" t="s">
        <v>47</v>
      </c>
      <c r="C223" s="1" t="s">
        <v>51</v>
      </c>
      <c r="D223" s="1" t="s">
        <v>47</v>
      </c>
      <c r="E223" s="1" t="s">
        <v>54</v>
      </c>
      <c r="F223" s="18">
        <v>3.21</v>
      </c>
      <c r="G223" s="1">
        <f t="shared" ca="1" si="3"/>
        <v>1.5</v>
      </c>
    </row>
    <row r="224" spans="1:7" x14ac:dyDescent="0.25">
      <c r="A224" s="13">
        <v>223</v>
      </c>
      <c r="B224" s="1" t="s">
        <v>47</v>
      </c>
      <c r="C224" s="1" t="s">
        <v>129</v>
      </c>
      <c r="D224" s="1" t="s">
        <v>47</v>
      </c>
      <c r="E224" s="1" t="s">
        <v>54</v>
      </c>
      <c r="F224" s="18">
        <v>3.43</v>
      </c>
      <c r="G224" s="1">
        <f t="shared" ca="1" si="3"/>
        <v>1</v>
      </c>
    </row>
    <row r="225" spans="1:7" x14ac:dyDescent="0.25">
      <c r="A225" s="13">
        <v>224</v>
      </c>
      <c r="B225" s="1" t="s">
        <v>47</v>
      </c>
      <c r="C225" s="1" t="s">
        <v>54</v>
      </c>
      <c r="D225" s="1" t="s">
        <v>47</v>
      </c>
      <c r="E225" s="1" t="s">
        <v>48</v>
      </c>
      <c r="F225" s="18">
        <v>3.21</v>
      </c>
      <c r="G225" s="1">
        <f t="shared" ca="1" si="3"/>
        <v>1</v>
      </c>
    </row>
    <row r="226" spans="1:7" x14ac:dyDescent="0.25">
      <c r="A226" s="13">
        <v>225</v>
      </c>
      <c r="B226" s="1" t="s">
        <v>47</v>
      </c>
      <c r="C226" s="1" t="s">
        <v>59</v>
      </c>
      <c r="D226" s="1" t="s">
        <v>47</v>
      </c>
      <c r="E226" s="1" t="s">
        <v>51</v>
      </c>
      <c r="F226" s="18">
        <v>1.65</v>
      </c>
      <c r="G226" s="1">
        <f t="shared" ca="1" si="3"/>
        <v>2</v>
      </c>
    </row>
    <row r="227" spans="1:7" x14ac:dyDescent="0.25">
      <c r="A227" s="13">
        <v>226</v>
      </c>
      <c r="B227" s="1" t="s">
        <v>47</v>
      </c>
      <c r="C227" s="1" t="s">
        <v>59</v>
      </c>
      <c r="D227" s="1" t="s">
        <v>47</v>
      </c>
      <c r="E227" s="1" t="s">
        <v>50</v>
      </c>
      <c r="F227" s="18">
        <v>2.68</v>
      </c>
      <c r="G227" s="1">
        <f t="shared" ca="1" si="3"/>
        <v>0.5</v>
      </c>
    </row>
    <row r="228" spans="1:7" x14ac:dyDescent="0.25">
      <c r="A228" s="13">
        <v>227</v>
      </c>
      <c r="B228" s="1" t="s">
        <v>47</v>
      </c>
      <c r="C228" s="1" t="s">
        <v>73</v>
      </c>
      <c r="D228" s="1" t="s">
        <v>47</v>
      </c>
      <c r="E228" s="1" t="s">
        <v>58</v>
      </c>
      <c r="F228" s="18">
        <v>3.08</v>
      </c>
      <c r="G228" s="1">
        <f t="shared" ca="1" si="3"/>
        <v>2</v>
      </c>
    </row>
    <row r="229" spans="1:7" x14ac:dyDescent="0.25">
      <c r="A229" s="13">
        <v>228</v>
      </c>
      <c r="B229" s="1" t="s">
        <v>47</v>
      </c>
      <c r="C229" s="1" t="s">
        <v>58</v>
      </c>
      <c r="D229" s="1" t="s">
        <v>47</v>
      </c>
      <c r="E229" s="1" t="s">
        <v>71</v>
      </c>
      <c r="F229" s="18">
        <v>6.48</v>
      </c>
      <c r="G229" s="1">
        <f t="shared" ca="1" si="3"/>
        <v>2</v>
      </c>
    </row>
    <row r="230" spans="1:7" x14ac:dyDescent="0.25">
      <c r="A230" s="13">
        <v>229</v>
      </c>
      <c r="B230" s="1" t="s">
        <v>47</v>
      </c>
      <c r="C230" s="1" t="s">
        <v>71</v>
      </c>
      <c r="D230" s="1" t="s">
        <v>47</v>
      </c>
      <c r="E230" s="1" t="s">
        <v>71</v>
      </c>
      <c r="F230" s="18">
        <v>1.5</v>
      </c>
      <c r="G230" s="1">
        <f t="shared" ca="1" si="3"/>
        <v>1.5</v>
      </c>
    </row>
    <row r="231" spans="1:7" x14ac:dyDescent="0.25">
      <c r="A231" s="13">
        <v>230</v>
      </c>
      <c r="B231" s="1" t="s">
        <v>47</v>
      </c>
      <c r="C231" s="1" t="s">
        <v>48</v>
      </c>
      <c r="D231" s="1" t="s">
        <v>44</v>
      </c>
      <c r="E231" s="1" t="s">
        <v>46</v>
      </c>
      <c r="F231" s="18">
        <v>15.31</v>
      </c>
      <c r="G231" s="1">
        <f t="shared" ca="1" si="3"/>
        <v>1</v>
      </c>
    </row>
    <row r="232" spans="1:7" x14ac:dyDescent="0.25">
      <c r="A232" s="13">
        <v>231</v>
      </c>
      <c r="B232" s="1" t="s">
        <v>44</v>
      </c>
      <c r="C232" s="1" t="s">
        <v>46</v>
      </c>
      <c r="D232" s="1" t="s">
        <v>44</v>
      </c>
      <c r="E232" s="1" t="s">
        <v>134</v>
      </c>
      <c r="F232" s="18">
        <v>9.4700000000000006</v>
      </c>
      <c r="G232" s="1">
        <f t="shared" ca="1" si="3"/>
        <v>0.5</v>
      </c>
    </row>
    <row r="233" spans="1:7" x14ac:dyDescent="0.25">
      <c r="A233" s="13">
        <v>232</v>
      </c>
      <c r="B233" s="1" t="s">
        <v>44</v>
      </c>
      <c r="C233" s="1" t="s">
        <v>134</v>
      </c>
      <c r="D233" s="1" t="s">
        <v>44</v>
      </c>
      <c r="E233" s="1" t="s">
        <v>95</v>
      </c>
      <c r="F233" s="18">
        <v>5.59</v>
      </c>
      <c r="G233" s="1">
        <f t="shared" ca="1" si="3"/>
        <v>0.5</v>
      </c>
    </row>
    <row r="234" spans="1:7" x14ac:dyDescent="0.25">
      <c r="A234" s="13">
        <v>233</v>
      </c>
      <c r="B234" s="1" t="s">
        <v>44</v>
      </c>
      <c r="C234" s="1" t="s">
        <v>95</v>
      </c>
      <c r="D234" s="1" t="s">
        <v>47</v>
      </c>
      <c r="E234" s="1" t="s">
        <v>77</v>
      </c>
      <c r="F234" s="18">
        <v>11.43</v>
      </c>
      <c r="G234" s="1">
        <f t="shared" ca="1" si="3"/>
        <v>1.5</v>
      </c>
    </row>
    <row r="235" spans="1:7" x14ac:dyDescent="0.25">
      <c r="A235" s="13">
        <v>234</v>
      </c>
      <c r="B235" s="1" t="s">
        <v>47</v>
      </c>
      <c r="C235" s="1" t="s">
        <v>75</v>
      </c>
      <c r="D235" s="1" t="s">
        <v>47</v>
      </c>
      <c r="E235" s="1" t="s">
        <v>86</v>
      </c>
      <c r="F235" s="18">
        <v>8.2100000000000009</v>
      </c>
      <c r="G235" s="1">
        <f t="shared" ca="1" si="3"/>
        <v>1</v>
      </c>
    </row>
    <row r="236" spans="1:7" x14ac:dyDescent="0.25">
      <c r="A236" s="13">
        <v>235</v>
      </c>
      <c r="B236" s="1" t="s">
        <v>44</v>
      </c>
      <c r="C236" s="1" t="s">
        <v>62</v>
      </c>
      <c r="D236" s="1" t="s">
        <v>47</v>
      </c>
      <c r="E236" s="1" t="s">
        <v>81</v>
      </c>
      <c r="F236" s="18">
        <v>6.91</v>
      </c>
      <c r="G236" s="1">
        <f t="shared" ca="1" si="3"/>
        <v>0.5</v>
      </c>
    </row>
    <row r="237" spans="1:7" x14ac:dyDescent="0.25">
      <c r="A237" s="13">
        <v>236</v>
      </c>
      <c r="B237" s="1" t="s">
        <v>47</v>
      </c>
      <c r="C237" s="1" t="s">
        <v>77</v>
      </c>
      <c r="D237" s="1" t="s">
        <v>47</v>
      </c>
      <c r="E237" s="1" t="s">
        <v>77</v>
      </c>
      <c r="F237" s="18">
        <v>1.54</v>
      </c>
      <c r="G237" s="1">
        <f t="shared" ca="1" si="3"/>
        <v>2</v>
      </c>
    </row>
    <row r="238" spans="1:7" x14ac:dyDescent="0.25">
      <c r="A238" s="13">
        <v>237</v>
      </c>
      <c r="B238" s="1" t="s">
        <v>47</v>
      </c>
      <c r="C238" s="1" t="s">
        <v>81</v>
      </c>
      <c r="D238" s="1" t="s">
        <v>47</v>
      </c>
      <c r="E238" s="1" t="s">
        <v>99</v>
      </c>
      <c r="F238" s="18">
        <v>3.23</v>
      </c>
      <c r="G238" s="1">
        <f t="shared" ca="1" si="3"/>
        <v>0.5</v>
      </c>
    </row>
    <row r="239" spans="1:7" x14ac:dyDescent="0.25">
      <c r="A239" s="13">
        <v>238</v>
      </c>
      <c r="B239" s="1" t="s">
        <v>44</v>
      </c>
      <c r="C239" s="1" t="s">
        <v>94</v>
      </c>
      <c r="D239" s="1" t="s">
        <v>47</v>
      </c>
      <c r="E239" s="1" t="s">
        <v>50</v>
      </c>
      <c r="F239" s="18">
        <v>12.49</v>
      </c>
      <c r="G239" s="1">
        <f t="shared" ca="1" si="3"/>
        <v>1</v>
      </c>
    </row>
    <row r="240" spans="1:7" x14ac:dyDescent="0.25">
      <c r="A240" s="13">
        <v>239</v>
      </c>
      <c r="B240" s="1" t="s">
        <v>47</v>
      </c>
      <c r="C240" s="1" t="s">
        <v>50</v>
      </c>
      <c r="D240" s="1" t="s">
        <v>47</v>
      </c>
      <c r="E240" s="1" t="s">
        <v>59</v>
      </c>
      <c r="F240" s="18">
        <v>3.08</v>
      </c>
      <c r="G240" s="1">
        <f t="shared" ca="1" si="3"/>
        <v>0.5</v>
      </c>
    </row>
    <row r="241" spans="1:7" x14ac:dyDescent="0.25">
      <c r="A241" s="13">
        <v>240</v>
      </c>
      <c r="B241" s="1" t="s">
        <v>47</v>
      </c>
      <c r="C241" s="1" t="s">
        <v>111</v>
      </c>
      <c r="D241" s="1" t="s">
        <v>47</v>
      </c>
      <c r="E241" s="1" t="s">
        <v>97</v>
      </c>
      <c r="F241" s="18">
        <v>8.4700000000000006</v>
      </c>
      <c r="G241" s="1">
        <f t="shared" ca="1" si="3"/>
        <v>1</v>
      </c>
    </row>
    <row r="242" spans="1:7" x14ac:dyDescent="0.25">
      <c r="A242" s="13">
        <v>241</v>
      </c>
      <c r="B242" s="1" t="s">
        <v>47</v>
      </c>
      <c r="C242" s="1" t="s">
        <v>54</v>
      </c>
      <c r="D242" s="1" t="s">
        <v>47</v>
      </c>
      <c r="E242" s="1" t="s">
        <v>75</v>
      </c>
      <c r="F242" s="18">
        <v>8.0399999999999991</v>
      </c>
      <c r="G242" s="1">
        <f t="shared" ca="1" si="3"/>
        <v>2</v>
      </c>
    </row>
    <row r="243" spans="1:7" x14ac:dyDescent="0.25">
      <c r="A243" s="13">
        <v>242</v>
      </c>
      <c r="B243" s="1" t="s">
        <v>47</v>
      </c>
      <c r="C243" s="1" t="s">
        <v>77</v>
      </c>
      <c r="D243" s="1" t="s">
        <v>47</v>
      </c>
      <c r="E243" s="1" t="s">
        <v>99</v>
      </c>
      <c r="F243" s="18">
        <v>2.39</v>
      </c>
      <c r="G243" s="1">
        <f t="shared" ca="1" si="3"/>
        <v>0.5</v>
      </c>
    </row>
    <row r="244" spans="1:7" x14ac:dyDescent="0.25">
      <c r="A244" s="13">
        <v>243</v>
      </c>
      <c r="B244" s="1" t="s">
        <v>47</v>
      </c>
      <c r="C244" s="1" t="s">
        <v>75</v>
      </c>
      <c r="D244" s="1" t="s">
        <v>44</v>
      </c>
      <c r="E244" s="1" t="s">
        <v>135</v>
      </c>
      <c r="F244" s="18">
        <v>2.39</v>
      </c>
      <c r="G244" s="1">
        <f t="shared" ca="1" si="3"/>
        <v>1.5</v>
      </c>
    </row>
    <row r="245" spans="1:7" x14ac:dyDescent="0.25">
      <c r="A245" s="13">
        <v>244</v>
      </c>
      <c r="B245" s="1" t="s">
        <v>47</v>
      </c>
      <c r="C245" s="1" t="s">
        <v>76</v>
      </c>
      <c r="D245" s="1" t="s">
        <v>44</v>
      </c>
      <c r="E245" s="1" t="s">
        <v>79</v>
      </c>
      <c r="F245" s="18">
        <v>1.62</v>
      </c>
      <c r="G245" s="1">
        <f t="shared" ca="1" si="3"/>
        <v>0.5</v>
      </c>
    </row>
    <row r="246" spans="1:7" x14ac:dyDescent="0.25">
      <c r="A246" s="13">
        <v>245</v>
      </c>
      <c r="B246" s="1" t="s">
        <v>44</v>
      </c>
      <c r="C246" s="1" t="s">
        <v>79</v>
      </c>
      <c r="D246" s="1" t="s">
        <v>44</v>
      </c>
      <c r="E246" s="1" t="s">
        <v>79</v>
      </c>
      <c r="F246" s="18">
        <v>0.89</v>
      </c>
      <c r="G246" s="1">
        <f t="shared" ca="1" si="3"/>
        <v>1</v>
      </c>
    </row>
    <row r="247" spans="1:7" x14ac:dyDescent="0.25">
      <c r="A247" s="13">
        <v>246</v>
      </c>
      <c r="B247" s="1" t="s">
        <v>47</v>
      </c>
      <c r="C247" s="1" t="s">
        <v>79</v>
      </c>
      <c r="D247" s="1" t="s">
        <v>44</v>
      </c>
      <c r="E247" s="1" t="s">
        <v>62</v>
      </c>
      <c r="F247" s="18">
        <v>5.34</v>
      </c>
      <c r="G247" s="1">
        <f t="shared" ca="1" si="3"/>
        <v>0.5</v>
      </c>
    </row>
    <row r="248" spans="1:7" x14ac:dyDescent="0.25">
      <c r="A248" s="13">
        <v>247</v>
      </c>
      <c r="B248" s="1" t="s">
        <v>44</v>
      </c>
      <c r="C248" s="1" t="s">
        <v>62</v>
      </c>
      <c r="D248" s="1" t="s">
        <v>44</v>
      </c>
      <c r="E248" s="1" t="s">
        <v>62</v>
      </c>
      <c r="F248" s="18">
        <v>2.3199999999999998</v>
      </c>
      <c r="G248" s="1">
        <f t="shared" ca="1" si="3"/>
        <v>1</v>
      </c>
    </row>
    <row r="249" spans="1:7" x14ac:dyDescent="0.25">
      <c r="A249" s="13">
        <v>248</v>
      </c>
      <c r="B249" s="1" t="s">
        <v>44</v>
      </c>
      <c r="C249" s="1" t="s">
        <v>62</v>
      </c>
      <c r="D249" s="1" t="s">
        <v>47</v>
      </c>
      <c r="E249" s="1" t="s">
        <v>54</v>
      </c>
      <c r="F249" s="18">
        <v>10.27</v>
      </c>
      <c r="G249" s="1">
        <f t="shared" ca="1" si="3"/>
        <v>1.5</v>
      </c>
    </row>
    <row r="250" spans="1:7" x14ac:dyDescent="0.25">
      <c r="A250" s="13">
        <v>249</v>
      </c>
      <c r="B250" s="1" t="s">
        <v>47</v>
      </c>
      <c r="C250" s="1" t="s">
        <v>51</v>
      </c>
      <c r="D250" s="1" t="s">
        <v>47</v>
      </c>
      <c r="E250" s="1" t="s">
        <v>71</v>
      </c>
      <c r="F250" s="18">
        <v>3.19</v>
      </c>
      <c r="G250" s="1">
        <f t="shared" ca="1" si="3"/>
        <v>1</v>
      </c>
    </row>
    <row r="251" spans="1:7" x14ac:dyDescent="0.25">
      <c r="A251" s="13">
        <v>250</v>
      </c>
      <c r="B251" s="1" t="s">
        <v>47</v>
      </c>
      <c r="C251" s="1" t="s">
        <v>71</v>
      </c>
      <c r="D251" s="1" t="s">
        <v>47</v>
      </c>
      <c r="E251" s="1" t="s">
        <v>54</v>
      </c>
      <c r="F251" s="18">
        <v>1.87</v>
      </c>
      <c r="G251" s="1">
        <f t="shared" ca="1" si="3"/>
        <v>1</v>
      </c>
    </row>
    <row r="252" spans="1:7" x14ac:dyDescent="0.25">
      <c r="A252" s="13">
        <v>251</v>
      </c>
      <c r="B252" s="1" t="s">
        <v>47</v>
      </c>
      <c r="C252" s="1" t="s">
        <v>54</v>
      </c>
      <c r="D252" s="1" t="s">
        <v>47</v>
      </c>
      <c r="E252" s="1" t="s">
        <v>52</v>
      </c>
      <c r="F252" s="18">
        <v>12.19</v>
      </c>
      <c r="G252" s="1">
        <f t="shared" ca="1" si="3"/>
        <v>1</v>
      </c>
    </row>
    <row r="253" spans="1:7" x14ac:dyDescent="0.25">
      <c r="A253" s="13">
        <v>252</v>
      </c>
      <c r="B253" s="1" t="s">
        <v>47</v>
      </c>
      <c r="C253" s="1" t="s">
        <v>136</v>
      </c>
      <c r="D253" s="1" t="s">
        <v>44</v>
      </c>
      <c r="E253" s="1" t="s">
        <v>116</v>
      </c>
      <c r="F253" s="18">
        <v>18.5</v>
      </c>
      <c r="G253" s="1">
        <f t="shared" ca="1" si="3"/>
        <v>2</v>
      </c>
    </row>
    <row r="254" spans="1:7" x14ac:dyDescent="0.25">
      <c r="A254" s="13">
        <v>253</v>
      </c>
      <c r="B254" s="1" t="s">
        <v>44</v>
      </c>
      <c r="C254" s="1" t="s">
        <v>116</v>
      </c>
      <c r="D254" s="1" t="s">
        <v>47</v>
      </c>
      <c r="E254" s="1" t="s">
        <v>111</v>
      </c>
      <c r="F254" s="18">
        <v>10.1</v>
      </c>
      <c r="G254" s="1">
        <f t="shared" ca="1" si="3"/>
        <v>1</v>
      </c>
    </row>
    <row r="255" spans="1:7" x14ac:dyDescent="0.25">
      <c r="A255" s="13">
        <v>254</v>
      </c>
      <c r="B255" s="1" t="s">
        <v>47</v>
      </c>
      <c r="C255" s="1" t="s">
        <v>97</v>
      </c>
      <c r="D255" s="1" t="s">
        <v>47</v>
      </c>
      <c r="E255" s="1" t="s">
        <v>54</v>
      </c>
      <c r="F255" s="18">
        <v>2.75</v>
      </c>
      <c r="G255" s="1">
        <f t="shared" ca="1" si="3"/>
        <v>1.5</v>
      </c>
    </row>
    <row r="256" spans="1:7" x14ac:dyDescent="0.25">
      <c r="A256" s="13">
        <v>255</v>
      </c>
      <c r="B256" s="1" t="s">
        <v>47</v>
      </c>
      <c r="C256" s="1" t="s">
        <v>54</v>
      </c>
      <c r="D256" s="1" t="s">
        <v>47</v>
      </c>
      <c r="E256" s="1" t="s">
        <v>51</v>
      </c>
      <c r="F256" s="18">
        <v>4.3899999999999997</v>
      </c>
      <c r="G256" s="1">
        <f t="shared" ca="1" si="3"/>
        <v>1.5</v>
      </c>
    </row>
    <row r="257" spans="1:7" x14ac:dyDescent="0.25">
      <c r="A257" s="13">
        <v>256</v>
      </c>
      <c r="B257" s="1" t="s">
        <v>47</v>
      </c>
      <c r="C257" s="1" t="s">
        <v>51</v>
      </c>
      <c r="D257" s="1" t="s">
        <v>47</v>
      </c>
      <c r="E257" s="1" t="s">
        <v>54</v>
      </c>
      <c r="F257" s="18">
        <v>1.64</v>
      </c>
      <c r="G257" s="1">
        <f t="shared" ca="1" si="3"/>
        <v>1</v>
      </c>
    </row>
    <row r="258" spans="1:7" x14ac:dyDescent="0.25">
      <c r="A258" s="13">
        <v>257</v>
      </c>
      <c r="B258" s="1" t="s">
        <v>47</v>
      </c>
      <c r="C258" s="1" t="s">
        <v>54</v>
      </c>
      <c r="D258" s="1" t="s">
        <v>47</v>
      </c>
      <c r="E258" s="1" t="s">
        <v>113</v>
      </c>
      <c r="F258" s="18">
        <v>15.74</v>
      </c>
      <c r="G258" s="1">
        <f t="shared" ca="1" si="3"/>
        <v>1</v>
      </c>
    </row>
    <row r="259" spans="1:7" x14ac:dyDescent="0.25">
      <c r="A259" s="13">
        <v>258</v>
      </c>
      <c r="B259" s="1" t="s">
        <v>44</v>
      </c>
      <c r="C259" s="1" t="s">
        <v>113</v>
      </c>
      <c r="D259" s="1" t="s">
        <v>47</v>
      </c>
      <c r="E259" s="1" t="s">
        <v>75</v>
      </c>
      <c r="F259" s="18">
        <v>11.48</v>
      </c>
      <c r="G259" s="1">
        <f t="shared" ref="G259:G322" ca="1" si="4">CHOOSE(RANDBETWEEN(1,4),0.5,1,1.5,2)</f>
        <v>1</v>
      </c>
    </row>
    <row r="260" spans="1:7" x14ac:dyDescent="0.25">
      <c r="A260" s="13">
        <v>259</v>
      </c>
      <c r="B260" s="1" t="s">
        <v>47</v>
      </c>
      <c r="C260" s="1" t="s">
        <v>48</v>
      </c>
      <c r="D260" s="1" t="s">
        <v>47</v>
      </c>
      <c r="E260" s="1" t="s">
        <v>58</v>
      </c>
      <c r="F260" s="18">
        <v>3.2</v>
      </c>
      <c r="G260" s="1">
        <f t="shared" ca="1" si="4"/>
        <v>0.5</v>
      </c>
    </row>
    <row r="261" spans="1:7" x14ac:dyDescent="0.25">
      <c r="A261" s="13">
        <v>260</v>
      </c>
      <c r="B261" s="1" t="s">
        <v>47</v>
      </c>
      <c r="C261" s="1" t="s">
        <v>58</v>
      </c>
      <c r="D261" s="1" t="s">
        <v>44</v>
      </c>
      <c r="E261" s="1" t="s">
        <v>74</v>
      </c>
      <c r="F261" s="18">
        <v>19.3</v>
      </c>
      <c r="G261" s="1">
        <f t="shared" ca="1" si="4"/>
        <v>0.5</v>
      </c>
    </row>
    <row r="262" spans="1:7" x14ac:dyDescent="0.25">
      <c r="A262" s="13">
        <v>261</v>
      </c>
      <c r="B262" s="1" t="s">
        <v>44</v>
      </c>
      <c r="C262" s="1" t="s">
        <v>74</v>
      </c>
      <c r="D262" s="1" t="s">
        <v>47</v>
      </c>
      <c r="E262" s="1" t="s">
        <v>127</v>
      </c>
      <c r="F262" s="18">
        <v>12.02</v>
      </c>
      <c r="G262" s="1">
        <f t="shared" ca="1" si="4"/>
        <v>1</v>
      </c>
    </row>
    <row r="263" spans="1:7" x14ac:dyDescent="0.25">
      <c r="A263" s="13">
        <v>262</v>
      </c>
      <c r="B263" s="1" t="s">
        <v>47</v>
      </c>
      <c r="C263" s="1" t="s">
        <v>137</v>
      </c>
      <c r="D263" s="1" t="s">
        <v>47</v>
      </c>
      <c r="E263" s="1" t="s">
        <v>46</v>
      </c>
      <c r="F263" s="18">
        <v>6.18</v>
      </c>
      <c r="G263" s="1">
        <f t="shared" ca="1" si="4"/>
        <v>2</v>
      </c>
    </row>
    <row r="264" spans="1:7" x14ac:dyDescent="0.25">
      <c r="A264" s="13">
        <v>263</v>
      </c>
      <c r="B264" s="1" t="s">
        <v>47</v>
      </c>
      <c r="C264" s="1" t="s">
        <v>49</v>
      </c>
      <c r="D264" s="1" t="s">
        <v>47</v>
      </c>
      <c r="E264" s="1" t="s">
        <v>138</v>
      </c>
      <c r="F264" s="18">
        <v>1.96</v>
      </c>
      <c r="G264" s="1">
        <f t="shared" ca="1" si="4"/>
        <v>1</v>
      </c>
    </row>
    <row r="265" spans="1:7" x14ac:dyDescent="0.25">
      <c r="A265" s="13">
        <v>264</v>
      </c>
      <c r="B265" s="1" t="s">
        <v>47</v>
      </c>
      <c r="C265" s="1" t="s">
        <v>104</v>
      </c>
      <c r="D265" s="1" t="s">
        <v>47</v>
      </c>
      <c r="E265" s="1" t="s">
        <v>46</v>
      </c>
      <c r="F265" s="18">
        <v>1.36</v>
      </c>
      <c r="G265" s="1">
        <f t="shared" ca="1" si="4"/>
        <v>1.5</v>
      </c>
    </row>
    <row r="266" spans="1:7" x14ac:dyDescent="0.25">
      <c r="A266" s="13">
        <v>265</v>
      </c>
      <c r="B266" s="1" t="s">
        <v>47</v>
      </c>
      <c r="C266" s="1" t="s">
        <v>71</v>
      </c>
      <c r="D266" s="1" t="s">
        <v>47</v>
      </c>
      <c r="E266" s="1" t="s">
        <v>111</v>
      </c>
      <c r="F266" s="18">
        <v>8.1300000000000008</v>
      </c>
      <c r="G266" s="1">
        <f t="shared" ca="1" si="4"/>
        <v>1</v>
      </c>
    </row>
    <row r="267" spans="1:7" x14ac:dyDescent="0.25">
      <c r="A267" s="13">
        <v>266</v>
      </c>
      <c r="B267" s="1" t="s">
        <v>47</v>
      </c>
      <c r="C267" s="1" t="s">
        <v>97</v>
      </c>
      <c r="D267" s="1" t="s">
        <v>47</v>
      </c>
      <c r="E267" s="1" t="s">
        <v>62</v>
      </c>
      <c r="F267" s="18">
        <v>5.18</v>
      </c>
      <c r="G267" s="1">
        <f t="shared" ca="1" si="4"/>
        <v>2</v>
      </c>
    </row>
    <row r="268" spans="1:7" x14ac:dyDescent="0.25">
      <c r="A268" s="13">
        <v>267</v>
      </c>
      <c r="B268" s="1" t="s">
        <v>44</v>
      </c>
      <c r="C268" s="1" t="s">
        <v>62</v>
      </c>
      <c r="D268" s="1" t="s">
        <v>44</v>
      </c>
      <c r="E268" s="1" t="s">
        <v>62</v>
      </c>
      <c r="F268" s="18">
        <v>2.82</v>
      </c>
      <c r="G268" s="1">
        <f t="shared" ca="1" si="4"/>
        <v>1</v>
      </c>
    </row>
    <row r="269" spans="1:7" x14ac:dyDescent="0.25">
      <c r="A269" s="13">
        <v>268</v>
      </c>
      <c r="B269" s="1" t="s">
        <v>44</v>
      </c>
      <c r="C269" s="1" t="s">
        <v>91</v>
      </c>
      <c r="D269" s="1" t="s">
        <v>44</v>
      </c>
      <c r="E269" s="1" t="s">
        <v>46</v>
      </c>
      <c r="F269" s="18">
        <v>5.68</v>
      </c>
      <c r="G269" s="1">
        <f t="shared" ca="1" si="4"/>
        <v>1</v>
      </c>
    </row>
    <row r="270" spans="1:7" x14ac:dyDescent="0.25">
      <c r="A270" s="13">
        <v>269</v>
      </c>
      <c r="B270" s="1" t="s">
        <v>44</v>
      </c>
      <c r="C270" s="1" t="s">
        <v>74</v>
      </c>
      <c r="D270" s="1" t="s">
        <v>56</v>
      </c>
      <c r="E270" s="1" t="s">
        <v>46</v>
      </c>
      <c r="F270" s="18">
        <v>43.03</v>
      </c>
      <c r="G270" s="1">
        <f t="shared" ca="1" si="4"/>
        <v>2</v>
      </c>
    </row>
    <row r="271" spans="1:7" x14ac:dyDescent="0.25">
      <c r="A271" s="13">
        <v>270</v>
      </c>
      <c r="B271" s="1" t="s">
        <v>56</v>
      </c>
      <c r="C271" s="1" t="s">
        <v>139</v>
      </c>
      <c r="D271" s="1" t="s">
        <v>56</v>
      </c>
      <c r="E271" s="1" t="s">
        <v>140</v>
      </c>
      <c r="F271" s="18">
        <v>7.55</v>
      </c>
      <c r="G271" s="1">
        <f t="shared" ca="1" si="4"/>
        <v>0.5</v>
      </c>
    </row>
    <row r="272" spans="1:7" x14ac:dyDescent="0.25">
      <c r="A272" s="13">
        <v>271</v>
      </c>
      <c r="B272" s="1" t="s">
        <v>56</v>
      </c>
      <c r="C272" s="1" t="s">
        <v>140</v>
      </c>
      <c r="D272" s="1" t="s">
        <v>56</v>
      </c>
      <c r="E272" s="1" t="s">
        <v>141</v>
      </c>
      <c r="F272" s="18">
        <v>1.78</v>
      </c>
      <c r="G272" s="1">
        <f t="shared" ca="1" si="4"/>
        <v>0.5</v>
      </c>
    </row>
    <row r="273" spans="1:7" x14ac:dyDescent="0.25">
      <c r="A273" s="13">
        <v>272</v>
      </c>
      <c r="B273" s="1" t="s">
        <v>142</v>
      </c>
      <c r="C273" s="1" t="s">
        <v>56</v>
      </c>
      <c r="D273" s="1" t="s">
        <v>44</v>
      </c>
      <c r="E273" s="1" t="s">
        <v>93</v>
      </c>
      <c r="F273" s="18">
        <v>27.33</v>
      </c>
      <c r="G273" s="1">
        <f t="shared" ca="1" si="4"/>
        <v>1.5</v>
      </c>
    </row>
    <row r="274" spans="1:7" x14ac:dyDescent="0.25">
      <c r="A274" s="13">
        <v>273</v>
      </c>
      <c r="B274" s="1" t="s">
        <v>44</v>
      </c>
      <c r="C274" s="1" t="s">
        <v>93</v>
      </c>
      <c r="D274" s="1" t="s">
        <v>47</v>
      </c>
      <c r="E274" s="1" t="s">
        <v>52</v>
      </c>
      <c r="F274" s="18">
        <v>26.76</v>
      </c>
      <c r="G274" s="1">
        <f t="shared" ca="1" si="4"/>
        <v>2</v>
      </c>
    </row>
    <row r="275" spans="1:7" x14ac:dyDescent="0.25">
      <c r="A275" s="13">
        <v>274</v>
      </c>
      <c r="B275" s="1" t="s">
        <v>47</v>
      </c>
      <c r="C275" s="1" t="s">
        <v>143</v>
      </c>
      <c r="D275" s="1" t="s">
        <v>47</v>
      </c>
      <c r="E275" s="1" t="s">
        <v>51</v>
      </c>
      <c r="F275" s="18">
        <v>7.63</v>
      </c>
      <c r="G275" s="1">
        <f t="shared" ca="1" si="4"/>
        <v>1.5</v>
      </c>
    </row>
    <row r="276" spans="1:7" x14ac:dyDescent="0.25">
      <c r="A276" s="13">
        <v>275</v>
      </c>
      <c r="B276" s="1" t="s">
        <v>47</v>
      </c>
      <c r="C276" s="1" t="s">
        <v>51</v>
      </c>
      <c r="D276" s="1" t="s">
        <v>47</v>
      </c>
      <c r="E276" s="1" t="s">
        <v>51</v>
      </c>
      <c r="F276" s="18">
        <v>1.21</v>
      </c>
      <c r="G276" s="1">
        <f t="shared" ca="1" si="4"/>
        <v>1</v>
      </c>
    </row>
    <row r="277" spans="1:7" x14ac:dyDescent="0.25">
      <c r="A277" s="13">
        <v>276</v>
      </c>
      <c r="B277" s="1" t="s">
        <v>47</v>
      </c>
      <c r="C277" s="1" t="s">
        <v>117</v>
      </c>
      <c r="D277" s="1" t="s">
        <v>47</v>
      </c>
      <c r="E277" s="1" t="s">
        <v>54</v>
      </c>
      <c r="F277" s="18">
        <v>1.42</v>
      </c>
      <c r="G277" s="1">
        <f t="shared" ca="1" si="4"/>
        <v>0.5</v>
      </c>
    </row>
    <row r="278" spans="1:7" x14ac:dyDescent="0.25">
      <c r="A278" s="13">
        <v>277</v>
      </c>
      <c r="B278" s="1" t="s">
        <v>47</v>
      </c>
      <c r="C278" s="1" t="s">
        <v>59</v>
      </c>
      <c r="D278" s="1" t="s">
        <v>47</v>
      </c>
      <c r="E278" s="1" t="s">
        <v>58</v>
      </c>
      <c r="F278" s="18">
        <v>0.72</v>
      </c>
      <c r="G278" s="1">
        <f t="shared" ca="1" si="4"/>
        <v>0.5</v>
      </c>
    </row>
    <row r="279" spans="1:7" x14ac:dyDescent="0.25">
      <c r="A279" s="13">
        <v>278</v>
      </c>
      <c r="B279" s="1" t="s">
        <v>47</v>
      </c>
      <c r="C279" s="1" t="s">
        <v>58</v>
      </c>
      <c r="D279" s="1" t="s">
        <v>47</v>
      </c>
      <c r="E279" s="1" t="s">
        <v>58</v>
      </c>
      <c r="F279" s="18">
        <v>0.72</v>
      </c>
      <c r="G279" s="1">
        <f t="shared" ca="1" si="4"/>
        <v>2</v>
      </c>
    </row>
    <row r="280" spans="1:7" x14ac:dyDescent="0.25">
      <c r="A280" s="13">
        <v>279</v>
      </c>
      <c r="B280" s="1" t="s">
        <v>47</v>
      </c>
      <c r="C280" s="1" t="s">
        <v>137</v>
      </c>
      <c r="D280" s="1" t="s">
        <v>47</v>
      </c>
      <c r="E280" s="1" t="s">
        <v>51</v>
      </c>
      <c r="F280" s="18">
        <v>9.23</v>
      </c>
      <c r="G280" s="1">
        <f t="shared" ca="1" si="4"/>
        <v>1</v>
      </c>
    </row>
    <row r="281" spans="1:7" x14ac:dyDescent="0.25">
      <c r="A281" s="13">
        <v>280</v>
      </c>
      <c r="B281" s="1" t="s">
        <v>47</v>
      </c>
      <c r="C281" s="1" t="s">
        <v>81</v>
      </c>
      <c r="D281" s="1" t="s">
        <v>47</v>
      </c>
      <c r="E281" s="1" t="s">
        <v>63</v>
      </c>
      <c r="F281" s="18">
        <v>0.91</v>
      </c>
      <c r="G281" s="1">
        <f t="shared" ca="1" si="4"/>
        <v>2</v>
      </c>
    </row>
    <row r="282" spans="1:7" x14ac:dyDescent="0.25">
      <c r="A282" s="13">
        <v>281</v>
      </c>
      <c r="B282" s="1" t="s">
        <v>47</v>
      </c>
      <c r="C282" s="1" t="s">
        <v>73</v>
      </c>
      <c r="D282" s="1" t="s">
        <v>44</v>
      </c>
      <c r="E282" s="1" t="s">
        <v>46</v>
      </c>
      <c r="F282" s="18">
        <v>19.07</v>
      </c>
      <c r="G282" s="1">
        <f t="shared" ca="1" si="4"/>
        <v>1</v>
      </c>
    </row>
    <row r="283" spans="1:7" x14ac:dyDescent="0.25">
      <c r="A283" s="13">
        <v>282</v>
      </c>
      <c r="B283" s="1" t="s">
        <v>44</v>
      </c>
      <c r="C283" s="1" t="s">
        <v>46</v>
      </c>
      <c r="D283" s="1" t="s">
        <v>44</v>
      </c>
      <c r="E283" s="1" t="s">
        <v>91</v>
      </c>
      <c r="F283" s="18">
        <v>4.24</v>
      </c>
      <c r="G283" s="1">
        <f t="shared" ca="1" si="4"/>
        <v>2</v>
      </c>
    </row>
    <row r="284" spans="1:7" x14ac:dyDescent="0.25">
      <c r="A284" s="13">
        <v>283</v>
      </c>
      <c r="B284" s="1" t="s">
        <v>44</v>
      </c>
      <c r="C284" s="1" t="s">
        <v>91</v>
      </c>
      <c r="D284" s="1" t="s">
        <v>47</v>
      </c>
      <c r="E284" s="1" t="s">
        <v>68</v>
      </c>
      <c r="F284" s="18">
        <v>5</v>
      </c>
      <c r="G284" s="1">
        <f t="shared" ca="1" si="4"/>
        <v>1.5</v>
      </c>
    </row>
    <row r="285" spans="1:7" x14ac:dyDescent="0.25">
      <c r="A285" s="13">
        <v>284</v>
      </c>
      <c r="B285" s="1" t="s">
        <v>47</v>
      </c>
      <c r="C285" s="1" t="s">
        <v>127</v>
      </c>
      <c r="D285" s="1" t="s">
        <v>47</v>
      </c>
      <c r="E285" s="1" t="s">
        <v>46</v>
      </c>
      <c r="F285" s="18">
        <v>5.27</v>
      </c>
      <c r="G285" s="1">
        <f t="shared" ca="1" si="4"/>
        <v>1</v>
      </c>
    </row>
    <row r="286" spans="1:7" x14ac:dyDescent="0.25">
      <c r="A286" s="13">
        <v>285</v>
      </c>
      <c r="B286" s="1" t="s">
        <v>47</v>
      </c>
      <c r="C286" s="1" t="s">
        <v>46</v>
      </c>
      <c r="D286" s="1" t="s">
        <v>47</v>
      </c>
      <c r="E286" s="1" t="s">
        <v>58</v>
      </c>
      <c r="F286" s="18">
        <v>3.96</v>
      </c>
      <c r="G286" s="1">
        <f t="shared" ca="1" si="4"/>
        <v>0.5</v>
      </c>
    </row>
    <row r="287" spans="1:7" x14ac:dyDescent="0.25">
      <c r="A287" s="13">
        <v>286</v>
      </c>
      <c r="B287" s="1" t="s">
        <v>47</v>
      </c>
      <c r="C287" s="1" t="s">
        <v>122</v>
      </c>
      <c r="D287" s="1" t="s">
        <v>47</v>
      </c>
      <c r="E287" s="1" t="s">
        <v>59</v>
      </c>
      <c r="F287" s="18">
        <v>3.3</v>
      </c>
      <c r="G287" s="1">
        <f t="shared" ca="1" si="4"/>
        <v>0.5</v>
      </c>
    </row>
    <row r="288" spans="1:7" x14ac:dyDescent="0.25">
      <c r="A288" s="13">
        <v>287</v>
      </c>
      <c r="B288" s="1" t="s">
        <v>47</v>
      </c>
      <c r="C288" s="1" t="s">
        <v>59</v>
      </c>
      <c r="D288" s="1" t="s">
        <v>47</v>
      </c>
      <c r="E288" s="1" t="s">
        <v>59</v>
      </c>
      <c r="F288" s="18">
        <v>1.69</v>
      </c>
      <c r="G288" s="1">
        <f t="shared" ca="1" si="4"/>
        <v>2</v>
      </c>
    </row>
    <row r="289" spans="1:7" x14ac:dyDescent="0.25">
      <c r="A289" s="13">
        <v>288</v>
      </c>
      <c r="B289" s="1" t="s">
        <v>47</v>
      </c>
      <c r="C289" s="1" t="s">
        <v>54</v>
      </c>
      <c r="D289" s="1" t="s">
        <v>47</v>
      </c>
      <c r="E289" s="1" t="s">
        <v>92</v>
      </c>
      <c r="F289" s="18">
        <v>8.2799999999999994</v>
      </c>
      <c r="G289" s="1">
        <f t="shared" ca="1" si="4"/>
        <v>1</v>
      </c>
    </row>
    <row r="290" spans="1:7" x14ac:dyDescent="0.25">
      <c r="A290" s="13">
        <v>289</v>
      </c>
      <c r="B290" s="1" t="s">
        <v>47</v>
      </c>
      <c r="C290" s="1" t="s">
        <v>67</v>
      </c>
      <c r="D290" s="1" t="s">
        <v>44</v>
      </c>
      <c r="E290" s="1" t="s">
        <v>74</v>
      </c>
      <c r="F290" s="18">
        <v>12.18</v>
      </c>
      <c r="G290" s="1">
        <f t="shared" ca="1" si="4"/>
        <v>2</v>
      </c>
    </row>
    <row r="291" spans="1:7" x14ac:dyDescent="0.25">
      <c r="A291" s="13">
        <v>290</v>
      </c>
      <c r="B291" s="1" t="s">
        <v>44</v>
      </c>
      <c r="C291" s="1" t="s">
        <v>74</v>
      </c>
      <c r="D291" s="1" t="s">
        <v>44</v>
      </c>
      <c r="E291" s="1" t="s">
        <v>79</v>
      </c>
      <c r="F291" s="18">
        <v>7.18</v>
      </c>
      <c r="G291" s="1">
        <f t="shared" ca="1" si="4"/>
        <v>1.5</v>
      </c>
    </row>
    <row r="292" spans="1:7" x14ac:dyDescent="0.25">
      <c r="A292" s="13">
        <v>291</v>
      </c>
      <c r="B292" s="1" t="s">
        <v>44</v>
      </c>
      <c r="C292" s="1" t="s">
        <v>79</v>
      </c>
      <c r="D292" s="1" t="s">
        <v>44</v>
      </c>
      <c r="E292" s="1" t="s">
        <v>79</v>
      </c>
      <c r="F292" s="18">
        <v>2.72</v>
      </c>
      <c r="G292" s="1">
        <f t="shared" ca="1" si="4"/>
        <v>1.5</v>
      </c>
    </row>
    <row r="293" spans="1:7" x14ac:dyDescent="0.25">
      <c r="A293" s="13">
        <v>292</v>
      </c>
      <c r="B293" s="1" t="s">
        <v>47</v>
      </c>
      <c r="C293" s="1" t="s">
        <v>69</v>
      </c>
      <c r="D293" s="1" t="s">
        <v>47</v>
      </c>
      <c r="E293" s="1" t="s">
        <v>99</v>
      </c>
      <c r="F293" s="18">
        <v>3.85</v>
      </c>
      <c r="G293" s="1">
        <f t="shared" ca="1" si="4"/>
        <v>1</v>
      </c>
    </row>
    <row r="294" spans="1:7" x14ac:dyDescent="0.25">
      <c r="A294" s="13">
        <v>293</v>
      </c>
      <c r="B294" s="1" t="s">
        <v>47</v>
      </c>
      <c r="C294" s="1" t="s">
        <v>68</v>
      </c>
      <c r="D294" s="1" t="s">
        <v>44</v>
      </c>
      <c r="E294" s="1" t="s">
        <v>79</v>
      </c>
      <c r="F294" s="18">
        <v>3.7</v>
      </c>
      <c r="G294" s="1">
        <f t="shared" ca="1" si="4"/>
        <v>0.5</v>
      </c>
    </row>
    <row r="295" spans="1:7" x14ac:dyDescent="0.25">
      <c r="A295" s="13">
        <v>294</v>
      </c>
      <c r="B295" s="1" t="s">
        <v>47</v>
      </c>
      <c r="C295" s="1" t="s">
        <v>137</v>
      </c>
      <c r="D295" s="1" t="s">
        <v>47</v>
      </c>
      <c r="E295" s="1" t="s">
        <v>69</v>
      </c>
      <c r="F295" s="18">
        <v>2.1</v>
      </c>
      <c r="G295" s="1">
        <f t="shared" ca="1" si="4"/>
        <v>0.5</v>
      </c>
    </row>
    <row r="296" spans="1:7" x14ac:dyDescent="0.25">
      <c r="A296" s="13">
        <v>295</v>
      </c>
      <c r="B296" s="1" t="s">
        <v>47</v>
      </c>
      <c r="C296" s="1" t="s">
        <v>69</v>
      </c>
      <c r="D296" s="1" t="s">
        <v>47</v>
      </c>
      <c r="E296" s="1" t="s">
        <v>67</v>
      </c>
      <c r="F296" s="18">
        <v>2.4300000000000002</v>
      </c>
      <c r="G296" s="1">
        <f t="shared" ca="1" si="4"/>
        <v>2</v>
      </c>
    </row>
    <row r="297" spans="1:7" x14ac:dyDescent="0.25">
      <c r="A297" s="13">
        <v>296</v>
      </c>
      <c r="B297" s="1" t="s">
        <v>47</v>
      </c>
      <c r="C297" s="1" t="s">
        <v>67</v>
      </c>
      <c r="D297" s="1" t="s">
        <v>47</v>
      </c>
      <c r="E297" s="1" t="s">
        <v>54</v>
      </c>
      <c r="F297" s="18">
        <v>7.9</v>
      </c>
      <c r="G297" s="1">
        <f t="shared" ca="1" si="4"/>
        <v>1.5</v>
      </c>
    </row>
    <row r="298" spans="1:7" x14ac:dyDescent="0.25">
      <c r="A298" s="13">
        <v>297</v>
      </c>
      <c r="B298" s="1" t="s">
        <v>47</v>
      </c>
      <c r="C298" s="1" t="s">
        <v>54</v>
      </c>
      <c r="D298" s="1" t="s">
        <v>47</v>
      </c>
      <c r="E298" s="1" t="s">
        <v>54</v>
      </c>
      <c r="F298" s="18">
        <v>1</v>
      </c>
      <c r="G298" s="1">
        <f t="shared" ca="1" si="4"/>
        <v>0.5</v>
      </c>
    </row>
    <row r="299" spans="1:7" x14ac:dyDescent="0.25">
      <c r="A299" s="13">
        <v>298</v>
      </c>
      <c r="B299" s="1" t="s">
        <v>47</v>
      </c>
      <c r="C299" s="1" t="s">
        <v>97</v>
      </c>
      <c r="D299" s="1" t="s">
        <v>47</v>
      </c>
      <c r="E299" s="1" t="s">
        <v>97</v>
      </c>
      <c r="F299" s="18">
        <v>0.01</v>
      </c>
      <c r="G299" s="1">
        <f t="shared" ca="1" si="4"/>
        <v>1</v>
      </c>
    </row>
    <row r="300" spans="1:7" x14ac:dyDescent="0.25">
      <c r="A300" s="13">
        <v>299</v>
      </c>
      <c r="B300" s="1" t="s">
        <v>144</v>
      </c>
      <c r="C300" s="1" t="s">
        <v>145</v>
      </c>
      <c r="D300" s="1" t="s">
        <v>44</v>
      </c>
      <c r="E300" s="1" t="s">
        <v>46</v>
      </c>
      <c r="F300" s="18">
        <v>18.41</v>
      </c>
      <c r="G300" s="1">
        <f t="shared" ca="1" si="4"/>
        <v>0.5</v>
      </c>
    </row>
    <row r="301" spans="1:7" x14ac:dyDescent="0.25">
      <c r="A301" s="13">
        <v>300</v>
      </c>
      <c r="B301" s="1" t="s">
        <v>44</v>
      </c>
      <c r="C301" s="1" t="s">
        <v>86</v>
      </c>
      <c r="D301" s="1" t="s">
        <v>44</v>
      </c>
      <c r="E301" s="1" t="s">
        <v>46</v>
      </c>
      <c r="F301" s="18">
        <v>4.78</v>
      </c>
      <c r="G301" s="1">
        <f t="shared" ca="1" si="4"/>
        <v>2</v>
      </c>
    </row>
    <row r="302" spans="1:7" x14ac:dyDescent="0.25">
      <c r="A302" s="13">
        <v>301</v>
      </c>
      <c r="B302" s="1" t="s">
        <v>44</v>
      </c>
      <c r="C302" s="1" t="s">
        <v>46</v>
      </c>
      <c r="D302" s="1" t="s">
        <v>44</v>
      </c>
      <c r="E302" s="1" t="s">
        <v>120</v>
      </c>
      <c r="F302" s="18">
        <v>2.13</v>
      </c>
      <c r="G302" s="1">
        <f t="shared" ca="1" si="4"/>
        <v>0.5</v>
      </c>
    </row>
    <row r="303" spans="1:7" x14ac:dyDescent="0.25">
      <c r="A303" s="13">
        <v>302</v>
      </c>
      <c r="B303" s="1" t="s">
        <v>44</v>
      </c>
      <c r="C303" s="1" t="s">
        <v>62</v>
      </c>
      <c r="D303" s="1" t="s">
        <v>47</v>
      </c>
      <c r="E303" s="1" t="s">
        <v>59</v>
      </c>
      <c r="F303" s="18">
        <v>14.16</v>
      </c>
      <c r="G303" s="1">
        <f t="shared" ca="1" si="4"/>
        <v>1.5</v>
      </c>
    </row>
    <row r="304" spans="1:7" x14ac:dyDescent="0.25">
      <c r="A304" s="13">
        <v>303</v>
      </c>
      <c r="B304" s="1" t="s">
        <v>47</v>
      </c>
      <c r="C304" s="1" t="s">
        <v>59</v>
      </c>
      <c r="D304" s="1" t="s">
        <v>47</v>
      </c>
      <c r="E304" s="1" t="s">
        <v>111</v>
      </c>
      <c r="F304" s="18">
        <v>6.98</v>
      </c>
      <c r="G304" s="1">
        <f t="shared" ca="1" si="4"/>
        <v>1.5</v>
      </c>
    </row>
    <row r="305" spans="1:7" x14ac:dyDescent="0.25">
      <c r="A305" s="13">
        <v>304</v>
      </c>
      <c r="B305" s="1" t="s">
        <v>47</v>
      </c>
      <c r="C305" s="1" t="s">
        <v>146</v>
      </c>
      <c r="D305" s="1" t="s">
        <v>47</v>
      </c>
      <c r="E305" s="1" t="s">
        <v>59</v>
      </c>
      <c r="F305" s="18">
        <v>8.17</v>
      </c>
      <c r="G305" s="1">
        <f t="shared" ca="1" si="4"/>
        <v>2</v>
      </c>
    </row>
    <row r="306" spans="1:7" x14ac:dyDescent="0.25">
      <c r="A306" s="13">
        <v>305</v>
      </c>
      <c r="B306" s="1" t="s">
        <v>47</v>
      </c>
      <c r="C306" s="1" t="s">
        <v>97</v>
      </c>
      <c r="D306" s="1" t="s">
        <v>47</v>
      </c>
      <c r="E306" s="1" t="s">
        <v>51</v>
      </c>
      <c r="F306" s="18">
        <v>5.04</v>
      </c>
      <c r="G306" s="1">
        <f t="shared" ca="1" si="4"/>
        <v>2</v>
      </c>
    </row>
    <row r="307" spans="1:7" x14ac:dyDescent="0.25">
      <c r="A307" s="13">
        <v>306</v>
      </c>
      <c r="B307" s="1" t="s">
        <v>44</v>
      </c>
      <c r="C307" s="1" t="s">
        <v>147</v>
      </c>
      <c r="D307" s="1" t="s">
        <v>44</v>
      </c>
      <c r="E307" s="1" t="s">
        <v>46</v>
      </c>
      <c r="F307" s="18">
        <v>2.37</v>
      </c>
      <c r="G307" s="1">
        <f t="shared" ca="1" si="4"/>
        <v>1</v>
      </c>
    </row>
    <row r="308" spans="1:7" x14ac:dyDescent="0.25">
      <c r="A308" s="13">
        <v>307</v>
      </c>
      <c r="B308" s="1" t="s">
        <v>44</v>
      </c>
      <c r="C308" s="1" t="s">
        <v>46</v>
      </c>
      <c r="D308" s="1" t="s">
        <v>47</v>
      </c>
      <c r="E308" s="1" t="s">
        <v>75</v>
      </c>
      <c r="F308" s="18">
        <v>8.7100000000000009</v>
      </c>
      <c r="G308" s="1">
        <f t="shared" ca="1" si="4"/>
        <v>1</v>
      </c>
    </row>
    <row r="309" spans="1:7" x14ac:dyDescent="0.25">
      <c r="A309" s="13">
        <v>308</v>
      </c>
      <c r="B309" s="1" t="s">
        <v>44</v>
      </c>
      <c r="C309" s="1" t="s">
        <v>79</v>
      </c>
      <c r="D309" s="1" t="s">
        <v>47</v>
      </c>
      <c r="E309" s="1" t="s">
        <v>124</v>
      </c>
      <c r="F309" s="18">
        <v>7.3</v>
      </c>
      <c r="G309" s="1">
        <f t="shared" ca="1" si="4"/>
        <v>1.5</v>
      </c>
    </row>
    <row r="310" spans="1:7" x14ac:dyDescent="0.25">
      <c r="A310" s="13">
        <v>309</v>
      </c>
      <c r="B310" s="1" t="s">
        <v>47</v>
      </c>
      <c r="C310" s="1" t="s">
        <v>51</v>
      </c>
      <c r="D310" s="1" t="s">
        <v>47</v>
      </c>
      <c r="E310" s="1" t="s">
        <v>118</v>
      </c>
      <c r="F310" s="18">
        <v>1.62</v>
      </c>
      <c r="G310" s="1">
        <f t="shared" ca="1" si="4"/>
        <v>0.5</v>
      </c>
    </row>
    <row r="311" spans="1:7" x14ac:dyDescent="0.25">
      <c r="A311" s="13">
        <v>310</v>
      </c>
      <c r="B311" s="1" t="s">
        <v>47</v>
      </c>
      <c r="C311" s="1" t="s">
        <v>73</v>
      </c>
      <c r="D311" s="1" t="s">
        <v>47</v>
      </c>
      <c r="E311" s="1" t="s">
        <v>51</v>
      </c>
      <c r="F311" s="18">
        <v>1.19</v>
      </c>
      <c r="G311" s="1">
        <f t="shared" ca="1" si="4"/>
        <v>0.5</v>
      </c>
    </row>
    <row r="312" spans="1:7" x14ac:dyDescent="0.25">
      <c r="A312" s="13">
        <v>311</v>
      </c>
      <c r="B312" s="1" t="s">
        <v>47</v>
      </c>
      <c r="C312" s="1" t="s">
        <v>73</v>
      </c>
      <c r="D312" s="1" t="s">
        <v>47</v>
      </c>
      <c r="E312" s="1" t="s">
        <v>97</v>
      </c>
      <c r="F312" s="18">
        <v>7.43</v>
      </c>
      <c r="G312" s="1">
        <f t="shared" ca="1" si="4"/>
        <v>1.5</v>
      </c>
    </row>
    <row r="313" spans="1:7" x14ac:dyDescent="0.25">
      <c r="A313" s="13">
        <v>312</v>
      </c>
      <c r="B313" s="1" t="s">
        <v>47</v>
      </c>
      <c r="C313" s="1" t="s">
        <v>97</v>
      </c>
      <c r="D313" s="1" t="s">
        <v>44</v>
      </c>
      <c r="E313" s="1" t="s">
        <v>46</v>
      </c>
      <c r="F313" s="18">
        <v>13</v>
      </c>
      <c r="G313" s="1">
        <f t="shared" ca="1" si="4"/>
        <v>1.5</v>
      </c>
    </row>
    <row r="314" spans="1:7" x14ac:dyDescent="0.25">
      <c r="A314" s="13">
        <v>313</v>
      </c>
      <c r="B314" s="1" t="s">
        <v>44</v>
      </c>
      <c r="C314" s="1" t="s">
        <v>148</v>
      </c>
      <c r="D314" s="1" t="s">
        <v>44</v>
      </c>
      <c r="E314" s="1" t="s">
        <v>74</v>
      </c>
      <c r="F314" s="18">
        <v>3.57</v>
      </c>
      <c r="G314" s="1">
        <f t="shared" ca="1" si="4"/>
        <v>1.5</v>
      </c>
    </row>
    <row r="315" spans="1:7" x14ac:dyDescent="0.25">
      <c r="A315" s="13">
        <v>314</v>
      </c>
      <c r="B315" s="1" t="s">
        <v>44</v>
      </c>
      <c r="C315" s="1" t="s">
        <v>74</v>
      </c>
      <c r="D315" s="1" t="s">
        <v>44</v>
      </c>
      <c r="E315" s="1" t="s">
        <v>98</v>
      </c>
      <c r="F315" s="18">
        <v>6.18</v>
      </c>
      <c r="G315" s="1">
        <f t="shared" ca="1" si="4"/>
        <v>2</v>
      </c>
    </row>
    <row r="316" spans="1:7" x14ac:dyDescent="0.25">
      <c r="A316" s="13">
        <v>315</v>
      </c>
      <c r="B316" s="1" t="s">
        <v>44</v>
      </c>
      <c r="C316" s="1" t="s">
        <v>46</v>
      </c>
      <c r="D316" s="1" t="s">
        <v>44</v>
      </c>
      <c r="E316" s="1" t="s">
        <v>79</v>
      </c>
      <c r="F316" s="18">
        <v>5.28</v>
      </c>
      <c r="G316" s="1">
        <f t="shared" ca="1" si="4"/>
        <v>0.5</v>
      </c>
    </row>
    <row r="317" spans="1:7" x14ac:dyDescent="0.25">
      <c r="A317" s="13">
        <v>316</v>
      </c>
      <c r="B317" s="1" t="s">
        <v>44</v>
      </c>
      <c r="C317" s="1" t="s">
        <v>128</v>
      </c>
      <c r="D317" s="1" t="s">
        <v>44</v>
      </c>
      <c r="E317" s="1" t="s">
        <v>149</v>
      </c>
      <c r="F317" s="18">
        <v>22.09</v>
      </c>
      <c r="G317" s="1">
        <f t="shared" ca="1" si="4"/>
        <v>1</v>
      </c>
    </row>
    <row r="318" spans="1:7" x14ac:dyDescent="0.25">
      <c r="A318" s="13">
        <v>317</v>
      </c>
      <c r="B318" s="1" t="s">
        <v>47</v>
      </c>
      <c r="C318" s="1" t="s">
        <v>73</v>
      </c>
      <c r="D318" s="1" t="s">
        <v>47</v>
      </c>
      <c r="E318" s="1" t="s">
        <v>109</v>
      </c>
      <c r="F318" s="18">
        <v>4.16</v>
      </c>
      <c r="G318" s="1">
        <f t="shared" ca="1" si="4"/>
        <v>1.5</v>
      </c>
    </row>
    <row r="319" spans="1:7" x14ac:dyDescent="0.25">
      <c r="A319" s="13">
        <v>318</v>
      </c>
      <c r="B319" s="1" t="s">
        <v>47</v>
      </c>
      <c r="C319" s="1" t="s">
        <v>85</v>
      </c>
      <c r="D319" s="1" t="s">
        <v>44</v>
      </c>
      <c r="E319" s="1" t="s">
        <v>72</v>
      </c>
      <c r="F319" s="18">
        <v>22.77</v>
      </c>
      <c r="G319" s="1">
        <f t="shared" ca="1" si="4"/>
        <v>1</v>
      </c>
    </row>
    <row r="320" spans="1:7" x14ac:dyDescent="0.25">
      <c r="A320" s="13">
        <v>319</v>
      </c>
      <c r="B320" s="1" t="s">
        <v>44</v>
      </c>
      <c r="C320" s="1" t="s">
        <v>72</v>
      </c>
      <c r="D320" s="1" t="s">
        <v>47</v>
      </c>
      <c r="E320" s="1" t="s">
        <v>54</v>
      </c>
      <c r="F320" s="18">
        <v>15.85</v>
      </c>
      <c r="G320" s="1">
        <f t="shared" ca="1" si="4"/>
        <v>0.5</v>
      </c>
    </row>
    <row r="321" spans="1:7" x14ac:dyDescent="0.25">
      <c r="A321" s="1">
        <v>320</v>
      </c>
      <c r="B321" s="1" t="s">
        <v>82</v>
      </c>
      <c r="C321" s="1" t="s">
        <v>150</v>
      </c>
      <c r="D321" s="1" t="s">
        <v>82</v>
      </c>
      <c r="E321" s="1" t="s">
        <v>151</v>
      </c>
      <c r="F321" s="18">
        <v>5.42</v>
      </c>
      <c r="G321" s="1">
        <f t="shared" ca="1" si="4"/>
        <v>2</v>
      </c>
    </row>
    <row r="322" spans="1:7" x14ac:dyDescent="0.25">
      <c r="A322" s="1">
        <v>321</v>
      </c>
      <c r="B322" s="1" t="s">
        <v>82</v>
      </c>
      <c r="C322" s="1" t="s">
        <v>151</v>
      </c>
      <c r="D322" s="1" t="s">
        <v>47</v>
      </c>
      <c r="E322" s="1" t="s">
        <v>50</v>
      </c>
      <c r="F322" s="18">
        <v>11.31</v>
      </c>
      <c r="G322" s="1">
        <f t="shared" ca="1" si="4"/>
        <v>2</v>
      </c>
    </row>
    <row r="323" spans="1:7" x14ac:dyDescent="0.25">
      <c r="A323" s="1">
        <v>322</v>
      </c>
      <c r="B323" s="1" t="s">
        <v>47</v>
      </c>
      <c r="C323" s="1" t="s">
        <v>50</v>
      </c>
      <c r="D323" s="1" t="s">
        <v>47</v>
      </c>
      <c r="E323" s="1" t="s">
        <v>117</v>
      </c>
      <c r="F323" s="18">
        <v>1.82</v>
      </c>
      <c r="G323" s="1">
        <f t="shared" ref="G323:G386" ca="1" si="5">CHOOSE(RANDBETWEEN(1,4),0.5,1,1.5,2)</f>
        <v>1.5</v>
      </c>
    </row>
    <row r="324" spans="1:7" x14ac:dyDescent="0.25">
      <c r="A324" s="1">
        <v>323</v>
      </c>
      <c r="B324" s="1" t="s">
        <v>44</v>
      </c>
      <c r="C324" s="1" t="s">
        <v>72</v>
      </c>
      <c r="D324" s="1" t="s">
        <v>44</v>
      </c>
      <c r="E324" s="1" t="s">
        <v>46</v>
      </c>
      <c r="F324" s="18">
        <v>3.45</v>
      </c>
      <c r="G324" s="1">
        <f t="shared" ca="1" si="5"/>
        <v>1</v>
      </c>
    </row>
    <row r="325" spans="1:7" x14ac:dyDescent="0.25">
      <c r="A325" s="1">
        <v>324</v>
      </c>
      <c r="B325" s="1" t="s">
        <v>44</v>
      </c>
      <c r="C325" s="1" t="s">
        <v>46</v>
      </c>
      <c r="D325" s="1" t="s">
        <v>44</v>
      </c>
      <c r="E325" s="1" t="s">
        <v>152</v>
      </c>
      <c r="F325" s="18">
        <v>3.42</v>
      </c>
      <c r="G325" s="1">
        <f t="shared" ca="1" si="5"/>
        <v>1</v>
      </c>
    </row>
    <row r="326" spans="1:7" x14ac:dyDescent="0.25">
      <c r="A326" s="1">
        <v>325</v>
      </c>
      <c r="B326" s="1" t="s">
        <v>44</v>
      </c>
      <c r="C326" s="1" t="s">
        <v>114</v>
      </c>
      <c r="D326" s="1" t="s">
        <v>44</v>
      </c>
      <c r="E326" s="1" t="s">
        <v>113</v>
      </c>
      <c r="F326" s="18">
        <v>5.73</v>
      </c>
      <c r="G326" s="1">
        <f t="shared" ca="1" si="5"/>
        <v>0.5</v>
      </c>
    </row>
    <row r="327" spans="1:7" x14ac:dyDescent="0.25">
      <c r="A327" s="1">
        <v>326</v>
      </c>
      <c r="B327" s="1" t="s">
        <v>44</v>
      </c>
      <c r="C327" s="1" t="s">
        <v>91</v>
      </c>
      <c r="D327" s="1" t="s">
        <v>44</v>
      </c>
      <c r="E327" s="1" t="s">
        <v>79</v>
      </c>
      <c r="F327" s="18">
        <v>2.02</v>
      </c>
      <c r="G327" s="1">
        <f t="shared" ca="1" si="5"/>
        <v>1.5</v>
      </c>
    </row>
    <row r="328" spans="1:7" x14ac:dyDescent="0.25">
      <c r="A328" s="1">
        <v>327</v>
      </c>
      <c r="B328" s="1" t="s">
        <v>47</v>
      </c>
      <c r="C328" s="1" t="s">
        <v>69</v>
      </c>
      <c r="D328" s="1" t="s">
        <v>47</v>
      </c>
      <c r="E328" s="1" t="s">
        <v>49</v>
      </c>
      <c r="F328" s="18">
        <v>5.7</v>
      </c>
      <c r="G328" s="1">
        <f t="shared" ca="1" si="5"/>
        <v>0.5</v>
      </c>
    </row>
    <row r="329" spans="1:7" x14ac:dyDescent="0.25">
      <c r="A329" s="1">
        <v>328</v>
      </c>
      <c r="B329" s="1" t="s">
        <v>47</v>
      </c>
      <c r="C329" s="1" t="s">
        <v>59</v>
      </c>
      <c r="D329" s="1" t="s">
        <v>47</v>
      </c>
      <c r="E329" s="1" t="s">
        <v>51</v>
      </c>
      <c r="F329" s="18">
        <v>2.27</v>
      </c>
      <c r="G329" s="1">
        <f t="shared" ca="1" si="5"/>
        <v>2</v>
      </c>
    </row>
    <row r="330" spans="1:7" x14ac:dyDescent="0.25">
      <c r="A330" s="1">
        <v>329</v>
      </c>
      <c r="B330" s="1" t="s">
        <v>47</v>
      </c>
      <c r="C330" s="1" t="s">
        <v>51</v>
      </c>
      <c r="D330" s="1" t="s">
        <v>47</v>
      </c>
      <c r="E330" s="1" t="s">
        <v>68</v>
      </c>
      <c r="F330" s="18">
        <v>11.07</v>
      </c>
      <c r="G330" s="1">
        <f t="shared" ca="1" si="5"/>
        <v>0.5</v>
      </c>
    </row>
    <row r="331" spans="1:7" x14ac:dyDescent="0.25">
      <c r="A331" s="1">
        <v>330</v>
      </c>
      <c r="B331" s="1" t="s">
        <v>47</v>
      </c>
      <c r="C331" s="1" t="s">
        <v>68</v>
      </c>
      <c r="D331" s="1" t="s">
        <v>47</v>
      </c>
      <c r="E331" s="1" t="s">
        <v>92</v>
      </c>
      <c r="F331" s="18">
        <v>9</v>
      </c>
      <c r="G331" s="1">
        <f t="shared" ca="1" si="5"/>
        <v>1.5</v>
      </c>
    </row>
    <row r="332" spans="1:7" x14ac:dyDescent="0.25">
      <c r="A332" s="1">
        <v>331</v>
      </c>
      <c r="B332" s="1" t="s">
        <v>44</v>
      </c>
      <c r="C332" s="1" t="s">
        <v>108</v>
      </c>
      <c r="D332" s="1" t="s">
        <v>44</v>
      </c>
      <c r="E332" s="1" t="s">
        <v>74</v>
      </c>
      <c r="F332" s="18">
        <v>9.1300000000000008</v>
      </c>
      <c r="G332" s="1">
        <f t="shared" ca="1" si="5"/>
        <v>2</v>
      </c>
    </row>
    <row r="333" spans="1:7" x14ac:dyDescent="0.25">
      <c r="A333" s="1">
        <v>332</v>
      </c>
      <c r="B333" s="1" t="s">
        <v>44</v>
      </c>
      <c r="C333" s="1" t="s">
        <v>74</v>
      </c>
      <c r="D333" s="1" t="s">
        <v>44</v>
      </c>
      <c r="E333" s="1" t="s">
        <v>46</v>
      </c>
      <c r="F333" s="18">
        <v>3.31</v>
      </c>
      <c r="G333" s="1">
        <f t="shared" ca="1" si="5"/>
        <v>2</v>
      </c>
    </row>
    <row r="334" spans="1:7" x14ac:dyDescent="0.25">
      <c r="A334" s="1">
        <v>333</v>
      </c>
      <c r="B334" s="1" t="s">
        <v>44</v>
      </c>
      <c r="C334" s="1" t="s">
        <v>128</v>
      </c>
      <c r="D334" s="1" t="s">
        <v>47</v>
      </c>
      <c r="E334" s="1" t="s">
        <v>53</v>
      </c>
      <c r="F334" s="18">
        <v>12.26</v>
      </c>
      <c r="G334" s="1">
        <f t="shared" ca="1" si="5"/>
        <v>1</v>
      </c>
    </row>
    <row r="335" spans="1:7" x14ac:dyDescent="0.25">
      <c r="A335" s="1">
        <v>334</v>
      </c>
      <c r="B335" s="1" t="s">
        <v>44</v>
      </c>
      <c r="C335" s="1" t="s">
        <v>153</v>
      </c>
      <c r="D335" s="1" t="s">
        <v>47</v>
      </c>
      <c r="E335" s="1" t="s">
        <v>73</v>
      </c>
      <c r="F335" s="18">
        <v>13.95</v>
      </c>
      <c r="G335" s="1">
        <f t="shared" ca="1" si="5"/>
        <v>0.5</v>
      </c>
    </row>
    <row r="336" spans="1:7" x14ac:dyDescent="0.25">
      <c r="A336" s="1">
        <v>335</v>
      </c>
      <c r="B336" s="1" t="s">
        <v>47</v>
      </c>
      <c r="C336" s="1" t="s">
        <v>59</v>
      </c>
      <c r="D336" s="1" t="s">
        <v>47</v>
      </c>
      <c r="E336" s="1" t="s">
        <v>75</v>
      </c>
      <c r="F336" s="18">
        <v>8.5299999999999994</v>
      </c>
      <c r="G336" s="1">
        <f t="shared" ca="1" si="5"/>
        <v>0.5</v>
      </c>
    </row>
    <row r="337" spans="1:7" x14ac:dyDescent="0.25">
      <c r="A337" s="1">
        <v>336</v>
      </c>
      <c r="B337" s="1" t="s">
        <v>47</v>
      </c>
      <c r="C337" s="1" t="s">
        <v>75</v>
      </c>
      <c r="D337" s="1" t="s">
        <v>44</v>
      </c>
      <c r="E337" s="1" t="s">
        <v>62</v>
      </c>
      <c r="F337" s="18">
        <v>4.5</v>
      </c>
      <c r="G337" s="1">
        <f t="shared" ca="1" si="5"/>
        <v>0.5</v>
      </c>
    </row>
    <row r="338" spans="1:7" x14ac:dyDescent="0.25">
      <c r="A338" s="1">
        <v>337</v>
      </c>
      <c r="B338" s="1" t="s">
        <v>44</v>
      </c>
      <c r="C338" s="1" t="s">
        <v>120</v>
      </c>
      <c r="D338" s="1" t="s">
        <v>44</v>
      </c>
      <c r="E338" s="1" t="s">
        <v>46</v>
      </c>
      <c r="F338" s="18">
        <v>3.37</v>
      </c>
      <c r="G338" s="1">
        <f t="shared" ca="1" si="5"/>
        <v>1</v>
      </c>
    </row>
    <row r="339" spans="1:7" x14ac:dyDescent="0.25">
      <c r="A339" s="1">
        <v>338</v>
      </c>
      <c r="B339" s="1" t="s">
        <v>44</v>
      </c>
      <c r="C339" s="1" t="s">
        <v>46</v>
      </c>
      <c r="D339" s="1" t="s">
        <v>44</v>
      </c>
      <c r="E339" s="1" t="s">
        <v>94</v>
      </c>
      <c r="F339" s="18">
        <v>8.16</v>
      </c>
      <c r="G339" s="1">
        <f t="shared" ca="1" si="5"/>
        <v>1</v>
      </c>
    </row>
    <row r="340" spans="1:7" x14ac:dyDescent="0.25">
      <c r="A340" s="1">
        <v>339</v>
      </c>
      <c r="B340" s="1" t="s">
        <v>44</v>
      </c>
      <c r="C340" s="1" t="s">
        <v>79</v>
      </c>
      <c r="D340" s="1" t="s">
        <v>44</v>
      </c>
      <c r="E340" s="1" t="s">
        <v>62</v>
      </c>
      <c r="F340" s="18">
        <v>7.49</v>
      </c>
      <c r="G340" s="1">
        <f t="shared" ca="1" si="5"/>
        <v>1</v>
      </c>
    </row>
    <row r="341" spans="1:7" x14ac:dyDescent="0.25">
      <c r="A341" s="1">
        <v>340</v>
      </c>
      <c r="B341" s="1" t="s">
        <v>47</v>
      </c>
      <c r="C341" s="1" t="s">
        <v>117</v>
      </c>
      <c r="D341" s="1" t="s">
        <v>47</v>
      </c>
      <c r="E341" s="1" t="s">
        <v>71</v>
      </c>
      <c r="F341" s="18">
        <v>5.2</v>
      </c>
      <c r="G341" s="1">
        <f t="shared" ca="1" si="5"/>
        <v>2</v>
      </c>
    </row>
    <row r="342" spans="1:7" x14ac:dyDescent="0.25">
      <c r="A342" s="1">
        <v>341</v>
      </c>
      <c r="B342" s="1" t="s">
        <v>47</v>
      </c>
      <c r="C342" s="1" t="s">
        <v>71</v>
      </c>
      <c r="D342" s="1" t="s">
        <v>47</v>
      </c>
      <c r="E342" s="1" t="s">
        <v>111</v>
      </c>
      <c r="F342" s="18">
        <v>7.6</v>
      </c>
      <c r="G342" s="1">
        <f t="shared" ca="1" si="5"/>
        <v>0.5</v>
      </c>
    </row>
    <row r="343" spans="1:7" x14ac:dyDescent="0.25">
      <c r="A343" s="1">
        <v>342</v>
      </c>
      <c r="B343" s="1" t="s">
        <v>44</v>
      </c>
      <c r="C343" s="1" t="s">
        <v>115</v>
      </c>
      <c r="D343" s="1" t="s">
        <v>44</v>
      </c>
      <c r="E343" s="1" t="s">
        <v>152</v>
      </c>
      <c r="F343" s="18">
        <v>4.87</v>
      </c>
      <c r="G343" s="1">
        <f t="shared" ca="1" si="5"/>
        <v>1.5</v>
      </c>
    </row>
    <row r="344" spans="1:7" x14ac:dyDescent="0.25">
      <c r="A344" s="1">
        <v>343</v>
      </c>
      <c r="B344" s="1" t="s">
        <v>44</v>
      </c>
      <c r="C344" s="1" t="s">
        <v>152</v>
      </c>
      <c r="D344" s="1" t="s">
        <v>47</v>
      </c>
      <c r="E344" s="1" t="s">
        <v>81</v>
      </c>
      <c r="F344" s="18">
        <v>9.1999999999999993</v>
      </c>
      <c r="G344" s="1">
        <f t="shared" ca="1" si="5"/>
        <v>1</v>
      </c>
    </row>
    <row r="345" spans="1:7" x14ac:dyDescent="0.25">
      <c r="A345" s="1">
        <v>344</v>
      </c>
      <c r="B345" s="1" t="s">
        <v>44</v>
      </c>
      <c r="C345" s="1" t="s">
        <v>74</v>
      </c>
      <c r="D345" s="1" t="s">
        <v>44</v>
      </c>
      <c r="E345" s="1" t="s">
        <v>46</v>
      </c>
      <c r="F345" s="18">
        <v>4.0199999999999996</v>
      </c>
      <c r="G345" s="1">
        <f t="shared" ca="1" si="5"/>
        <v>2</v>
      </c>
    </row>
    <row r="346" spans="1:7" x14ac:dyDescent="0.25">
      <c r="A346" s="1">
        <v>345</v>
      </c>
      <c r="B346" s="1" t="s">
        <v>44</v>
      </c>
      <c r="C346" s="1" t="s">
        <v>120</v>
      </c>
      <c r="D346" s="1" t="s">
        <v>44</v>
      </c>
      <c r="E346" s="1" t="s">
        <v>62</v>
      </c>
      <c r="F346" s="18">
        <v>2.0499999999999998</v>
      </c>
      <c r="G346" s="1">
        <f t="shared" ca="1" si="5"/>
        <v>1.5</v>
      </c>
    </row>
    <row r="347" spans="1:7" x14ac:dyDescent="0.25">
      <c r="A347" s="1">
        <v>346</v>
      </c>
      <c r="B347" s="1" t="s">
        <v>44</v>
      </c>
      <c r="C347" s="1" t="s">
        <v>96</v>
      </c>
      <c r="D347" s="1" t="s">
        <v>44</v>
      </c>
      <c r="E347" s="1" t="s">
        <v>79</v>
      </c>
      <c r="F347" s="18">
        <v>1.76</v>
      </c>
      <c r="G347" s="1">
        <f t="shared" ca="1" si="5"/>
        <v>0.5</v>
      </c>
    </row>
    <row r="348" spans="1:7" x14ac:dyDescent="0.25">
      <c r="A348" s="1">
        <v>347</v>
      </c>
      <c r="B348" s="1" t="s">
        <v>44</v>
      </c>
      <c r="C348" s="1" t="s">
        <v>79</v>
      </c>
      <c r="D348" s="1" t="s">
        <v>44</v>
      </c>
      <c r="E348" s="1" t="s">
        <v>61</v>
      </c>
      <c r="F348" s="18">
        <v>8.99</v>
      </c>
      <c r="G348" s="1">
        <f t="shared" ca="1" si="5"/>
        <v>2</v>
      </c>
    </row>
    <row r="349" spans="1:7" x14ac:dyDescent="0.25">
      <c r="A349" s="1">
        <v>348</v>
      </c>
      <c r="B349" s="1" t="s">
        <v>44</v>
      </c>
      <c r="C349" s="1" t="s">
        <v>105</v>
      </c>
      <c r="D349" s="1" t="s">
        <v>44</v>
      </c>
      <c r="E349" s="1" t="s">
        <v>107</v>
      </c>
      <c r="F349" s="18">
        <v>1.93</v>
      </c>
      <c r="G349" s="1">
        <f t="shared" ca="1" si="5"/>
        <v>1.5</v>
      </c>
    </row>
    <row r="350" spans="1:7" x14ac:dyDescent="0.25">
      <c r="A350" s="1">
        <v>349</v>
      </c>
      <c r="B350" s="1" t="s">
        <v>44</v>
      </c>
      <c r="C350" s="1" t="s">
        <v>154</v>
      </c>
      <c r="D350" s="1" t="s">
        <v>44</v>
      </c>
      <c r="E350" s="1" t="s">
        <v>100</v>
      </c>
      <c r="F350" s="18">
        <v>1.58</v>
      </c>
      <c r="G350" s="1">
        <f t="shared" ca="1" si="5"/>
        <v>2</v>
      </c>
    </row>
    <row r="351" spans="1:7" x14ac:dyDescent="0.25">
      <c r="A351" s="1">
        <v>350</v>
      </c>
      <c r="B351" s="1" t="s">
        <v>44</v>
      </c>
      <c r="C351" s="1" t="s">
        <v>62</v>
      </c>
      <c r="D351" s="1" t="s">
        <v>44</v>
      </c>
      <c r="E351" s="1" t="s">
        <v>95</v>
      </c>
      <c r="F351" s="18">
        <v>5.63</v>
      </c>
      <c r="G351" s="1">
        <f t="shared" ca="1" si="5"/>
        <v>0.5</v>
      </c>
    </row>
    <row r="352" spans="1:7" x14ac:dyDescent="0.25">
      <c r="A352" s="1">
        <v>351</v>
      </c>
      <c r="B352" s="1">
        <v>0</v>
      </c>
      <c r="C352" s="1">
        <v>0</v>
      </c>
      <c r="D352" s="1">
        <v>0</v>
      </c>
      <c r="E352" s="1">
        <v>0</v>
      </c>
      <c r="F352" s="18">
        <v>0</v>
      </c>
      <c r="G352" s="1">
        <v>0</v>
      </c>
    </row>
    <row r="353" spans="1:7" x14ac:dyDescent="0.25">
      <c r="A353" s="1">
        <v>352</v>
      </c>
      <c r="B353" s="1" t="s">
        <v>47</v>
      </c>
      <c r="C353" s="1" t="s">
        <v>59</v>
      </c>
      <c r="D353" s="1" t="s">
        <v>47</v>
      </c>
      <c r="E353" s="1" t="s">
        <v>51</v>
      </c>
      <c r="F353" s="18">
        <v>0.93</v>
      </c>
      <c r="G353" s="1">
        <f t="shared" ca="1" si="5"/>
        <v>0.5</v>
      </c>
    </row>
    <row r="354" spans="1:7" x14ac:dyDescent="0.25">
      <c r="A354" s="1">
        <v>353</v>
      </c>
      <c r="B354" s="1" t="s">
        <v>47</v>
      </c>
      <c r="C354" s="1" t="s">
        <v>117</v>
      </c>
      <c r="D354" s="1" t="s">
        <v>44</v>
      </c>
      <c r="E354" s="1" t="s">
        <v>105</v>
      </c>
      <c r="F354" s="18">
        <v>16.18</v>
      </c>
      <c r="G354" s="1">
        <f t="shared" ca="1" si="5"/>
        <v>0.5</v>
      </c>
    </row>
    <row r="355" spans="1:7" x14ac:dyDescent="0.25">
      <c r="A355" s="1">
        <v>354</v>
      </c>
      <c r="B355" s="1" t="s">
        <v>47</v>
      </c>
      <c r="C355" s="1" t="s">
        <v>52</v>
      </c>
      <c r="D355" s="1" t="s">
        <v>47</v>
      </c>
      <c r="E355" s="1" t="s">
        <v>51</v>
      </c>
      <c r="F355" s="18">
        <v>3.9</v>
      </c>
      <c r="G355" s="1">
        <f t="shared" ca="1" si="5"/>
        <v>1.5</v>
      </c>
    </row>
    <row r="356" spans="1:7" x14ac:dyDescent="0.25">
      <c r="A356" s="1">
        <v>355</v>
      </c>
      <c r="B356" s="1" t="s">
        <v>47</v>
      </c>
      <c r="C356" s="1" t="s">
        <v>51</v>
      </c>
      <c r="D356" s="1" t="s">
        <v>47</v>
      </c>
      <c r="E356" s="1" t="s">
        <v>54</v>
      </c>
      <c r="F356" s="18">
        <v>1.1200000000000001</v>
      </c>
      <c r="G356" s="1">
        <f t="shared" ca="1" si="5"/>
        <v>0.5</v>
      </c>
    </row>
    <row r="357" spans="1:7" x14ac:dyDescent="0.25">
      <c r="A357" s="1">
        <v>356</v>
      </c>
      <c r="B357" s="1" t="s">
        <v>47</v>
      </c>
      <c r="C357" s="1" t="s">
        <v>46</v>
      </c>
      <c r="D357" s="1" t="s">
        <v>47</v>
      </c>
      <c r="E357" s="1" t="s">
        <v>53</v>
      </c>
      <c r="F357" s="18">
        <v>12.49</v>
      </c>
      <c r="G357" s="1">
        <f t="shared" ca="1" si="5"/>
        <v>1.5</v>
      </c>
    </row>
    <row r="358" spans="1:7" x14ac:dyDescent="0.25">
      <c r="A358" s="1">
        <v>357</v>
      </c>
      <c r="B358" s="1" t="s">
        <v>44</v>
      </c>
      <c r="C358" s="1" t="s">
        <v>107</v>
      </c>
      <c r="D358" s="1" t="s">
        <v>47</v>
      </c>
      <c r="E358" s="1" t="s">
        <v>66</v>
      </c>
      <c r="F358" s="18">
        <v>18.170000000000002</v>
      </c>
      <c r="G358" s="1">
        <f t="shared" ca="1" si="5"/>
        <v>0.5</v>
      </c>
    </row>
    <row r="359" spans="1:7" x14ac:dyDescent="0.25">
      <c r="A359" s="1">
        <v>358</v>
      </c>
      <c r="B359" s="1" t="s">
        <v>47</v>
      </c>
      <c r="C359" s="1" t="s">
        <v>81</v>
      </c>
      <c r="D359" s="1" t="s">
        <v>47</v>
      </c>
      <c r="E359" s="1" t="s">
        <v>81</v>
      </c>
      <c r="F359" s="18">
        <v>1.33</v>
      </c>
      <c r="G359" s="1">
        <f t="shared" ca="1" si="5"/>
        <v>1.5</v>
      </c>
    </row>
    <row r="360" spans="1:7" x14ac:dyDescent="0.25">
      <c r="A360" s="1">
        <v>359</v>
      </c>
      <c r="B360" s="1" t="s">
        <v>47</v>
      </c>
      <c r="C360" s="1" t="s">
        <v>80</v>
      </c>
      <c r="D360" s="1" t="s">
        <v>44</v>
      </c>
      <c r="E360" s="1" t="s">
        <v>62</v>
      </c>
      <c r="F360" s="18">
        <v>8.19</v>
      </c>
      <c r="G360" s="1">
        <f t="shared" ca="1" si="5"/>
        <v>2</v>
      </c>
    </row>
    <row r="361" spans="1:7" x14ac:dyDescent="0.25">
      <c r="A361" s="1">
        <v>360</v>
      </c>
      <c r="B361" s="1" t="s">
        <v>44</v>
      </c>
      <c r="C361" s="1" t="s">
        <v>62</v>
      </c>
      <c r="D361" s="1" t="s">
        <v>47</v>
      </c>
      <c r="E361" s="1" t="s">
        <v>64</v>
      </c>
      <c r="F361" s="18">
        <v>4.21</v>
      </c>
      <c r="G361" s="1">
        <f t="shared" ca="1" si="5"/>
        <v>2</v>
      </c>
    </row>
    <row r="362" spans="1:7" x14ac:dyDescent="0.25">
      <c r="A362" s="1">
        <v>361</v>
      </c>
      <c r="B362" s="1" t="s">
        <v>47</v>
      </c>
      <c r="C362" s="1" t="s">
        <v>76</v>
      </c>
      <c r="D362" s="1" t="s">
        <v>47</v>
      </c>
      <c r="E362" s="1" t="s">
        <v>126</v>
      </c>
      <c r="F362" s="18">
        <v>8.6</v>
      </c>
      <c r="G362" s="1">
        <f t="shared" ca="1" si="5"/>
        <v>1</v>
      </c>
    </row>
    <row r="363" spans="1:7" x14ac:dyDescent="0.25">
      <c r="A363" s="1">
        <v>362</v>
      </c>
      <c r="B363" s="1" t="s">
        <v>47</v>
      </c>
      <c r="C363" s="1" t="s">
        <v>46</v>
      </c>
      <c r="D363" s="1" t="s">
        <v>44</v>
      </c>
      <c r="E363" s="1" t="s">
        <v>155</v>
      </c>
      <c r="F363" s="18">
        <v>9.1300000000000008</v>
      </c>
      <c r="G363" s="1">
        <f t="shared" ca="1" si="5"/>
        <v>1.5</v>
      </c>
    </row>
    <row r="364" spans="1:7" x14ac:dyDescent="0.25">
      <c r="A364" s="1">
        <v>363</v>
      </c>
      <c r="B364" s="1" t="s">
        <v>44</v>
      </c>
      <c r="C364" s="1" t="s">
        <v>94</v>
      </c>
      <c r="D364" s="1" t="s">
        <v>47</v>
      </c>
      <c r="E364" s="1" t="s">
        <v>76</v>
      </c>
      <c r="F364" s="18">
        <v>3</v>
      </c>
      <c r="G364" s="1">
        <f t="shared" ca="1" si="5"/>
        <v>1.5</v>
      </c>
    </row>
    <row r="365" spans="1:7" x14ac:dyDescent="0.25">
      <c r="A365" s="1">
        <v>364</v>
      </c>
      <c r="B365" s="1" t="s">
        <v>44</v>
      </c>
      <c r="C365" s="1" t="s">
        <v>76</v>
      </c>
      <c r="D365" s="1" t="s">
        <v>44</v>
      </c>
      <c r="E365" s="1" t="s">
        <v>135</v>
      </c>
      <c r="F365" s="18">
        <v>0.94</v>
      </c>
      <c r="G365" s="1">
        <f t="shared" ca="1" si="5"/>
        <v>1.5</v>
      </c>
    </row>
    <row r="366" spans="1:7" x14ac:dyDescent="0.25">
      <c r="A366" s="1">
        <v>365</v>
      </c>
      <c r="B366" s="1" t="s">
        <v>47</v>
      </c>
      <c r="C366" s="1" t="s">
        <v>135</v>
      </c>
      <c r="D366" s="1" t="s">
        <v>47</v>
      </c>
      <c r="E366" s="1" t="s">
        <v>77</v>
      </c>
      <c r="F366" s="18">
        <v>4.17</v>
      </c>
      <c r="G366" s="1">
        <f t="shared" ca="1" si="5"/>
        <v>2</v>
      </c>
    </row>
    <row r="367" spans="1:7" x14ac:dyDescent="0.25">
      <c r="A367" s="1">
        <v>366</v>
      </c>
      <c r="B367" s="1" t="s">
        <v>47</v>
      </c>
      <c r="C367" s="1" t="s">
        <v>77</v>
      </c>
      <c r="D367" s="1" t="s">
        <v>47</v>
      </c>
      <c r="E367" s="1" t="s">
        <v>81</v>
      </c>
      <c r="F367" s="18">
        <v>1.0900000000000001</v>
      </c>
      <c r="G367" s="1">
        <f t="shared" ca="1" si="5"/>
        <v>1.5</v>
      </c>
    </row>
    <row r="368" spans="1:7" x14ac:dyDescent="0.25">
      <c r="A368" s="1">
        <v>367</v>
      </c>
      <c r="B368" s="1" t="s">
        <v>47</v>
      </c>
      <c r="C368" s="1" t="s">
        <v>75</v>
      </c>
      <c r="D368" s="1" t="s">
        <v>47</v>
      </c>
      <c r="E368" s="1" t="s">
        <v>51</v>
      </c>
      <c r="F368" s="18">
        <v>7.78</v>
      </c>
      <c r="G368" s="1">
        <f t="shared" ca="1" si="5"/>
        <v>0.5</v>
      </c>
    </row>
    <row r="369" spans="1:7" x14ac:dyDescent="0.25">
      <c r="A369" s="1">
        <v>368</v>
      </c>
      <c r="B369" s="1" t="s">
        <v>47</v>
      </c>
      <c r="C369" s="1" t="s">
        <v>54</v>
      </c>
      <c r="D369" s="1" t="s">
        <v>47</v>
      </c>
      <c r="E369" s="1" t="s">
        <v>48</v>
      </c>
      <c r="F369" s="18">
        <v>0.68</v>
      </c>
      <c r="G369" s="1">
        <f t="shared" ca="1" si="5"/>
        <v>1</v>
      </c>
    </row>
    <row r="370" spans="1:7" x14ac:dyDescent="0.25">
      <c r="A370" s="1">
        <v>369</v>
      </c>
      <c r="B370" s="1" t="s">
        <v>47</v>
      </c>
      <c r="C370" s="1" t="s">
        <v>48</v>
      </c>
      <c r="D370" s="1" t="s">
        <v>47</v>
      </c>
      <c r="E370" s="1" t="s">
        <v>59</v>
      </c>
      <c r="F370" s="18">
        <v>2.4900000000000002</v>
      </c>
      <c r="G370" s="1">
        <f t="shared" ca="1" si="5"/>
        <v>2</v>
      </c>
    </row>
    <row r="371" spans="1:7" x14ac:dyDescent="0.25">
      <c r="A371" s="1">
        <v>370</v>
      </c>
      <c r="B371" s="1" t="s">
        <v>47</v>
      </c>
      <c r="C371" s="1" t="s">
        <v>59</v>
      </c>
      <c r="D371" s="1" t="s">
        <v>47</v>
      </c>
      <c r="E371" s="1" t="s">
        <v>54</v>
      </c>
      <c r="F371" s="18">
        <v>1.23</v>
      </c>
      <c r="G371" s="1">
        <f t="shared" ca="1" si="5"/>
        <v>0.5</v>
      </c>
    </row>
    <row r="372" spans="1:7" x14ac:dyDescent="0.25">
      <c r="A372" s="1">
        <v>371</v>
      </c>
      <c r="B372" s="1">
        <v>0</v>
      </c>
      <c r="C372" s="1">
        <v>0</v>
      </c>
      <c r="D372" s="1">
        <v>0</v>
      </c>
      <c r="E372" s="1">
        <v>0</v>
      </c>
      <c r="F372" s="18">
        <v>0</v>
      </c>
      <c r="G372" s="1">
        <f t="shared" ca="1" si="5"/>
        <v>0.5</v>
      </c>
    </row>
    <row r="373" spans="1:7" x14ac:dyDescent="0.25">
      <c r="A373" s="1">
        <v>372</v>
      </c>
      <c r="B373" s="1" t="s">
        <v>47</v>
      </c>
      <c r="C373" s="1" t="s">
        <v>59</v>
      </c>
      <c r="D373" s="1" t="s">
        <v>47</v>
      </c>
      <c r="E373" s="1" t="s">
        <v>51</v>
      </c>
      <c r="F373" s="18">
        <v>1.75</v>
      </c>
      <c r="G373" s="1">
        <f t="shared" ca="1" si="5"/>
        <v>0.5</v>
      </c>
    </row>
    <row r="374" spans="1:7" x14ac:dyDescent="0.25">
      <c r="A374" s="1">
        <v>373</v>
      </c>
      <c r="B374" s="1" t="s">
        <v>47</v>
      </c>
      <c r="C374" s="1" t="s">
        <v>58</v>
      </c>
      <c r="D374" s="1" t="s">
        <v>47</v>
      </c>
      <c r="E374" s="1" t="s">
        <v>51</v>
      </c>
      <c r="F374" s="18">
        <v>1.49</v>
      </c>
      <c r="G374" s="1">
        <f t="shared" ca="1" si="5"/>
        <v>1</v>
      </c>
    </row>
    <row r="375" spans="1:7" x14ac:dyDescent="0.25">
      <c r="A375" s="1">
        <v>374</v>
      </c>
      <c r="B375" s="1" t="s">
        <v>47</v>
      </c>
      <c r="C375" s="1" t="s">
        <v>51</v>
      </c>
      <c r="D375" s="1" t="s">
        <v>44</v>
      </c>
      <c r="E375" s="1" t="s">
        <v>96</v>
      </c>
      <c r="F375" s="18">
        <v>13.16</v>
      </c>
      <c r="G375" s="1">
        <f t="shared" ca="1" si="5"/>
        <v>1</v>
      </c>
    </row>
    <row r="376" spans="1:7" x14ac:dyDescent="0.25">
      <c r="A376" s="1">
        <v>375</v>
      </c>
      <c r="B376" s="1" t="s">
        <v>44</v>
      </c>
      <c r="C376" s="1" t="s">
        <v>79</v>
      </c>
      <c r="D376" s="1" t="s">
        <v>44</v>
      </c>
      <c r="E376" s="1" t="s">
        <v>62</v>
      </c>
      <c r="F376" s="18">
        <v>6.32</v>
      </c>
      <c r="G376" s="1">
        <f t="shared" ca="1" si="5"/>
        <v>1</v>
      </c>
    </row>
    <row r="377" spans="1:7" x14ac:dyDescent="0.25">
      <c r="A377" s="1">
        <v>376</v>
      </c>
      <c r="B377" s="1" t="s">
        <v>44</v>
      </c>
      <c r="C377" s="1" t="s">
        <v>116</v>
      </c>
      <c r="D377" s="1" t="s">
        <v>44</v>
      </c>
      <c r="E377" s="1" t="s">
        <v>78</v>
      </c>
      <c r="F377" s="18">
        <v>9.5</v>
      </c>
      <c r="G377" s="1">
        <f t="shared" ca="1" si="5"/>
        <v>1</v>
      </c>
    </row>
    <row r="378" spans="1:7" x14ac:dyDescent="0.25">
      <c r="A378" s="1">
        <v>377</v>
      </c>
      <c r="B378" s="1" t="s">
        <v>44</v>
      </c>
      <c r="C378" s="1" t="s">
        <v>78</v>
      </c>
      <c r="D378" s="1" t="s">
        <v>44</v>
      </c>
      <c r="E378" s="1" t="s">
        <v>74</v>
      </c>
      <c r="F378" s="18">
        <v>1.18</v>
      </c>
      <c r="G378" s="1">
        <f t="shared" ca="1" si="5"/>
        <v>1.5</v>
      </c>
    </row>
    <row r="379" spans="1:7" x14ac:dyDescent="0.25">
      <c r="A379" s="1">
        <v>378</v>
      </c>
      <c r="B379" s="1" t="s">
        <v>44</v>
      </c>
      <c r="C379" s="1" t="s">
        <v>74</v>
      </c>
      <c r="D379" s="1" t="s">
        <v>44</v>
      </c>
      <c r="E379" s="1" t="s">
        <v>87</v>
      </c>
      <c r="F379" s="18">
        <v>4.13</v>
      </c>
      <c r="G379" s="1">
        <f t="shared" ca="1" si="5"/>
        <v>0.5</v>
      </c>
    </row>
    <row r="380" spans="1:7" x14ac:dyDescent="0.25">
      <c r="A380" s="1">
        <v>379</v>
      </c>
      <c r="B380" s="1" t="s">
        <v>44</v>
      </c>
      <c r="C380" s="1" t="s">
        <v>108</v>
      </c>
      <c r="D380" s="1" t="s">
        <v>47</v>
      </c>
      <c r="E380" s="1" t="s">
        <v>53</v>
      </c>
      <c r="F380" s="18">
        <v>9.64</v>
      </c>
      <c r="G380" s="1">
        <f t="shared" ca="1" si="5"/>
        <v>1</v>
      </c>
    </row>
    <row r="381" spans="1:7" x14ac:dyDescent="0.25">
      <c r="A381" s="1">
        <v>380</v>
      </c>
      <c r="B381" s="1" t="s">
        <v>47</v>
      </c>
      <c r="C381" s="1" t="s">
        <v>53</v>
      </c>
      <c r="D381" s="1" t="s">
        <v>47</v>
      </c>
      <c r="E381" s="1" t="s">
        <v>97</v>
      </c>
      <c r="F381" s="18">
        <v>1.72</v>
      </c>
      <c r="G381" s="1">
        <f t="shared" ca="1" si="5"/>
        <v>2</v>
      </c>
    </row>
    <row r="382" spans="1:7" x14ac:dyDescent="0.25">
      <c r="A382" s="1">
        <v>381</v>
      </c>
      <c r="B382" s="1" t="s">
        <v>47</v>
      </c>
      <c r="C382" s="1" t="s">
        <v>71</v>
      </c>
      <c r="D382" s="1" t="s">
        <v>47</v>
      </c>
      <c r="E382" s="1" t="s">
        <v>46</v>
      </c>
      <c r="F382" s="18">
        <v>1.22</v>
      </c>
      <c r="G382" s="1">
        <f t="shared" ca="1" si="5"/>
        <v>1.5</v>
      </c>
    </row>
    <row r="383" spans="1:7" x14ac:dyDescent="0.25">
      <c r="A383" s="1">
        <v>382</v>
      </c>
      <c r="B383" s="1" t="s">
        <v>47</v>
      </c>
      <c r="C383" s="1" t="s">
        <v>46</v>
      </c>
      <c r="D383" s="1" t="s">
        <v>47</v>
      </c>
      <c r="E383" s="1" t="s">
        <v>66</v>
      </c>
      <c r="F383" s="18">
        <v>1.71</v>
      </c>
      <c r="G383" s="1">
        <f t="shared" ca="1" si="5"/>
        <v>1</v>
      </c>
    </row>
    <row r="384" spans="1:7" x14ac:dyDescent="0.25">
      <c r="A384" s="1">
        <v>383</v>
      </c>
      <c r="B384" s="1" t="s">
        <v>47</v>
      </c>
      <c r="C384" s="1" t="s">
        <v>66</v>
      </c>
      <c r="D384" s="1" t="s">
        <v>47</v>
      </c>
      <c r="E384" s="1" t="s">
        <v>102</v>
      </c>
      <c r="F384" s="18">
        <v>3.86</v>
      </c>
      <c r="G384" s="1">
        <f t="shared" ca="1" si="5"/>
        <v>2</v>
      </c>
    </row>
    <row r="385" spans="1:7" x14ac:dyDescent="0.25">
      <c r="A385" s="1">
        <v>384</v>
      </c>
      <c r="B385" s="1" t="s">
        <v>47</v>
      </c>
      <c r="C385" s="1" t="s">
        <v>102</v>
      </c>
      <c r="D385" s="1" t="s">
        <v>47</v>
      </c>
      <c r="E385" s="1" t="s">
        <v>46</v>
      </c>
      <c r="F385" s="18">
        <v>3.54</v>
      </c>
      <c r="G385" s="1">
        <f t="shared" ca="1" si="5"/>
        <v>2</v>
      </c>
    </row>
    <row r="386" spans="1:7" x14ac:dyDescent="0.25">
      <c r="A386" s="1">
        <v>385</v>
      </c>
      <c r="B386" s="1" t="s">
        <v>47</v>
      </c>
      <c r="C386" s="1" t="s">
        <v>46</v>
      </c>
      <c r="D386" s="1" t="s">
        <v>47</v>
      </c>
      <c r="E386" s="1" t="s">
        <v>54</v>
      </c>
      <c r="F386" s="18">
        <v>3.84</v>
      </c>
      <c r="G386" s="1">
        <f t="shared" ca="1" si="5"/>
        <v>0.5</v>
      </c>
    </row>
    <row r="387" spans="1:7" x14ac:dyDescent="0.25">
      <c r="A387" s="1">
        <v>386</v>
      </c>
      <c r="B387" s="1" t="s">
        <v>47</v>
      </c>
      <c r="C387" s="1" t="s">
        <v>48</v>
      </c>
      <c r="D387" s="1" t="s">
        <v>47</v>
      </c>
      <c r="E387" s="1" t="s">
        <v>54</v>
      </c>
      <c r="F387" s="18">
        <v>1.87</v>
      </c>
      <c r="G387" s="1">
        <f t="shared" ref="G387:G437" ca="1" si="6">CHOOSE(RANDBETWEEN(1,4),0.5,1,1.5,2)</f>
        <v>2</v>
      </c>
    </row>
    <row r="388" spans="1:7" x14ac:dyDescent="0.25">
      <c r="A388" s="1">
        <v>387</v>
      </c>
      <c r="B388" s="1" t="s">
        <v>47</v>
      </c>
      <c r="C388" s="1" t="s">
        <v>59</v>
      </c>
      <c r="D388" s="1" t="s">
        <v>47</v>
      </c>
      <c r="E388" s="1" t="s">
        <v>59</v>
      </c>
      <c r="F388" s="18">
        <v>0.85</v>
      </c>
      <c r="G388" s="1">
        <f t="shared" ca="1" si="6"/>
        <v>1</v>
      </c>
    </row>
    <row r="389" spans="1:7" x14ac:dyDescent="0.25">
      <c r="A389" s="1">
        <v>388</v>
      </c>
      <c r="B389" s="1" t="s">
        <v>47</v>
      </c>
      <c r="C389" s="1" t="s">
        <v>58</v>
      </c>
      <c r="D389" s="1" t="s">
        <v>47</v>
      </c>
      <c r="E389" s="1" t="s">
        <v>51</v>
      </c>
      <c r="F389" s="18">
        <v>2.4700000000000002</v>
      </c>
      <c r="G389" s="1">
        <f t="shared" ca="1" si="6"/>
        <v>1</v>
      </c>
    </row>
    <row r="390" spans="1:7" x14ac:dyDescent="0.25">
      <c r="A390" s="1">
        <v>389</v>
      </c>
      <c r="B390" s="1" t="s">
        <v>47</v>
      </c>
      <c r="C390" s="1" t="s">
        <v>51</v>
      </c>
      <c r="D390" s="1" t="s">
        <v>44</v>
      </c>
      <c r="E390" s="1" t="s">
        <v>46</v>
      </c>
      <c r="F390" s="18">
        <v>17.28</v>
      </c>
      <c r="G390" s="1">
        <f t="shared" ca="1" si="6"/>
        <v>1.5</v>
      </c>
    </row>
    <row r="391" spans="1:7" x14ac:dyDescent="0.25">
      <c r="A391" s="1">
        <v>390</v>
      </c>
      <c r="B391" s="1" t="s">
        <v>44</v>
      </c>
      <c r="C391" s="1" t="s">
        <v>120</v>
      </c>
      <c r="D391" s="1" t="s">
        <v>44</v>
      </c>
      <c r="E391" s="1" t="s">
        <v>62</v>
      </c>
      <c r="F391" s="18">
        <v>4.1500000000000004</v>
      </c>
      <c r="G391" s="1">
        <f t="shared" ca="1" si="6"/>
        <v>0.5</v>
      </c>
    </row>
    <row r="392" spans="1:7" x14ac:dyDescent="0.25">
      <c r="A392" s="1">
        <v>391</v>
      </c>
      <c r="B392" s="1" t="s">
        <v>44</v>
      </c>
      <c r="C392" s="1" t="s">
        <v>62</v>
      </c>
      <c r="D392" s="1" t="s">
        <v>47</v>
      </c>
      <c r="E392" s="1" t="s">
        <v>54</v>
      </c>
      <c r="F392" s="18">
        <v>11.99</v>
      </c>
      <c r="G392" s="1">
        <f t="shared" ca="1" si="6"/>
        <v>1.5</v>
      </c>
    </row>
    <row r="393" spans="1:7" x14ac:dyDescent="0.25">
      <c r="A393" s="1">
        <v>392</v>
      </c>
      <c r="B393" s="1" t="s">
        <v>47</v>
      </c>
      <c r="C393" s="1" t="s">
        <v>54</v>
      </c>
      <c r="D393" s="1" t="s">
        <v>44</v>
      </c>
      <c r="E393" s="1" t="s">
        <v>74</v>
      </c>
      <c r="F393" s="18">
        <v>15.34</v>
      </c>
      <c r="G393" s="1">
        <f t="shared" ca="1" si="6"/>
        <v>2</v>
      </c>
    </row>
    <row r="394" spans="1:7" x14ac:dyDescent="0.25">
      <c r="A394" s="1">
        <v>393</v>
      </c>
      <c r="B394" s="1" t="s">
        <v>44</v>
      </c>
      <c r="C394" s="1" t="s">
        <v>72</v>
      </c>
      <c r="D394" s="1" t="s">
        <v>44</v>
      </c>
      <c r="E394" s="1" t="s">
        <v>74</v>
      </c>
      <c r="F394" s="18">
        <v>1.19</v>
      </c>
      <c r="G394" s="1">
        <f t="shared" ca="1" si="6"/>
        <v>0.5</v>
      </c>
    </row>
    <row r="395" spans="1:7" x14ac:dyDescent="0.25">
      <c r="A395" s="1">
        <v>394</v>
      </c>
      <c r="B395" s="1" t="s">
        <v>44</v>
      </c>
      <c r="C395" s="1" t="s">
        <v>74</v>
      </c>
      <c r="D395" s="1" t="s">
        <v>44</v>
      </c>
      <c r="E395" s="1" t="s">
        <v>46</v>
      </c>
      <c r="F395" s="18">
        <v>2.41</v>
      </c>
      <c r="G395" s="1">
        <f t="shared" ca="1" si="6"/>
        <v>0.5</v>
      </c>
    </row>
    <row r="396" spans="1:7" x14ac:dyDescent="0.25">
      <c r="A396" s="1">
        <v>395</v>
      </c>
      <c r="B396" s="1" t="s">
        <v>44</v>
      </c>
      <c r="C396" s="1" t="s">
        <v>46</v>
      </c>
      <c r="D396" s="1" t="s">
        <v>44</v>
      </c>
      <c r="E396" s="1" t="s">
        <v>46</v>
      </c>
      <c r="F396" s="18">
        <v>1.27</v>
      </c>
      <c r="G396" s="1">
        <f t="shared" ca="1" si="6"/>
        <v>2</v>
      </c>
    </row>
    <row r="397" spans="1:7" x14ac:dyDescent="0.25">
      <c r="A397" s="1">
        <v>396</v>
      </c>
      <c r="B397" s="1" t="s">
        <v>44</v>
      </c>
      <c r="C397" s="1" t="s">
        <v>128</v>
      </c>
      <c r="D397" s="1" t="s">
        <v>44</v>
      </c>
      <c r="E397" s="1" t="s">
        <v>74</v>
      </c>
      <c r="F397" s="18">
        <v>4.66</v>
      </c>
      <c r="G397" s="1">
        <f t="shared" ca="1" si="6"/>
        <v>2</v>
      </c>
    </row>
    <row r="398" spans="1:7" x14ac:dyDescent="0.25">
      <c r="A398" s="1">
        <v>397</v>
      </c>
      <c r="B398" s="1" t="s">
        <v>44</v>
      </c>
      <c r="C398" s="1" t="s">
        <v>74</v>
      </c>
      <c r="D398" s="1" t="s">
        <v>44</v>
      </c>
      <c r="E398" s="1" t="s">
        <v>62</v>
      </c>
      <c r="F398" s="18">
        <v>4.08</v>
      </c>
      <c r="G398" s="1">
        <f t="shared" ca="1" si="6"/>
        <v>1.5</v>
      </c>
    </row>
    <row r="399" spans="1:7" x14ac:dyDescent="0.25">
      <c r="A399" s="1">
        <v>398</v>
      </c>
      <c r="B399" s="1" t="s">
        <v>44</v>
      </c>
      <c r="C399" s="1" t="s">
        <v>62</v>
      </c>
      <c r="D399" s="1" t="s">
        <v>44</v>
      </c>
      <c r="E399" s="1" t="s">
        <v>62</v>
      </c>
      <c r="F399" s="18">
        <v>1.29</v>
      </c>
      <c r="G399" s="1">
        <f t="shared" ca="1" si="6"/>
        <v>1</v>
      </c>
    </row>
    <row r="400" spans="1:7" x14ac:dyDescent="0.25">
      <c r="A400" s="1">
        <v>399</v>
      </c>
      <c r="B400" s="1" t="s">
        <v>44</v>
      </c>
      <c r="C400" s="1" t="s">
        <v>62</v>
      </c>
      <c r="D400" s="1" t="s">
        <v>44</v>
      </c>
      <c r="E400" s="1" t="s">
        <v>62</v>
      </c>
      <c r="F400" s="18">
        <v>2.62</v>
      </c>
      <c r="G400" s="1">
        <f t="shared" ca="1" si="6"/>
        <v>2</v>
      </c>
    </row>
    <row r="401" spans="1:7" x14ac:dyDescent="0.25">
      <c r="A401" s="1">
        <v>400</v>
      </c>
      <c r="B401" s="1" t="s">
        <v>44</v>
      </c>
      <c r="C401" s="1" t="s">
        <v>76</v>
      </c>
      <c r="D401" s="1" t="s">
        <v>44</v>
      </c>
      <c r="E401" s="1" t="s">
        <v>76</v>
      </c>
      <c r="F401" s="18">
        <v>0</v>
      </c>
      <c r="G401" s="1">
        <f t="shared" ca="1" si="6"/>
        <v>1.5</v>
      </c>
    </row>
    <row r="402" spans="1:7" x14ac:dyDescent="0.25">
      <c r="A402" s="1">
        <v>401</v>
      </c>
      <c r="B402" s="1" t="s">
        <v>47</v>
      </c>
      <c r="C402" s="1" t="s">
        <v>99</v>
      </c>
      <c r="D402" s="1" t="s">
        <v>47</v>
      </c>
      <c r="E402" s="1" t="s">
        <v>49</v>
      </c>
      <c r="F402" s="18">
        <v>6.55</v>
      </c>
      <c r="G402" s="1">
        <f t="shared" ca="1" si="6"/>
        <v>2</v>
      </c>
    </row>
    <row r="403" spans="1:7" x14ac:dyDescent="0.25">
      <c r="A403" s="1">
        <v>402</v>
      </c>
      <c r="B403" s="1" t="s">
        <v>47</v>
      </c>
      <c r="C403" s="1" t="s">
        <v>46</v>
      </c>
      <c r="D403" s="1" t="s">
        <v>47</v>
      </c>
      <c r="E403" s="1" t="s">
        <v>54</v>
      </c>
      <c r="F403" s="18">
        <v>8.7200000000000006</v>
      </c>
      <c r="G403" s="1">
        <f t="shared" ca="1" si="6"/>
        <v>2</v>
      </c>
    </row>
    <row r="404" spans="1:7" x14ac:dyDescent="0.25">
      <c r="A404" s="1">
        <v>403</v>
      </c>
      <c r="B404" s="1" t="s">
        <v>47</v>
      </c>
      <c r="C404" s="1" t="s">
        <v>54</v>
      </c>
      <c r="D404" s="1" t="s">
        <v>47</v>
      </c>
      <c r="E404" s="1" t="s">
        <v>118</v>
      </c>
      <c r="F404" s="18">
        <v>3.43</v>
      </c>
      <c r="G404" s="1">
        <f t="shared" ca="1" si="6"/>
        <v>1.5</v>
      </c>
    </row>
    <row r="405" spans="1:7" x14ac:dyDescent="0.25">
      <c r="A405" s="1">
        <v>404</v>
      </c>
      <c r="B405" s="1" t="s">
        <v>47</v>
      </c>
      <c r="C405" s="1" t="s">
        <v>51</v>
      </c>
      <c r="D405" s="1" t="s">
        <v>47</v>
      </c>
      <c r="E405" s="1" t="s">
        <v>53</v>
      </c>
      <c r="F405" s="18">
        <v>8.23</v>
      </c>
      <c r="G405" s="1">
        <f t="shared" ca="1" si="6"/>
        <v>1</v>
      </c>
    </row>
    <row r="406" spans="1:7" x14ac:dyDescent="0.25">
      <c r="A406" s="1">
        <v>405</v>
      </c>
      <c r="B406" s="1" t="s">
        <v>44</v>
      </c>
      <c r="C406" s="1" t="s">
        <v>53</v>
      </c>
      <c r="D406" s="1" t="s">
        <v>44</v>
      </c>
      <c r="E406" s="1" t="s">
        <v>46</v>
      </c>
      <c r="F406" s="18">
        <v>10.23</v>
      </c>
      <c r="G406" s="1">
        <f t="shared" ca="1" si="6"/>
        <v>2</v>
      </c>
    </row>
    <row r="407" spans="1:7" x14ac:dyDescent="0.25">
      <c r="A407" s="1">
        <v>406</v>
      </c>
      <c r="B407" s="1" t="s">
        <v>44</v>
      </c>
      <c r="C407" s="1" t="s">
        <v>113</v>
      </c>
      <c r="D407" s="1" t="s">
        <v>44</v>
      </c>
      <c r="E407" s="1" t="s">
        <v>152</v>
      </c>
      <c r="F407" s="18">
        <v>5.75</v>
      </c>
      <c r="G407" s="1">
        <f t="shared" ca="1" si="6"/>
        <v>2</v>
      </c>
    </row>
    <row r="408" spans="1:7" x14ac:dyDescent="0.25">
      <c r="A408" s="1">
        <v>407</v>
      </c>
      <c r="B408" s="1" t="s">
        <v>44</v>
      </c>
      <c r="C408" s="1" t="s">
        <v>98</v>
      </c>
      <c r="D408" s="1" t="s">
        <v>44</v>
      </c>
      <c r="E408" s="1" t="s">
        <v>98</v>
      </c>
      <c r="F408" s="18">
        <v>0.96</v>
      </c>
      <c r="G408" s="1">
        <f t="shared" ca="1" si="6"/>
        <v>0.5</v>
      </c>
    </row>
    <row r="409" spans="1:7" x14ac:dyDescent="0.25">
      <c r="A409" s="1">
        <v>408</v>
      </c>
      <c r="B409" s="1" t="s">
        <v>44</v>
      </c>
      <c r="C409" s="1" t="s">
        <v>98</v>
      </c>
      <c r="D409" s="1" t="s">
        <v>44</v>
      </c>
      <c r="E409" s="1" t="s">
        <v>46</v>
      </c>
      <c r="F409" s="18">
        <v>1.68</v>
      </c>
      <c r="G409" s="1">
        <f t="shared" ca="1" si="6"/>
        <v>1.5</v>
      </c>
    </row>
    <row r="410" spans="1:7" x14ac:dyDescent="0.25">
      <c r="A410" s="1">
        <v>409</v>
      </c>
      <c r="B410" s="1" t="s">
        <v>44</v>
      </c>
      <c r="C410" s="1" t="s">
        <v>46</v>
      </c>
      <c r="D410" s="1" t="s">
        <v>44</v>
      </c>
      <c r="E410" s="1" t="s">
        <v>46</v>
      </c>
      <c r="F410" s="18">
        <v>1.47</v>
      </c>
      <c r="G410" s="1">
        <f t="shared" ca="1" si="6"/>
        <v>1</v>
      </c>
    </row>
    <row r="411" spans="1:7" x14ac:dyDescent="0.25">
      <c r="A411" s="1">
        <v>410</v>
      </c>
      <c r="B411" s="1" t="s">
        <v>44</v>
      </c>
      <c r="C411" s="1" t="s">
        <v>148</v>
      </c>
      <c r="D411" s="1" t="s">
        <v>82</v>
      </c>
      <c r="E411" s="1" t="s">
        <v>46</v>
      </c>
      <c r="F411" s="18">
        <v>34.659999999999997</v>
      </c>
      <c r="G411" s="1">
        <f t="shared" ca="1" si="6"/>
        <v>1.5</v>
      </c>
    </row>
    <row r="412" spans="1:7" x14ac:dyDescent="0.25">
      <c r="A412" s="1">
        <v>411</v>
      </c>
      <c r="B412" s="1" t="s">
        <v>82</v>
      </c>
      <c r="C412" s="1" t="s">
        <v>150</v>
      </c>
      <c r="D412" s="1" t="s">
        <v>47</v>
      </c>
      <c r="E412" s="1" t="s">
        <v>121</v>
      </c>
      <c r="F412" s="18">
        <v>17.25</v>
      </c>
      <c r="G412" s="1">
        <f t="shared" ca="1" si="6"/>
        <v>1.5</v>
      </c>
    </row>
    <row r="413" spans="1:7" x14ac:dyDescent="0.25">
      <c r="A413" s="1">
        <v>412</v>
      </c>
      <c r="B413" s="1" t="s">
        <v>47</v>
      </c>
      <c r="C413" s="1" t="s">
        <v>52</v>
      </c>
      <c r="D413" s="1" t="s">
        <v>47</v>
      </c>
      <c r="E413" s="1" t="s">
        <v>121</v>
      </c>
      <c r="F413" s="18">
        <v>0.71</v>
      </c>
      <c r="G413" s="1">
        <f t="shared" ca="1" si="6"/>
        <v>1</v>
      </c>
    </row>
    <row r="414" spans="1:7" x14ac:dyDescent="0.25">
      <c r="A414" s="1">
        <v>413</v>
      </c>
      <c r="B414" s="1" t="s">
        <v>47</v>
      </c>
      <c r="C414" s="1" t="s">
        <v>52</v>
      </c>
      <c r="D414" s="1" t="s">
        <v>47</v>
      </c>
      <c r="E414" s="1" t="s">
        <v>121</v>
      </c>
      <c r="F414" s="18">
        <v>2.44</v>
      </c>
      <c r="G414" s="1">
        <f t="shared" ca="1" si="6"/>
        <v>1.5</v>
      </c>
    </row>
    <row r="415" spans="1:7" x14ac:dyDescent="0.25">
      <c r="A415" s="1">
        <v>414</v>
      </c>
      <c r="B415" s="1" t="s">
        <v>47</v>
      </c>
      <c r="C415" s="1" t="s">
        <v>58</v>
      </c>
      <c r="D415" s="1" t="s">
        <v>47</v>
      </c>
      <c r="E415" s="1" t="s">
        <v>46</v>
      </c>
      <c r="F415" s="18">
        <v>5.38</v>
      </c>
      <c r="G415" s="1">
        <f t="shared" ca="1" si="6"/>
        <v>2</v>
      </c>
    </row>
    <row r="416" spans="1:7" x14ac:dyDescent="0.25">
      <c r="A416" s="1">
        <v>415</v>
      </c>
      <c r="B416" s="1" t="s">
        <v>47</v>
      </c>
      <c r="C416" s="1" t="s">
        <v>71</v>
      </c>
      <c r="D416" s="1" t="s">
        <v>47</v>
      </c>
      <c r="E416" s="1" t="s">
        <v>71</v>
      </c>
      <c r="F416" s="18">
        <v>1.1000000000000001</v>
      </c>
      <c r="G416" s="1">
        <f t="shared" ca="1" si="6"/>
        <v>1.5</v>
      </c>
    </row>
    <row r="417" spans="1:7" x14ac:dyDescent="0.25">
      <c r="A417" s="1">
        <v>416</v>
      </c>
      <c r="B417" s="1" t="s">
        <v>44</v>
      </c>
      <c r="C417" s="1" t="s">
        <v>135</v>
      </c>
      <c r="D417" s="1" t="s">
        <v>47</v>
      </c>
      <c r="E417" s="1" t="s">
        <v>59</v>
      </c>
      <c r="F417" s="18">
        <v>9.43</v>
      </c>
      <c r="G417" s="1">
        <f t="shared" ca="1" si="6"/>
        <v>2</v>
      </c>
    </row>
    <row r="418" spans="1:7" x14ac:dyDescent="0.25">
      <c r="A418" s="1">
        <v>417</v>
      </c>
      <c r="B418" s="1" t="s">
        <v>47</v>
      </c>
      <c r="C418" s="1" t="s">
        <v>54</v>
      </c>
      <c r="D418" s="1" t="s">
        <v>47</v>
      </c>
      <c r="E418" s="1" t="s">
        <v>59</v>
      </c>
      <c r="F418" s="18">
        <v>1.35</v>
      </c>
      <c r="G418" s="1">
        <f t="shared" ca="1" si="6"/>
        <v>2</v>
      </c>
    </row>
    <row r="419" spans="1:7" x14ac:dyDescent="0.25">
      <c r="A419" s="1">
        <v>418</v>
      </c>
      <c r="B419" s="1" t="s">
        <v>47</v>
      </c>
      <c r="C419" s="1" t="s">
        <v>59</v>
      </c>
      <c r="D419" s="1" t="s">
        <v>47</v>
      </c>
      <c r="E419" s="1" t="s">
        <v>53</v>
      </c>
      <c r="F419" s="18">
        <v>10.79</v>
      </c>
      <c r="G419" s="1">
        <f t="shared" ca="1" si="6"/>
        <v>2</v>
      </c>
    </row>
    <row r="420" spans="1:7" x14ac:dyDescent="0.25">
      <c r="A420" s="1">
        <v>419</v>
      </c>
      <c r="B420" s="1" t="s">
        <v>47</v>
      </c>
      <c r="C420" s="1" t="s">
        <v>111</v>
      </c>
      <c r="D420" s="1" t="s">
        <v>44</v>
      </c>
      <c r="E420" s="1" t="s">
        <v>46</v>
      </c>
      <c r="F420" s="18">
        <v>17.170000000000002</v>
      </c>
      <c r="G420" s="1">
        <f t="shared" ca="1" si="6"/>
        <v>1.5</v>
      </c>
    </row>
    <row r="421" spans="1:7" x14ac:dyDescent="0.25">
      <c r="A421" s="1">
        <v>420</v>
      </c>
      <c r="B421" s="1" t="s">
        <v>44</v>
      </c>
      <c r="C421" s="1" t="s">
        <v>46</v>
      </c>
      <c r="D421" s="1" t="s">
        <v>44</v>
      </c>
      <c r="E421" s="1" t="s">
        <v>114</v>
      </c>
      <c r="F421" s="18">
        <v>5.72</v>
      </c>
      <c r="G421" s="1">
        <f t="shared" ca="1" si="6"/>
        <v>0.5</v>
      </c>
    </row>
    <row r="422" spans="1:7" x14ac:dyDescent="0.25">
      <c r="A422" s="1">
        <v>421</v>
      </c>
      <c r="B422" s="1" t="s">
        <v>44</v>
      </c>
      <c r="C422" s="1" t="s">
        <v>114</v>
      </c>
      <c r="D422" s="1" t="s">
        <v>47</v>
      </c>
      <c r="E422" s="1" t="s">
        <v>66</v>
      </c>
      <c r="F422" s="18">
        <v>15.96</v>
      </c>
      <c r="G422" s="1">
        <f t="shared" ca="1" si="6"/>
        <v>0.5</v>
      </c>
    </row>
    <row r="423" spans="1:7" x14ac:dyDescent="0.25">
      <c r="A423" s="1">
        <v>422</v>
      </c>
      <c r="B423" s="1" t="s">
        <v>47</v>
      </c>
      <c r="C423" s="1" t="s">
        <v>81</v>
      </c>
      <c r="D423" s="1" t="s">
        <v>44</v>
      </c>
      <c r="E423" s="1" t="s">
        <v>135</v>
      </c>
      <c r="F423" s="18">
        <v>5.4</v>
      </c>
      <c r="G423" s="1">
        <f t="shared" ca="1" si="6"/>
        <v>0.5</v>
      </c>
    </row>
    <row r="424" spans="1:7" x14ac:dyDescent="0.25">
      <c r="A424" s="1">
        <v>423</v>
      </c>
      <c r="B424" s="1" t="s">
        <v>47</v>
      </c>
      <c r="C424" s="1" t="s">
        <v>76</v>
      </c>
      <c r="D424" s="1" t="s">
        <v>47</v>
      </c>
      <c r="E424" s="1" t="s">
        <v>77</v>
      </c>
      <c r="F424" s="18">
        <v>2.73</v>
      </c>
      <c r="G424" s="1">
        <f t="shared" ca="1" si="6"/>
        <v>0.5</v>
      </c>
    </row>
    <row r="425" spans="1:7" x14ac:dyDescent="0.25">
      <c r="A425" s="1">
        <v>424</v>
      </c>
      <c r="B425" s="1" t="s">
        <v>47</v>
      </c>
      <c r="C425" s="1" t="s">
        <v>80</v>
      </c>
      <c r="D425" s="1" t="s">
        <v>47</v>
      </c>
      <c r="E425" s="1" t="s">
        <v>54</v>
      </c>
      <c r="F425" s="18">
        <v>7.66</v>
      </c>
      <c r="G425" s="1">
        <f t="shared" ca="1" si="6"/>
        <v>2</v>
      </c>
    </row>
    <row r="426" spans="1:7" x14ac:dyDescent="0.25">
      <c r="A426" s="1">
        <v>425</v>
      </c>
      <c r="B426" s="1" t="s">
        <v>47</v>
      </c>
      <c r="C426" s="1" t="s">
        <v>54</v>
      </c>
      <c r="D426" s="1" t="s">
        <v>47</v>
      </c>
      <c r="E426" s="1" t="s">
        <v>59</v>
      </c>
      <c r="F426" s="18">
        <v>1.95</v>
      </c>
      <c r="G426" s="1">
        <f t="shared" ca="1" si="6"/>
        <v>2</v>
      </c>
    </row>
    <row r="427" spans="1:7" x14ac:dyDescent="0.25">
      <c r="A427" s="1">
        <v>426</v>
      </c>
      <c r="B427" s="1" t="s">
        <v>47</v>
      </c>
      <c r="C427" s="1" t="s">
        <v>59</v>
      </c>
      <c r="D427" s="1" t="s">
        <v>47</v>
      </c>
      <c r="E427" s="1" t="s">
        <v>109</v>
      </c>
      <c r="F427" s="18">
        <v>3.13</v>
      </c>
      <c r="G427" s="1">
        <f t="shared" ca="1" si="6"/>
        <v>0.5</v>
      </c>
    </row>
    <row r="428" spans="1:7" x14ac:dyDescent="0.25">
      <c r="A428" s="1">
        <v>427</v>
      </c>
      <c r="B428" s="1" t="s">
        <v>47</v>
      </c>
      <c r="C428" s="1" t="s">
        <v>51</v>
      </c>
      <c r="D428" s="1" t="s">
        <v>47</v>
      </c>
      <c r="E428" s="1" t="s">
        <v>54</v>
      </c>
      <c r="F428" s="18">
        <v>4.24</v>
      </c>
      <c r="G428" s="1">
        <f t="shared" ca="1" si="6"/>
        <v>2</v>
      </c>
    </row>
    <row r="429" spans="1:7" x14ac:dyDescent="0.25">
      <c r="A429" s="1">
        <v>428</v>
      </c>
      <c r="B429" s="1" t="s">
        <v>47</v>
      </c>
      <c r="C429" s="1" t="s">
        <v>54</v>
      </c>
      <c r="D429" s="1" t="s">
        <v>47</v>
      </c>
      <c r="E429" s="1" t="s">
        <v>54</v>
      </c>
      <c r="F429" s="18">
        <v>2.68</v>
      </c>
      <c r="G429" s="1">
        <f t="shared" ca="1" si="6"/>
        <v>2</v>
      </c>
    </row>
    <row r="430" spans="1:7" x14ac:dyDescent="0.25">
      <c r="A430" s="1">
        <v>429</v>
      </c>
      <c r="B430" s="1" t="s">
        <v>47</v>
      </c>
      <c r="C430" s="1" t="s">
        <v>59</v>
      </c>
      <c r="D430" s="1" t="s">
        <v>47</v>
      </c>
      <c r="E430" s="1" t="s">
        <v>59</v>
      </c>
      <c r="F430" s="18">
        <v>2.39</v>
      </c>
      <c r="G430" s="1">
        <f t="shared" ca="1" si="6"/>
        <v>0.5</v>
      </c>
    </row>
    <row r="431" spans="1:7" x14ac:dyDescent="0.25">
      <c r="A431" s="1">
        <v>430</v>
      </c>
      <c r="B431" s="1" t="s">
        <v>47</v>
      </c>
      <c r="C431" s="1" t="s">
        <v>117</v>
      </c>
      <c r="D431" s="1" t="s">
        <v>47</v>
      </c>
      <c r="E431" s="1" t="s">
        <v>54</v>
      </c>
      <c r="F431" s="18">
        <v>2.5299999999999998</v>
      </c>
      <c r="G431" s="1">
        <f t="shared" ca="1" si="6"/>
        <v>2</v>
      </c>
    </row>
    <row r="432" spans="1:7" x14ac:dyDescent="0.25">
      <c r="A432" s="1">
        <v>431</v>
      </c>
      <c r="B432" s="1" t="s">
        <v>47</v>
      </c>
      <c r="C432" s="1" t="s">
        <v>97</v>
      </c>
      <c r="D432" s="1" t="s">
        <v>47</v>
      </c>
      <c r="E432" s="1" t="s">
        <v>59</v>
      </c>
      <c r="F432" s="18">
        <v>6.88</v>
      </c>
      <c r="G432" s="1">
        <f t="shared" ca="1" si="6"/>
        <v>0.5</v>
      </c>
    </row>
    <row r="433" spans="1:7" x14ac:dyDescent="0.25">
      <c r="A433" s="1">
        <v>432</v>
      </c>
      <c r="B433" s="1" t="s">
        <v>47</v>
      </c>
      <c r="C433" s="1" t="s">
        <v>48</v>
      </c>
      <c r="D433" s="1" t="s">
        <v>47</v>
      </c>
      <c r="E433" s="1" t="s">
        <v>157</v>
      </c>
      <c r="F433" s="18">
        <v>3.17</v>
      </c>
      <c r="G433" s="1">
        <f t="shared" ca="1" si="6"/>
        <v>0.5</v>
      </c>
    </row>
    <row r="434" spans="1:7" x14ac:dyDescent="0.25">
      <c r="A434" s="1">
        <v>433</v>
      </c>
      <c r="B434" s="1">
        <v>0</v>
      </c>
      <c r="C434" s="1">
        <v>0</v>
      </c>
      <c r="D434" s="1">
        <v>0</v>
      </c>
      <c r="E434" s="1">
        <v>0</v>
      </c>
      <c r="F434" s="18">
        <v>0</v>
      </c>
      <c r="G434" s="1">
        <v>0</v>
      </c>
    </row>
    <row r="435" spans="1:7" x14ac:dyDescent="0.25">
      <c r="A435" s="1">
        <v>434</v>
      </c>
      <c r="G435" s="1">
        <f t="shared" ca="1" si="6"/>
        <v>1.5</v>
      </c>
    </row>
    <row r="436" spans="1:7" x14ac:dyDescent="0.25">
      <c r="A436" s="1">
        <v>435</v>
      </c>
      <c r="G436" s="1">
        <f t="shared" ca="1" si="6"/>
        <v>1</v>
      </c>
    </row>
    <row r="437" spans="1:7" x14ac:dyDescent="0.25">
      <c r="A437" s="1">
        <v>436</v>
      </c>
      <c r="G437" s="1">
        <f t="shared" ca="1" si="6"/>
        <v>0.5</v>
      </c>
    </row>
    <row r="438" spans="1:7" x14ac:dyDescent="0.25">
      <c r="A438" s="1">
        <v>437</v>
      </c>
    </row>
    <row r="439" spans="1:7" x14ac:dyDescent="0.25">
      <c r="A439" s="1">
        <v>438</v>
      </c>
    </row>
    <row r="440" spans="1:7" x14ac:dyDescent="0.25">
      <c r="A440" s="1">
        <v>439</v>
      </c>
    </row>
    <row r="441" spans="1:7" x14ac:dyDescent="0.25">
      <c r="A441" s="1">
        <v>440</v>
      </c>
    </row>
    <row r="442" spans="1:7" x14ac:dyDescent="0.25">
      <c r="A442" s="1">
        <v>441</v>
      </c>
    </row>
    <row r="443" spans="1:7" x14ac:dyDescent="0.25">
      <c r="A443" s="1">
        <v>442</v>
      </c>
    </row>
    <row r="444" spans="1:7" x14ac:dyDescent="0.25">
      <c r="A444" s="1">
        <v>443</v>
      </c>
    </row>
    <row r="445" spans="1:7" x14ac:dyDescent="0.25">
      <c r="A445" s="1">
        <v>444</v>
      </c>
    </row>
    <row r="446" spans="1:7" x14ac:dyDescent="0.25">
      <c r="A446" s="1">
        <v>445</v>
      </c>
    </row>
    <row r="447" spans="1:7" x14ac:dyDescent="0.25">
      <c r="A447" s="1">
        <v>446</v>
      </c>
    </row>
    <row r="448" spans="1:7" x14ac:dyDescent="0.25">
      <c r="A448" s="1">
        <v>447</v>
      </c>
    </row>
    <row r="449" spans="1:1" x14ac:dyDescent="0.25">
      <c r="A449" s="1">
        <v>448</v>
      </c>
    </row>
    <row r="450" spans="1:1" x14ac:dyDescent="0.25">
      <c r="A450" s="1">
        <v>449</v>
      </c>
    </row>
    <row r="451" spans="1:1" x14ac:dyDescent="0.25">
      <c r="A451" s="1">
        <v>450</v>
      </c>
    </row>
    <row r="452" spans="1:1" x14ac:dyDescent="0.25">
      <c r="A452" s="1">
        <v>451</v>
      </c>
    </row>
    <row r="453" spans="1:1" x14ac:dyDescent="0.25">
      <c r="A453" s="1">
        <v>452</v>
      </c>
    </row>
    <row r="454" spans="1:1" x14ac:dyDescent="0.25">
      <c r="A454" s="1">
        <v>453</v>
      </c>
    </row>
    <row r="455" spans="1:1" x14ac:dyDescent="0.25">
      <c r="A455" s="1">
        <v>454</v>
      </c>
    </row>
    <row r="456" spans="1:1" x14ac:dyDescent="0.25">
      <c r="A456" s="1">
        <v>455</v>
      </c>
    </row>
    <row r="457" spans="1:1" x14ac:dyDescent="0.25">
      <c r="A457" s="1">
        <v>456</v>
      </c>
    </row>
    <row r="458" spans="1:1" x14ac:dyDescent="0.25">
      <c r="A458" s="1">
        <v>457</v>
      </c>
    </row>
    <row r="459" spans="1:1" x14ac:dyDescent="0.25">
      <c r="A459" s="1">
        <v>458</v>
      </c>
    </row>
    <row r="460" spans="1:1" x14ac:dyDescent="0.25">
      <c r="A460" s="1">
        <v>459</v>
      </c>
    </row>
    <row r="461" spans="1:1" x14ac:dyDescent="0.25">
      <c r="A461" s="1">
        <v>460</v>
      </c>
    </row>
    <row r="462" spans="1:1" x14ac:dyDescent="0.25">
      <c r="A462" s="1">
        <v>461</v>
      </c>
    </row>
    <row r="463" spans="1:1" x14ac:dyDescent="0.25">
      <c r="A463" s="1">
        <v>462</v>
      </c>
    </row>
    <row r="464" spans="1:1" x14ac:dyDescent="0.25">
      <c r="A464" s="1">
        <v>463</v>
      </c>
    </row>
    <row r="465" spans="1:1" x14ac:dyDescent="0.25">
      <c r="A465" s="1">
        <v>464</v>
      </c>
    </row>
    <row r="466" spans="1:1" x14ac:dyDescent="0.25">
      <c r="A466" s="1">
        <v>465</v>
      </c>
    </row>
    <row r="467" spans="1:1" x14ac:dyDescent="0.25">
      <c r="A467" s="1">
        <v>466</v>
      </c>
    </row>
    <row r="468" spans="1:1" x14ac:dyDescent="0.25">
      <c r="A468" s="1">
        <v>467</v>
      </c>
    </row>
    <row r="469" spans="1:1" x14ac:dyDescent="0.25">
      <c r="A469" s="1">
        <v>468</v>
      </c>
    </row>
    <row r="470" spans="1:1" x14ac:dyDescent="0.25">
      <c r="A470" s="1">
        <v>469</v>
      </c>
    </row>
    <row r="471" spans="1:1" x14ac:dyDescent="0.25">
      <c r="A471" s="1">
        <v>470</v>
      </c>
    </row>
    <row r="472" spans="1:1" x14ac:dyDescent="0.25">
      <c r="A472" s="1">
        <v>471</v>
      </c>
    </row>
    <row r="473" spans="1:1" x14ac:dyDescent="0.25">
      <c r="A473" s="1">
        <v>472</v>
      </c>
    </row>
    <row r="474" spans="1:1" x14ac:dyDescent="0.25">
      <c r="A474" s="1">
        <v>473</v>
      </c>
    </row>
    <row r="475" spans="1:1" x14ac:dyDescent="0.25">
      <c r="A475" s="1">
        <v>474</v>
      </c>
    </row>
    <row r="476" spans="1:1" x14ac:dyDescent="0.25">
      <c r="A476" s="1">
        <v>475</v>
      </c>
    </row>
    <row r="477" spans="1:1" x14ac:dyDescent="0.25">
      <c r="A477" s="1">
        <v>476</v>
      </c>
    </row>
    <row r="478" spans="1:1" x14ac:dyDescent="0.25">
      <c r="A478" s="1">
        <v>477</v>
      </c>
    </row>
    <row r="479" spans="1:1" x14ac:dyDescent="0.25">
      <c r="A479" s="1">
        <v>478</v>
      </c>
    </row>
    <row r="480" spans="1:1" x14ac:dyDescent="0.25">
      <c r="A480" s="1">
        <v>479</v>
      </c>
    </row>
    <row r="481" spans="1:1" x14ac:dyDescent="0.25">
      <c r="A481" s="1">
        <v>480</v>
      </c>
    </row>
    <row r="482" spans="1:1" x14ac:dyDescent="0.25">
      <c r="A482" s="1">
        <v>481</v>
      </c>
    </row>
    <row r="483" spans="1:1" x14ac:dyDescent="0.25">
      <c r="A483" s="1">
        <v>482</v>
      </c>
    </row>
    <row r="484" spans="1:1" x14ac:dyDescent="0.25">
      <c r="A484" s="1">
        <v>483</v>
      </c>
    </row>
    <row r="485" spans="1:1" x14ac:dyDescent="0.25">
      <c r="A485" s="1">
        <v>484</v>
      </c>
    </row>
    <row r="486" spans="1:1" x14ac:dyDescent="0.25">
      <c r="A486" s="1">
        <v>485</v>
      </c>
    </row>
    <row r="487" spans="1:1" x14ac:dyDescent="0.25">
      <c r="A487" s="1">
        <v>486</v>
      </c>
    </row>
    <row r="488" spans="1:1" x14ac:dyDescent="0.25">
      <c r="A488" s="1">
        <v>487</v>
      </c>
    </row>
    <row r="489" spans="1:1" x14ac:dyDescent="0.25">
      <c r="A489" s="1">
        <v>488</v>
      </c>
    </row>
    <row r="490" spans="1:1" x14ac:dyDescent="0.25">
      <c r="A490" s="1">
        <v>489</v>
      </c>
    </row>
    <row r="491" spans="1:1" x14ac:dyDescent="0.25">
      <c r="A491" s="1">
        <v>490</v>
      </c>
    </row>
    <row r="492" spans="1:1" x14ac:dyDescent="0.25">
      <c r="A492" s="1">
        <v>491</v>
      </c>
    </row>
    <row r="493" spans="1:1" x14ac:dyDescent="0.25">
      <c r="A493" s="1">
        <v>492</v>
      </c>
    </row>
    <row r="494" spans="1:1" x14ac:dyDescent="0.25">
      <c r="A494" s="1">
        <v>493</v>
      </c>
    </row>
    <row r="495" spans="1:1" x14ac:dyDescent="0.25">
      <c r="A495" s="1">
        <v>494</v>
      </c>
    </row>
    <row r="496" spans="1:1" x14ac:dyDescent="0.25">
      <c r="A496" s="1">
        <v>495</v>
      </c>
    </row>
    <row r="497" spans="1:1" x14ac:dyDescent="0.25">
      <c r="A497" s="1">
        <v>496</v>
      </c>
    </row>
    <row r="498" spans="1:1" x14ac:dyDescent="0.25">
      <c r="A498" s="1">
        <v>497</v>
      </c>
    </row>
    <row r="499" spans="1:1" x14ac:dyDescent="0.25">
      <c r="A499" s="1">
        <v>498</v>
      </c>
    </row>
    <row r="500" spans="1:1" x14ac:dyDescent="0.25">
      <c r="A500" s="1">
        <v>499</v>
      </c>
    </row>
    <row r="501" spans="1:1" x14ac:dyDescent="0.25">
      <c r="A501" s="1">
        <v>500</v>
      </c>
    </row>
    <row r="502" spans="1:1" x14ac:dyDescent="0.25">
      <c r="A502" s="1">
        <v>501</v>
      </c>
    </row>
    <row r="503" spans="1:1" x14ac:dyDescent="0.25">
      <c r="A503" s="1">
        <v>502</v>
      </c>
    </row>
    <row r="504" spans="1:1" x14ac:dyDescent="0.25">
      <c r="A504" s="1">
        <v>503</v>
      </c>
    </row>
    <row r="505" spans="1:1" x14ac:dyDescent="0.25">
      <c r="A505" s="1">
        <v>504</v>
      </c>
    </row>
    <row r="506" spans="1:1" x14ac:dyDescent="0.25">
      <c r="A506" s="1">
        <v>505</v>
      </c>
    </row>
    <row r="507" spans="1:1" x14ac:dyDescent="0.25">
      <c r="A507" s="1">
        <v>506</v>
      </c>
    </row>
    <row r="508" spans="1:1" x14ac:dyDescent="0.25">
      <c r="A508" s="1">
        <v>507</v>
      </c>
    </row>
    <row r="509" spans="1:1" x14ac:dyDescent="0.25">
      <c r="A509" s="1">
        <v>508</v>
      </c>
    </row>
    <row r="510" spans="1:1" x14ac:dyDescent="0.25">
      <c r="A510" s="1">
        <v>509</v>
      </c>
    </row>
    <row r="511" spans="1:1" x14ac:dyDescent="0.25">
      <c r="A511" s="1">
        <v>510</v>
      </c>
    </row>
    <row r="512" spans="1:1" x14ac:dyDescent="0.25">
      <c r="A512" s="1">
        <v>511</v>
      </c>
    </row>
    <row r="513" spans="1:1" x14ac:dyDescent="0.25">
      <c r="A513" s="1">
        <v>512</v>
      </c>
    </row>
    <row r="514" spans="1:1" x14ac:dyDescent="0.25">
      <c r="A514" s="1">
        <v>513</v>
      </c>
    </row>
    <row r="515" spans="1:1" x14ac:dyDescent="0.25">
      <c r="A515" s="1">
        <v>514</v>
      </c>
    </row>
    <row r="516" spans="1:1" x14ac:dyDescent="0.25">
      <c r="A516" s="1">
        <v>515</v>
      </c>
    </row>
    <row r="517" spans="1:1" x14ac:dyDescent="0.25">
      <c r="A517" s="1">
        <v>516</v>
      </c>
    </row>
    <row r="518" spans="1:1" x14ac:dyDescent="0.25">
      <c r="A518" s="1">
        <v>517</v>
      </c>
    </row>
    <row r="519" spans="1:1" x14ac:dyDescent="0.25">
      <c r="A519" s="1">
        <v>518</v>
      </c>
    </row>
    <row r="520" spans="1:1" x14ac:dyDescent="0.25">
      <c r="A520" s="1">
        <v>519</v>
      </c>
    </row>
    <row r="521" spans="1:1" x14ac:dyDescent="0.25">
      <c r="A521" s="1">
        <v>520</v>
      </c>
    </row>
    <row r="522" spans="1:1" x14ac:dyDescent="0.25">
      <c r="A522" s="1">
        <v>521</v>
      </c>
    </row>
    <row r="523" spans="1:1" x14ac:dyDescent="0.25">
      <c r="A523" s="1">
        <v>522</v>
      </c>
    </row>
    <row r="524" spans="1:1" x14ac:dyDescent="0.25">
      <c r="A524" s="1">
        <v>523</v>
      </c>
    </row>
    <row r="525" spans="1:1" x14ac:dyDescent="0.25">
      <c r="A525" s="1">
        <v>524</v>
      </c>
    </row>
    <row r="526" spans="1:1" x14ac:dyDescent="0.25">
      <c r="A526" s="1">
        <v>525</v>
      </c>
    </row>
    <row r="527" spans="1:1" x14ac:dyDescent="0.25">
      <c r="A527" s="1">
        <v>526</v>
      </c>
    </row>
    <row r="528" spans="1:1" x14ac:dyDescent="0.25">
      <c r="A528" s="1">
        <v>527</v>
      </c>
    </row>
    <row r="529" spans="1:1" x14ac:dyDescent="0.25">
      <c r="A529" s="1">
        <v>528</v>
      </c>
    </row>
    <row r="530" spans="1:1" x14ac:dyDescent="0.25">
      <c r="A530" s="1">
        <v>529</v>
      </c>
    </row>
    <row r="531" spans="1:1" x14ac:dyDescent="0.25">
      <c r="A531" s="1">
        <v>530</v>
      </c>
    </row>
    <row r="532" spans="1:1" x14ac:dyDescent="0.25">
      <c r="A532" s="1">
        <v>531</v>
      </c>
    </row>
    <row r="533" spans="1:1" x14ac:dyDescent="0.25">
      <c r="A533" s="1">
        <v>532</v>
      </c>
    </row>
    <row r="534" spans="1:1" x14ac:dyDescent="0.25">
      <c r="A534" s="1">
        <v>533</v>
      </c>
    </row>
    <row r="535" spans="1:1" x14ac:dyDescent="0.25">
      <c r="A535" s="1">
        <v>534</v>
      </c>
    </row>
    <row r="536" spans="1:1" x14ac:dyDescent="0.25">
      <c r="A536" s="1">
        <v>535</v>
      </c>
    </row>
    <row r="537" spans="1:1" x14ac:dyDescent="0.25">
      <c r="A537" s="1">
        <v>536</v>
      </c>
    </row>
    <row r="538" spans="1:1" x14ac:dyDescent="0.25">
      <c r="A538" s="1">
        <v>537</v>
      </c>
    </row>
    <row r="539" spans="1:1" x14ac:dyDescent="0.25">
      <c r="A539" s="1">
        <v>538</v>
      </c>
    </row>
    <row r="540" spans="1:1" x14ac:dyDescent="0.25">
      <c r="A540" s="1">
        <v>539</v>
      </c>
    </row>
    <row r="541" spans="1:1" x14ac:dyDescent="0.25">
      <c r="A541" s="1">
        <v>540</v>
      </c>
    </row>
    <row r="542" spans="1:1" x14ac:dyDescent="0.25">
      <c r="A542" s="1">
        <v>541</v>
      </c>
    </row>
    <row r="543" spans="1:1" x14ac:dyDescent="0.25">
      <c r="A543" s="1">
        <v>542</v>
      </c>
    </row>
    <row r="544" spans="1:1" x14ac:dyDescent="0.25">
      <c r="A544" s="1">
        <v>543</v>
      </c>
    </row>
    <row r="545" spans="1:1" x14ac:dyDescent="0.25">
      <c r="A545" s="1">
        <v>544</v>
      </c>
    </row>
    <row r="546" spans="1:1" x14ac:dyDescent="0.25">
      <c r="A546" s="1">
        <v>545</v>
      </c>
    </row>
    <row r="547" spans="1:1" x14ac:dyDescent="0.25">
      <c r="A547" s="1">
        <v>546</v>
      </c>
    </row>
    <row r="548" spans="1:1" x14ac:dyDescent="0.25">
      <c r="A548" s="1">
        <v>547</v>
      </c>
    </row>
    <row r="549" spans="1:1" x14ac:dyDescent="0.25">
      <c r="A549" s="1">
        <v>548</v>
      </c>
    </row>
    <row r="550" spans="1:1" x14ac:dyDescent="0.25">
      <c r="A550" s="1">
        <v>549</v>
      </c>
    </row>
    <row r="551" spans="1:1" x14ac:dyDescent="0.25">
      <c r="A551" s="1">
        <v>550</v>
      </c>
    </row>
    <row r="552" spans="1:1" x14ac:dyDescent="0.25">
      <c r="A552" s="1">
        <v>551</v>
      </c>
    </row>
    <row r="553" spans="1:1" x14ac:dyDescent="0.25">
      <c r="A553" s="1">
        <v>552</v>
      </c>
    </row>
    <row r="554" spans="1:1" x14ac:dyDescent="0.25">
      <c r="A554" s="1">
        <v>553</v>
      </c>
    </row>
    <row r="555" spans="1:1" x14ac:dyDescent="0.25">
      <c r="A555" s="1">
        <v>554</v>
      </c>
    </row>
    <row r="556" spans="1:1" x14ac:dyDescent="0.25">
      <c r="A556" s="1">
        <v>555</v>
      </c>
    </row>
    <row r="557" spans="1:1" x14ac:dyDescent="0.25">
      <c r="A557" s="1">
        <v>556</v>
      </c>
    </row>
    <row r="558" spans="1:1" x14ac:dyDescent="0.25">
      <c r="A558" s="1">
        <v>557</v>
      </c>
    </row>
    <row r="559" spans="1:1" x14ac:dyDescent="0.25">
      <c r="A559" s="1">
        <v>558</v>
      </c>
    </row>
    <row r="560" spans="1:1" x14ac:dyDescent="0.25">
      <c r="A560" s="1">
        <v>559</v>
      </c>
    </row>
    <row r="561" spans="1:1" x14ac:dyDescent="0.25">
      <c r="A561" s="1">
        <v>560</v>
      </c>
    </row>
    <row r="562" spans="1:1" x14ac:dyDescent="0.25">
      <c r="A562" s="1">
        <v>561</v>
      </c>
    </row>
    <row r="563" spans="1:1" x14ac:dyDescent="0.25">
      <c r="A563" s="1">
        <v>562</v>
      </c>
    </row>
    <row r="564" spans="1:1" x14ac:dyDescent="0.25">
      <c r="A564" s="1">
        <v>563</v>
      </c>
    </row>
    <row r="565" spans="1:1" x14ac:dyDescent="0.25">
      <c r="A565" s="1">
        <v>564</v>
      </c>
    </row>
    <row r="566" spans="1:1" x14ac:dyDescent="0.25">
      <c r="A566" s="1">
        <v>565</v>
      </c>
    </row>
    <row r="567" spans="1:1" x14ac:dyDescent="0.25">
      <c r="A567" s="1">
        <v>566</v>
      </c>
    </row>
    <row r="568" spans="1:1" x14ac:dyDescent="0.25">
      <c r="A568" s="1">
        <v>567</v>
      </c>
    </row>
    <row r="569" spans="1:1" x14ac:dyDescent="0.25">
      <c r="A569" s="1">
        <v>568</v>
      </c>
    </row>
    <row r="570" spans="1:1" x14ac:dyDescent="0.25">
      <c r="A570" s="1">
        <v>569</v>
      </c>
    </row>
    <row r="571" spans="1:1" x14ac:dyDescent="0.25">
      <c r="A571" s="1">
        <v>570</v>
      </c>
    </row>
    <row r="572" spans="1:1" x14ac:dyDescent="0.25">
      <c r="A572" s="1">
        <v>571</v>
      </c>
    </row>
    <row r="573" spans="1:1" x14ac:dyDescent="0.25">
      <c r="A573" s="1">
        <v>572</v>
      </c>
    </row>
    <row r="574" spans="1:1" x14ac:dyDescent="0.25">
      <c r="A574" s="1">
        <v>573</v>
      </c>
    </row>
    <row r="575" spans="1:1" x14ac:dyDescent="0.25">
      <c r="A575" s="1">
        <v>574</v>
      </c>
    </row>
    <row r="576" spans="1:1" x14ac:dyDescent="0.25">
      <c r="A576" s="1">
        <v>575</v>
      </c>
    </row>
    <row r="577" spans="1:1" x14ac:dyDescent="0.25">
      <c r="A577" s="1">
        <v>576</v>
      </c>
    </row>
    <row r="578" spans="1:1" x14ac:dyDescent="0.25">
      <c r="A578" s="1">
        <v>577</v>
      </c>
    </row>
    <row r="579" spans="1:1" x14ac:dyDescent="0.25">
      <c r="A579" s="1">
        <v>578</v>
      </c>
    </row>
    <row r="580" spans="1:1" x14ac:dyDescent="0.25">
      <c r="A580" s="1">
        <v>579</v>
      </c>
    </row>
    <row r="581" spans="1:1" x14ac:dyDescent="0.25">
      <c r="A581" s="1">
        <v>580</v>
      </c>
    </row>
    <row r="582" spans="1:1" x14ac:dyDescent="0.25">
      <c r="A582" s="1">
        <v>581</v>
      </c>
    </row>
    <row r="583" spans="1:1" x14ac:dyDescent="0.25">
      <c r="A583" s="1">
        <v>582</v>
      </c>
    </row>
    <row r="584" spans="1:1" x14ac:dyDescent="0.25">
      <c r="A584" s="1">
        <v>583</v>
      </c>
    </row>
    <row r="585" spans="1:1" x14ac:dyDescent="0.25">
      <c r="A585" s="1">
        <v>584</v>
      </c>
    </row>
    <row r="586" spans="1:1" x14ac:dyDescent="0.25">
      <c r="A586" s="1">
        <v>585</v>
      </c>
    </row>
    <row r="587" spans="1:1" x14ac:dyDescent="0.25">
      <c r="A587" s="1">
        <v>586</v>
      </c>
    </row>
    <row r="588" spans="1:1" x14ac:dyDescent="0.25">
      <c r="A588" s="1">
        <v>587</v>
      </c>
    </row>
    <row r="589" spans="1:1" x14ac:dyDescent="0.25">
      <c r="A589" s="1">
        <v>588</v>
      </c>
    </row>
    <row r="590" spans="1:1" x14ac:dyDescent="0.25">
      <c r="A590" s="1">
        <v>589</v>
      </c>
    </row>
    <row r="591" spans="1:1" x14ac:dyDescent="0.25">
      <c r="A591" s="1">
        <v>590</v>
      </c>
    </row>
    <row r="592" spans="1:1" x14ac:dyDescent="0.25">
      <c r="A592" s="1">
        <v>591</v>
      </c>
    </row>
    <row r="593" spans="1:1" x14ac:dyDescent="0.25">
      <c r="A593" s="1">
        <v>592</v>
      </c>
    </row>
    <row r="594" spans="1:1" x14ac:dyDescent="0.25">
      <c r="A594" s="1">
        <v>593</v>
      </c>
    </row>
    <row r="595" spans="1:1" x14ac:dyDescent="0.25">
      <c r="A595" s="1">
        <v>594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B981-960C-4AF4-8290-0129BF74FE5C}">
  <dimension ref="A1:N604"/>
  <sheetViews>
    <sheetView workbookViewId="0">
      <pane ySplit="1" topLeftCell="A2" activePane="bottomLeft" state="frozen"/>
      <selection pane="bottomLeft" activeCell="C601" sqref="C601"/>
    </sheetView>
  </sheetViews>
  <sheetFormatPr defaultRowHeight="15" x14ac:dyDescent="0.25"/>
  <cols>
    <col min="1" max="1" width="8.5703125" style="13" bestFit="1" customWidth="1"/>
    <col min="2" max="2" width="10.7109375" style="13" bestFit="1" customWidth="1"/>
    <col min="3" max="3" width="15.28515625" style="15" bestFit="1" customWidth="1"/>
    <col min="4" max="4" width="7.140625" style="15" bestFit="1" customWidth="1"/>
    <col min="5" max="5" width="16.5703125" style="15" bestFit="1" customWidth="1"/>
    <col min="6" max="6" width="9.5703125" style="15" bestFit="1" customWidth="1"/>
    <col min="7" max="7" width="10.28515625" style="15" bestFit="1" customWidth="1"/>
    <col min="8" max="8" width="11.42578125" style="15" bestFit="1" customWidth="1"/>
    <col min="9" max="9" width="10.28515625" style="15" customWidth="1"/>
    <col min="10" max="10" width="12.85546875" style="15" bestFit="1" customWidth="1"/>
    <col min="11" max="11" width="11.42578125" style="15" bestFit="1" customWidth="1"/>
    <col min="12" max="12" width="14.42578125" style="15" bestFit="1" customWidth="1"/>
    <col min="13" max="13" width="9.85546875" style="15" bestFit="1" customWidth="1"/>
    <col min="14" max="14" width="13.140625" style="21" bestFit="1" customWidth="1"/>
    <col min="15" max="16384" width="9.140625" style="13"/>
  </cols>
  <sheetData>
    <row r="1" spans="1:14" s="10" customFormat="1" ht="15.75" customHeight="1" x14ac:dyDescent="0.25">
      <c r="A1" s="11" t="s">
        <v>5</v>
      </c>
      <c r="B1" s="11" t="s">
        <v>1</v>
      </c>
      <c r="C1" s="11" t="s">
        <v>17</v>
      </c>
      <c r="D1" s="16" t="s">
        <v>18</v>
      </c>
      <c r="E1" s="16" t="s">
        <v>90</v>
      </c>
      <c r="F1" s="16" t="s">
        <v>88</v>
      </c>
      <c r="G1" s="16" t="s">
        <v>89</v>
      </c>
      <c r="H1" s="16" t="s">
        <v>156</v>
      </c>
      <c r="I1" s="16" t="s">
        <v>119</v>
      </c>
      <c r="J1" s="16" t="s">
        <v>130</v>
      </c>
      <c r="K1" s="16" t="s">
        <v>19</v>
      </c>
      <c r="L1" s="16" t="s">
        <v>20</v>
      </c>
      <c r="M1" s="11" t="s">
        <v>45</v>
      </c>
      <c r="N1" s="22" t="s">
        <v>55</v>
      </c>
    </row>
    <row r="2" spans="1:14" x14ac:dyDescent="0.25">
      <c r="A2" s="13">
        <v>1</v>
      </c>
      <c r="B2" s="14">
        <v>45871</v>
      </c>
      <c r="C2" s="15">
        <v>0</v>
      </c>
      <c r="D2" s="15">
        <v>0</v>
      </c>
      <c r="E2" s="15">
        <v>1.7</v>
      </c>
      <c r="H2" s="15">
        <v>0</v>
      </c>
      <c r="J2" s="15">
        <v>6.3</v>
      </c>
      <c r="K2" s="15">
        <v>9.6</v>
      </c>
      <c r="L2" s="15">
        <v>0</v>
      </c>
      <c r="M2" s="15">
        <f>((C2+D2+E2+F2+G2+H2+J2)-(K2-L2))</f>
        <v>-1.5999999999999996</v>
      </c>
      <c r="N2" s="21">
        <f t="shared" ref="N2:N65" si="0">ABS(M2/(K2-L2))</f>
        <v>0.16666666666666663</v>
      </c>
    </row>
    <row r="3" spans="1:14" x14ac:dyDescent="0.25">
      <c r="A3" s="13">
        <v>2</v>
      </c>
      <c r="B3" s="14">
        <v>45911</v>
      </c>
      <c r="C3" s="15">
        <v>0</v>
      </c>
      <c r="D3" s="15">
        <v>0</v>
      </c>
      <c r="E3" s="15">
        <v>2</v>
      </c>
      <c r="H3" s="15">
        <v>0</v>
      </c>
      <c r="J3" s="15">
        <v>5</v>
      </c>
      <c r="K3" s="15">
        <v>8.1999999999999993</v>
      </c>
      <c r="L3" s="15">
        <v>0</v>
      </c>
      <c r="M3" s="15">
        <f t="shared" ref="M3:M66" si="1">((C3+D3+E3+F3+G3+H3+J3)-(K3-L3))</f>
        <v>-1.1999999999999993</v>
      </c>
      <c r="N3" s="21">
        <f t="shared" si="0"/>
        <v>0.14634146341463408</v>
      </c>
    </row>
    <row r="4" spans="1:14" x14ac:dyDescent="0.25">
      <c r="A4" s="13">
        <v>3</v>
      </c>
      <c r="B4" s="14">
        <v>45913</v>
      </c>
      <c r="C4" s="15">
        <v>0</v>
      </c>
      <c r="D4" s="15">
        <v>0</v>
      </c>
      <c r="E4" s="15">
        <v>3.6</v>
      </c>
      <c r="H4" s="15">
        <v>0</v>
      </c>
      <c r="J4" s="15">
        <v>6.5</v>
      </c>
      <c r="K4" s="15">
        <v>8.5</v>
      </c>
      <c r="L4" s="15">
        <v>0</v>
      </c>
      <c r="M4" s="15">
        <f t="shared" si="1"/>
        <v>1.5999999999999996</v>
      </c>
      <c r="N4" s="21">
        <f t="shared" si="0"/>
        <v>0.18823529411764703</v>
      </c>
    </row>
    <row r="5" spans="1:14" x14ac:dyDescent="0.25">
      <c r="A5" s="13">
        <v>4</v>
      </c>
      <c r="B5" s="14">
        <v>46278</v>
      </c>
      <c r="C5" s="15">
        <v>3.7</v>
      </c>
      <c r="D5" s="15">
        <v>0</v>
      </c>
      <c r="E5" s="15">
        <v>1.3</v>
      </c>
      <c r="H5" s="15">
        <v>0</v>
      </c>
      <c r="J5" s="15">
        <v>7.7</v>
      </c>
      <c r="K5" s="15">
        <v>12.7</v>
      </c>
      <c r="L5" s="15">
        <v>0</v>
      </c>
      <c r="M5" s="15">
        <f t="shared" si="1"/>
        <v>0</v>
      </c>
      <c r="N5" s="21">
        <f t="shared" si="0"/>
        <v>0</v>
      </c>
    </row>
    <row r="6" spans="1:14" x14ac:dyDescent="0.25">
      <c r="A6" s="13">
        <v>5</v>
      </c>
      <c r="B6" s="14">
        <v>46278</v>
      </c>
      <c r="C6" s="15">
        <v>3.2</v>
      </c>
      <c r="D6" s="15">
        <v>0</v>
      </c>
      <c r="E6" s="15">
        <v>2.2000000000000002</v>
      </c>
      <c r="H6" s="15">
        <v>0</v>
      </c>
      <c r="J6" s="15">
        <v>9.1999999999999993</v>
      </c>
      <c r="K6" s="15">
        <v>14.6</v>
      </c>
      <c r="L6" s="15">
        <v>0</v>
      </c>
      <c r="M6" s="15">
        <f t="shared" si="1"/>
        <v>0</v>
      </c>
      <c r="N6" s="21">
        <f t="shared" si="0"/>
        <v>0</v>
      </c>
    </row>
    <row r="7" spans="1:14" x14ac:dyDescent="0.25">
      <c r="A7" s="13">
        <v>6</v>
      </c>
      <c r="B7" s="14">
        <v>46278</v>
      </c>
      <c r="C7" s="15">
        <v>0</v>
      </c>
      <c r="D7" s="15">
        <v>0</v>
      </c>
      <c r="E7" s="15">
        <v>0</v>
      </c>
      <c r="H7" s="15">
        <v>0</v>
      </c>
      <c r="J7" s="15">
        <v>2</v>
      </c>
      <c r="K7" s="15">
        <v>0</v>
      </c>
      <c r="L7" s="15">
        <v>0</v>
      </c>
      <c r="M7" s="15">
        <f t="shared" si="1"/>
        <v>2</v>
      </c>
      <c r="N7" s="21" t="e">
        <f t="shared" si="0"/>
        <v>#DIV/0!</v>
      </c>
    </row>
    <row r="8" spans="1:14" x14ac:dyDescent="0.25">
      <c r="A8" s="13">
        <v>7</v>
      </c>
      <c r="B8" s="14">
        <v>46278</v>
      </c>
      <c r="C8" s="15">
        <v>2.4</v>
      </c>
      <c r="D8" s="15">
        <v>0</v>
      </c>
      <c r="E8" s="15">
        <v>4.9000000000000004</v>
      </c>
      <c r="H8" s="15">
        <v>0</v>
      </c>
      <c r="J8" s="15">
        <v>6.3</v>
      </c>
      <c r="K8" s="15">
        <v>13.6</v>
      </c>
      <c r="L8" s="15">
        <v>0</v>
      </c>
      <c r="M8" s="15">
        <f t="shared" si="1"/>
        <v>1.7763568394002505E-15</v>
      </c>
      <c r="N8" s="21">
        <f t="shared" si="0"/>
        <v>1.3061447348531254E-16</v>
      </c>
    </row>
    <row r="9" spans="1:14" x14ac:dyDescent="0.25">
      <c r="A9" s="13">
        <v>8</v>
      </c>
      <c r="B9" s="14">
        <v>46278</v>
      </c>
      <c r="C9" s="15">
        <v>0</v>
      </c>
      <c r="D9" s="15">
        <v>0</v>
      </c>
      <c r="E9" s="15">
        <v>0</v>
      </c>
      <c r="H9" s="15">
        <v>0</v>
      </c>
      <c r="J9" s="15">
        <v>7.92</v>
      </c>
      <c r="K9" s="15">
        <v>0</v>
      </c>
      <c r="L9" s="15">
        <v>0</v>
      </c>
      <c r="M9" s="15">
        <f t="shared" si="1"/>
        <v>7.92</v>
      </c>
      <c r="N9" s="21" t="e">
        <f t="shared" si="0"/>
        <v>#DIV/0!</v>
      </c>
    </row>
    <row r="10" spans="1:14" x14ac:dyDescent="0.25">
      <c r="A10" s="13">
        <v>9</v>
      </c>
      <c r="B10" s="14">
        <v>46278</v>
      </c>
      <c r="C10" s="15">
        <v>1.1000000000000001</v>
      </c>
      <c r="D10" s="15">
        <v>0</v>
      </c>
      <c r="E10" s="15">
        <v>5.8</v>
      </c>
      <c r="H10" s="15">
        <v>0</v>
      </c>
      <c r="J10" s="15">
        <v>9.6</v>
      </c>
      <c r="K10" s="15">
        <v>16.5</v>
      </c>
      <c r="L10" s="15">
        <v>0</v>
      </c>
      <c r="M10" s="15">
        <f t="shared" si="1"/>
        <v>0</v>
      </c>
      <c r="N10" s="21">
        <f t="shared" si="0"/>
        <v>0</v>
      </c>
    </row>
    <row r="11" spans="1:14" x14ac:dyDescent="0.25">
      <c r="A11" s="13">
        <v>10</v>
      </c>
      <c r="B11" s="14">
        <v>45929</v>
      </c>
      <c r="C11" s="15">
        <v>0</v>
      </c>
      <c r="D11" s="15">
        <v>0</v>
      </c>
      <c r="E11" s="15">
        <v>3.6</v>
      </c>
      <c r="H11" s="15">
        <v>0</v>
      </c>
      <c r="J11" s="15">
        <v>5.0999999999999996</v>
      </c>
      <c r="K11" s="15">
        <v>12.3</v>
      </c>
      <c r="L11" s="15">
        <v>1.85</v>
      </c>
      <c r="M11" s="15">
        <f t="shared" si="1"/>
        <v>-1.7500000000000018</v>
      </c>
      <c r="N11" s="21">
        <f t="shared" si="0"/>
        <v>0.16746411483253604</v>
      </c>
    </row>
    <row r="12" spans="1:14" x14ac:dyDescent="0.25">
      <c r="A12" s="13">
        <v>11</v>
      </c>
      <c r="B12" s="14">
        <v>45929</v>
      </c>
      <c r="C12" s="15">
        <v>0</v>
      </c>
      <c r="D12" s="15">
        <v>0</v>
      </c>
      <c r="E12" s="15">
        <v>0</v>
      </c>
      <c r="H12" s="15">
        <v>0</v>
      </c>
      <c r="J12" s="15">
        <v>10.45</v>
      </c>
      <c r="K12" s="15">
        <v>0</v>
      </c>
      <c r="L12" s="15">
        <v>0</v>
      </c>
      <c r="M12" s="15">
        <f t="shared" si="1"/>
        <v>10.45</v>
      </c>
      <c r="N12" s="21" t="e">
        <f t="shared" si="0"/>
        <v>#DIV/0!</v>
      </c>
    </row>
    <row r="13" spans="1:14" x14ac:dyDescent="0.25">
      <c r="A13" s="13">
        <v>12</v>
      </c>
      <c r="B13" s="14">
        <v>45932</v>
      </c>
      <c r="C13" s="15">
        <v>1</v>
      </c>
      <c r="D13" s="15">
        <v>0</v>
      </c>
      <c r="E13" s="15">
        <v>2</v>
      </c>
      <c r="H13" s="15">
        <v>0</v>
      </c>
      <c r="J13" s="15">
        <v>7.9</v>
      </c>
      <c r="K13" s="15">
        <v>12.9</v>
      </c>
      <c r="L13" s="15">
        <v>0</v>
      </c>
      <c r="M13" s="15">
        <f t="shared" si="1"/>
        <v>-2</v>
      </c>
      <c r="N13" s="21">
        <f t="shared" si="0"/>
        <v>0.15503875968992248</v>
      </c>
    </row>
    <row r="14" spans="1:14" x14ac:dyDescent="0.25">
      <c r="A14" s="13">
        <v>13</v>
      </c>
      <c r="B14" s="14">
        <v>45932</v>
      </c>
      <c r="C14" s="15">
        <v>0.8</v>
      </c>
      <c r="D14" s="15">
        <v>0</v>
      </c>
      <c r="E14" s="15">
        <v>1</v>
      </c>
      <c r="H14" s="15">
        <v>0</v>
      </c>
      <c r="J14" s="15">
        <v>5.7</v>
      </c>
      <c r="K14" s="15">
        <v>9.6</v>
      </c>
      <c r="L14" s="15">
        <v>0</v>
      </c>
      <c r="M14" s="15">
        <f t="shared" si="1"/>
        <v>-2.0999999999999996</v>
      </c>
      <c r="N14" s="21">
        <f t="shared" si="0"/>
        <v>0.21874999999999997</v>
      </c>
    </row>
    <row r="15" spans="1:14" x14ac:dyDescent="0.25">
      <c r="A15" s="13">
        <v>14</v>
      </c>
      <c r="B15" s="14">
        <v>45932</v>
      </c>
      <c r="C15" s="15">
        <v>3</v>
      </c>
      <c r="D15" s="15">
        <v>0</v>
      </c>
      <c r="E15" s="15">
        <v>1</v>
      </c>
      <c r="H15" s="15">
        <v>0</v>
      </c>
      <c r="J15" s="15">
        <v>27.9</v>
      </c>
      <c r="K15" s="15">
        <v>31.4</v>
      </c>
      <c r="L15" s="15">
        <v>4.71</v>
      </c>
      <c r="M15" s="15">
        <f t="shared" si="1"/>
        <v>5.2100000000000009</v>
      </c>
      <c r="N15" s="21">
        <f t="shared" si="0"/>
        <v>0.19520419632821287</v>
      </c>
    </row>
    <row r="16" spans="1:14" x14ac:dyDescent="0.25">
      <c r="A16" s="13">
        <v>15</v>
      </c>
      <c r="B16" s="14">
        <v>45932</v>
      </c>
      <c r="C16" s="15">
        <v>9.1</v>
      </c>
      <c r="D16" s="15">
        <v>0</v>
      </c>
      <c r="E16" s="15">
        <v>1</v>
      </c>
      <c r="H16" s="15">
        <v>0</v>
      </c>
      <c r="J16" s="15">
        <v>13.2</v>
      </c>
      <c r="K16" s="15">
        <v>19.5</v>
      </c>
      <c r="L16" s="15">
        <v>0</v>
      </c>
      <c r="M16" s="15">
        <f t="shared" si="1"/>
        <v>3.7999999999999972</v>
      </c>
      <c r="N16" s="21">
        <f t="shared" si="0"/>
        <v>0.19487179487179473</v>
      </c>
    </row>
    <row r="17" spans="1:14" x14ac:dyDescent="0.25">
      <c r="A17" s="13">
        <v>16</v>
      </c>
      <c r="B17" s="14">
        <v>45932</v>
      </c>
      <c r="C17" s="15">
        <v>0</v>
      </c>
      <c r="D17" s="15">
        <v>0</v>
      </c>
      <c r="E17" s="15">
        <v>1.4</v>
      </c>
      <c r="H17" s="15">
        <v>0</v>
      </c>
      <c r="J17" s="15">
        <v>5.7</v>
      </c>
      <c r="K17" s="15">
        <v>9</v>
      </c>
      <c r="L17" s="15">
        <v>3.6</v>
      </c>
      <c r="M17" s="15">
        <f t="shared" si="1"/>
        <v>1.6999999999999993</v>
      </c>
      <c r="N17" s="21">
        <f t="shared" si="0"/>
        <v>0.31481481481481466</v>
      </c>
    </row>
    <row r="18" spans="1:14" x14ac:dyDescent="0.25">
      <c r="A18" s="13">
        <v>17</v>
      </c>
      <c r="B18" s="14">
        <v>45932</v>
      </c>
      <c r="C18" s="15">
        <v>0</v>
      </c>
      <c r="D18" s="15">
        <v>0</v>
      </c>
      <c r="E18" s="15">
        <v>5</v>
      </c>
      <c r="H18" s="15">
        <v>0</v>
      </c>
      <c r="J18" s="15">
        <v>6</v>
      </c>
      <c r="K18" s="15">
        <v>9.4</v>
      </c>
      <c r="L18" s="15">
        <v>0</v>
      </c>
      <c r="M18" s="15">
        <f t="shared" si="1"/>
        <v>1.5999999999999996</v>
      </c>
      <c r="N18" s="21">
        <f t="shared" si="0"/>
        <v>0.17021276595744678</v>
      </c>
    </row>
    <row r="19" spans="1:14" x14ac:dyDescent="0.25">
      <c r="A19" s="13">
        <v>18</v>
      </c>
      <c r="B19" s="14">
        <v>45932</v>
      </c>
      <c r="C19" s="15">
        <v>0</v>
      </c>
      <c r="D19" s="15">
        <v>0</v>
      </c>
      <c r="E19" s="15">
        <v>0</v>
      </c>
      <c r="H19" s="15">
        <v>0</v>
      </c>
      <c r="J19" s="15">
        <v>2.2999999999999998</v>
      </c>
      <c r="K19" s="15">
        <v>0</v>
      </c>
      <c r="L19" s="15">
        <v>0</v>
      </c>
      <c r="M19" s="15">
        <f t="shared" si="1"/>
        <v>2.2999999999999998</v>
      </c>
      <c r="N19" s="21" t="e">
        <f t="shared" si="0"/>
        <v>#DIV/0!</v>
      </c>
    </row>
    <row r="20" spans="1:14" x14ac:dyDescent="0.25">
      <c r="A20" s="13">
        <v>19</v>
      </c>
      <c r="B20" s="14">
        <v>45933</v>
      </c>
      <c r="C20" s="15">
        <v>2.1</v>
      </c>
      <c r="D20" s="15">
        <v>5.74</v>
      </c>
      <c r="E20" s="15">
        <v>3.2</v>
      </c>
      <c r="H20" s="15">
        <v>0</v>
      </c>
      <c r="J20" s="15">
        <v>18.899999999999999</v>
      </c>
      <c r="K20" s="15">
        <v>24.84</v>
      </c>
      <c r="L20" s="15">
        <v>0</v>
      </c>
      <c r="M20" s="15">
        <f t="shared" si="1"/>
        <v>5.0999999999999979</v>
      </c>
      <c r="N20" s="21">
        <f t="shared" si="0"/>
        <v>0.20531400966183566</v>
      </c>
    </row>
    <row r="21" spans="1:14" x14ac:dyDescent="0.25">
      <c r="A21" s="13">
        <v>20</v>
      </c>
      <c r="B21" s="14">
        <v>45933</v>
      </c>
      <c r="C21" s="15">
        <v>0</v>
      </c>
      <c r="D21" s="15">
        <v>0</v>
      </c>
      <c r="E21" s="15">
        <v>1.6</v>
      </c>
      <c r="H21" s="15">
        <v>0</v>
      </c>
      <c r="J21" s="15">
        <v>5.5</v>
      </c>
      <c r="K21" s="15">
        <v>8.4</v>
      </c>
      <c r="L21" s="15">
        <v>0</v>
      </c>
      <c r="M21" s="15">
        <f t="shared" si="1"/>
        <v>-1.3000000000000007</v>
      </c>
      <c r="N21" s="21">
        <f t="shared" si="0"/>
        <v>0.15476190476190485</v>
      </c>
    </row>
    <row r="22" spans="1:14" x14ac:dyDescent="0.25">
      <c r="A22" s="13">
        <v>21</v>
      </c>
      <c r="B22" s="14">
        <v>45933</v>
      </c>
      <c r="C22" s="15">
        <v>0</v>
      </c>
      <c r="D22" s="15">
        <v>0</v>
      </c>
      <c r="E22" s="15">
        <v>1.6</v>
      </c>
      <c r="H22" s="15">
        <v>0</v>
      </c>
      <c r="J22" s="15">
        <v>5.5</v>
      </c>
      <c r="K22" s="15">
        <v>8.5</v>
      </c>
      <c r="L22" s="15">
        <v>0</v>
      </c>
      <c r="M22" s="15">
        <f t="shared" si="1"/>
        <v>-1.4000000000000004</v>
      </c>
      <c r="N22" s="21">
        <f t="shared" si="0"/>
        <v>0.16470588235294123</v>
      </c>
    </row>
    <row r="23" spans="1:14" x14ac:dyDescent="0.25">
      <c r="A23" s="13">
        <v>22</v>
      </c>
      <c r="B23" s="14">
        <v>45933</v>
      </c>
      <c r="C23" s="15">
        <v>1.5</v>
      </c>
      <c r="D23" s="15">
        <v>0</v>
      </c>
      <c r="E23" s="15">
        <v>1.2</v>
      </c>
      <c r="H23" s="15">
        <v>0</v>
      </c>
      <c r="J23" s="15">
        <v>5.7</v>
      </c>
      <c r="K23" s="15">
        <v>11.8</v>
      </c>
      <c r="L23" s="15">
        <v>1.77</v>
      </c>
      <c r="M23" s="15">
        <f t="shared" si="1"/>
        <v>-1.6300000000000008</v>
      </c>
      <c r="N23" s="21">
        <f t="shared" si="0"/>
        <v>0.16251246261216357</v>
      </c>
    </row>
    <row r="24" spans="1:14" x14ac:dyDescent="0.25">
      <c r="A24" s="13">
        <v>23</v>
      </c>
      <c r="B24" s="14">
        <v>45936</v>
      </c>
      <c r="C24" s="15">
        <v>4.9000000000000004</v>
      </c>
      <c r="D24" s="15">
        <v>0</v>
      </c>
      <c r="E24" s="15">
        <v>1</v>
      </c>
      <c r="H24" s="15">
        <v>0</v>
      </c>
      <c r="J24" s="15">
        <v>5</v>
      </c>
      <c r="K24" s="15">
        <v>10.3</v>
      </c>
      <c r="L24" s="15">
        <v>0</v>
      </c>
      <c r="M24" s="15">
        <f t="shared" si="1"/>
        <v>0.59999999999999964</v>
      </c>
      <c r="N24" s="21">
        <f t="shared" si="0"/>
        <v>5.825242718446598E-2</v>
      </c>
    </row>
    <row r="25" spans="1:14" x14ac:dyDescent="0.25">
      <c r="A25" s="13">
        <v>24</v>
      </c>
      <c r="B25" s="14">
        <v>45936</v>
      </c>
      <c r="C25" s="15">
        <v>0</v>
      </c>
      <c r="D25" s="15">
        <v>1.94</v>
      </c>
      <c r="E25" s="15">
        <v>3.9</v>
      </c>
      <c r="H25" s="15">
        <v>0</v>
      </c>
      <c r="J25" s="15">
        <v>7.3</v>
      </c>
      <c r="K25" s="15">
        <v>14.87</v>
      </c>
      <c r="L25" s="15">
        <v>0</v>
      </c>
      <c r="M25" s="15">
        <f t="shared" si="1"/>
        <v>-1.7299999999999986</v>
      </c>
      <c r="N25" s="21">
        <f t="shared" si="0"/>
        <v>0.11634162743779414</v>
      </c>
    </row>
    <row r="26" spans="1:14" x14ac:dyDescent="0.25">
      <c r="A26" s="13">
        <v>25</v>
      </c>
      <c r="B26" s="14">
        <v>45937</v>
      </c>
      <c r="C26" s="15">
        <v>3.1</v>
      </c>
      <c r="D26" s="15">
        <v>0</v>
      </c>
      <c r="E26" s="15">
        <v>4</v>
      </c>
      <c r="H26" s="15">
        <v>0</v>
      </c>
      <c r="J26" s="15">
        <v>4.4000000000000004</v>
      </c>
      <c r="K26" s="15">
        <v>11.3</v>
      </c>
      <c r="L26" s="15">
        <v>1.7</v>
      </c>
      <c r="M26" s="15">
        <f t="shared" si="1"/>
        <v>1.8999999999999986</v>
      </c>
      <c r="N26" s="21">
        <f t="shared" si="0"/>
        <v>0.19791666666666649</v>
      </c>
    </row>
    <row r="27" spans="1:14" x14ac:dyDescent="0.25">
      <c r="A27" s="13">
        <v>26</v>
      </c>
      <c r="B27" s="14">
        <v>45937</v>
      </c>
      <c r="C27" s="15">
        <v>13.9</v>
      </c>
      <c r="D27" s="15">
        <v>0</v>
      </c>
      <c r="E27" s="15">
        <v>1</v>
      </c>
      <c r="H27" s="15">
        <v>0</v>
      </c>
      <c r="J27" s="15">
        <v>25.7</v>
      </c>
      <c r="K27" s="15">
        <v>42.2</v>
      </c>
      <c r="L27" s="15">
        <v>6.33</v>
      </c>
      <c r="M27" s="15">
        <f t="shared" si="1"/>
        <v>4.7299999999999969</v>
      </c>
      <c r="N27" s="21">
        <f t="shared" si="0"/>
        <v>0.13186506830220229</v>
      </c>
    </row>
    <row r="28" spans="1:14" x14ac:dyDescent="0.25">
      <c r="A28" s="13">
        <v>27</v>
      </c>
      <c r="B28" s="14">
        <v>45937</v>
      </c>
      <c r="C28" s="15">
        <v>6</v>
      </c>
      <c r="D28" s="15">
        <v>2.9</v>
      </c>
      <c r="E28" s="15">
        <v>4.4000000000000004</v>
      </c>
      <c r="H28" s="15">
        <v>0</v>
      </c>
      <c r="J28" s="15">
        <v>6.5</v>
      </c>
      <c r="K28" s="15">
        <v>19.079999999999998</v>
      </c>
      <c r="L28" s="15">
        <v>0</v>
      </c>
      <c r="M28" s="15">
        <f t="shared" si="1"/>
        <v>0.72000000000000242</v>
      </c>
      <c r="N28" s="21">
        <f t="shared" si="0"/>
        <v>3.7735849056603904E-2</v>
      </c>
    </row>
    <row r="29" spans="1:14" x14ac:dyDescent="0.25">
      <c r="A29" s="13">
        <v>28</v>
      </c>
      <c r="B29" s="14">
        <v>45937</v>
      </c>
      <c r="C29" s="15">
        <v>5</v>
      </c>
      <c r="D29" s="15">
        <v>0</v>
      </c>
      <c r="E29" s="15">
        <v>1</v>
      </c>
      <c r="H29" s="15">
        <v>0</v>
      </c>
      <c r="J29" s="15">
        <v>4.2</v>
      </c>
      <c r="K29" s="15">
        <v>12.5</v>
      </c>
      <c r="L29" s="15">
        <v>1.88</v>
      </c>
      <c r="M29" s="15">
        <f t="shared" si="1"/>
        <v>-0.42000000000000171</v>
      </c>
      <c r="N29" s="21">
        <f t="shared" si="0"/>
        <v>3.9548022598870212E-2</v>
      </c>
    </row>
    <row r="30" spans="1:14" x14ac:dyDescent="0.25">
      <c r="A30" s="13">
        <v>29</v>
      </c>
      <c r="B30" s="14">
        <v>45937</v>
      </c>
      <c r="C30" s="15">
        <v>6.7</v>
      </c>
      <c r="D30" s="15">
        <v>0</v>
      </c>
      <c r="E30" s="15">
        <v>1.5</v>
      </c>
      <c r="H30" s="15">
        <v>0</v>
      </c>
      <c r="J30" s="15">
        <v>4.5999999999999996</v>
      </c>
      <c r="K30" s="15">
        <v>12.8</v>
      </c>
      <c r="L30" s="15">
        <v>0</v>
      </c>
      <c r="M30" s="15">
        <f t="shared" si="1"/>
        <v>-1.7763568394002505E-15</v>
      </c>
      <c r="N30" s="21">
        <f t="shared" si="0"/>
        <v>1.3877787807814457E-16</v>
      </c>
    </row>
    <row r="31" spans="1:14" x14ac:dyDescent="0.25">
      <c r="A31" s="13">
        <v>30</v>
      </c>
      <c r="B31" s="14">
        <v>45937</v>
      </c>
      <c r="C31" s="15">
        <v>8.4</v>
      </c>
      <c r="D31" s="15">
        <v>0</v>
      </c>
      <c r="E31" s="15">
        <v>1</v>
      </c>
      <c r="H31" s="15">
        <v>0</v>
      </c>
      <c r="J31" s="15">
        <v>5</v>
      </c>
      <c r="K31" s="15">
        <v>19.399999999999999</v>
      </c>
      <c r="L31" s="15">
        <v>0</v>
      </c>
      <c r="M31" s="15">
        <f t="shared" si="1"/>
        <v>-4.9999999999999982</v>
      </c>
      <c r="N31" s="21">
        <f t="shared" si="0"/>
        <v>0.25773195876288651</v>
      </c>
    </row>
    <row r="32" spans="1:14" x14ac:dyDescent="0.25">
      <c r="A32" s="13">
        <v>31</v>
      </c>
      <c r="B32" s="14">
        <v>45937</v>
      </c>
      <c r="C32" s="15">
        <v>11.1</v>
      </c>
      <c r="D32" s="15">
        <v>0</v>
      </c>
      <c r="E32" s="15">
        <v>1</v>
      </c>
      <c r="H32" s="15">
        <v>0</v>
      </c>
      <c r="J32" s="15">
        <v>16.5</v>
      </c>
      <c r="K32" s="15">
        <v>27.9</v>
      </c>
      <c r="L32" s="15">
        <v>0</v>
      </c>
      <c r="M32" s="15">
        <f t="shared" si="1"/>
        <v>0.70000000000000284</v>
      </c>
      <c r="N32" s="21">
        <f t="shared" si="0"/>
        <v>2.5089605734767127E-2</v>
      </c>
    </row>
    <row r="33" spans="1:14" x14ac:dyDescent="0.25">
      <c r="A33" s="13">
        <v>32</v>
      </c>
      <c r="B33" s="14">
        <v>45937</v>
      </c>
      <c r="C33" s="15">
        <v>1.6</v>
      </c>
      <c r="D33" s="15">
        <v>0</v>
      </c>
      <c r="E33" s="15">
        <v>1</v>
      </c>
      <c r="H33" s="15">
        <v>0</v>
      </c>
      <c r="J33" s="15">
        <v>14</v>
      </c>
      <c r="K33" s="15">
        <v>20.100000000000001</v>
      </c>
      <c r="L33" s="15">
        <v>0</v>
      </c>
      <c r="M33" s="15">
        <f t="shared" si="1"/>
        <v>-3.5</v>
      </c>
      <c r="N33" s="21">
        <f t="shared" si="0"/>
        <v>0.17412935323383083</v>
      </c>
    </row>
    <row r="34" spans="1:14" x14ac:dyDescent="0.25">
      <c r="A34" s="13">
        <v>33</v>
      </c>
      <c r="B34" s="14">
        <v>45937</v>
      </c>
      <c r="C34" s="15">
        <v>5.5</v>
      </c>
      <c r="D34" s="15">
        <v>0</v>
      </c>
      <c r="E34" s="15">
        <v>2.6</v>
      </c>
      <c r="H34" s="15">
        <v>0</v>
      </c>
      <c r="J34" s="15">
        <v>9.1</v>
      </c>
      <c r="K34" s="15">
        <v>16.3</v>
      </c>
      <c r="L34" s="15">
        <v>5</v>
      </c>
      <c r="M34" s="15">
        <f t="shared" si="1"/>
        <v>5.8999999999999986</v>
      </c>
      <c r="N34" s="21">
        <f t="shared" si="0"/>
        <v>0.52212389380530955</v>
      </c>
    </row>
    <row r="35" spans="1:14" x14ac:dyDescent="0.25">
      <c r="A35" s="13">
        <v>34</v>
      </c>
      <c r="B35" s="14">
        <v>45937</v>
      </c>
      <c r="C35" s="15">
        <v>4.5</v>
      </c>
      <c r="D35" s="15">
        <v>3.02</v>
      </c>
      <c r="E35" s="15">
        <v>1</v>
      </c>
      <c r="H35" s="15">
        <v>0</v>
      </c>
      <c r="J35" s="15">
        <v>6.9</v>
      </c>
      <c r="K35" s="15">
        <v>17.989999999999998</v>
      </c>
      <c r="L35" s="15">
        <v>0</v>
      </c>
      <c r="M35" s="15">
        <f t="shared" si="1"/>
        <v>-2.5699999999999985</v>
      </c>
      <c r="N35" s="21">
        <f t="shared" si="0"/>
        <v>0.14285714285714279</v>
      </c>
    </row>
    <row r="36" spans="1:14" x14ac:dyDescent="0.25">
      <c r="A36" s="13">
        <v>35</v>
      </c>
      <c r="B36" s="14">
        <v>45937</v>
      </c>
      <c r="C36" s="15">
        <v>10</v>
      </c>
      <c r="D36" s="15">
        <v>0</v>
      </c>
      <c r="E36" s="15">
        <v>1</v>
      </c>
      <c r="H36" s="15">
        <v>0</v>
      </c>
      <c r="J36" s="15">
        <v>23.1</v>
      </c>
      <c r="K36" s="15">
        <v>38.4</v>
      </c>
      <c r="L36" s="15">
        <v>5.76</v>
      </c>
      <c r="M36" s="15">
        <f t="shared" si="1"/>
        <v>1.4600000000000009</v>
      </c>
      <c r="N36" s="21">
        <f t="shared" si="0"/>
        <v>4.4730392156862774E-2</v>
      </c>
    </row>
    <row r="37" spans="1:14" x14ac:dyDescent="0.25">
      <c r="A37" s="13">
        <v>36</v>
      </c>
      <c r="B37" s="14">
        <v>45944</v>
      </c>
      <c r="C37" s="15">
        <v>6</v>
      </c>
      <c r="D37" s="15">
        <v>0</v>
      </c>
      <c r="E37" s="15">
        <v>3.4</v>
      </c>
      <c r="H37" s="15">
        <v>0</v>
      </c>
      <c r="J37" s="15">
        <v>4.8</v>
      </c>
      <c r="K37" s="15">
        <v>10.199999999999999</v>
      </c>
      <c r="L37" s="15">
        <v>0</v>
      </c>
      <c r="M37" s="15">
        <f t="shared" si="1"/>
        <v>4</v>
      </c>
      <c r="N37" s="21">
        <f t="shared" si="0"/>
        <v>0.39215686274509809</v>
      </c>
    </row>
    <row r="38" spans="1:14" x14ac:dyDescent="0.25">
      <c r="A38" s="13">
        <v>37</v>
      </c>
      <c r="B38" s="14">
        <v>45944</v>
      </c>
      <c r="C38" s="15">
        <v>5.7</v>
      </c>
      <c r="D38" s="15">
        <v>0</v>
      </c>
      <c r="E38" s="15">
        <v>2.8</v>
      </c>
      <c r="H38" s="15">
        <v>0</v>
      </c>
      <c r="J38" s="15">
        <v>9.3000000000000007</v>
      </c>
      <c r="K38" s="15">
        <v>17.899999999999999</v>
      </c>
      <c r="L38" s="15">
        <v>0</v>
      </c>
      <c r="M38" s="15">
        <f t="shared" si="1"/>
        <v>-9.9999999999997868E-2</v>
      </c>
      <c r="N38" s="21">
        <f t="shared" si="0"/>
        <v>5.5865921787708311E-3</v>
      </c>
    </row>
    <row r="39" spans="1:14" x14ac:dyDescent="0.25">
      <c r="A39" s="13">
        <v>38</v>
      </c>
      <c r="B39" s="14">
        <v>45944</v>
      </c>
      <c r="C39" s="15">
        <v>7.5</v>
      </c>
      <c r="D39" s="15">
        <v>0</v>
      </c>
      <c r="E39" s="15">
        <v>1</v>
      </c>
      <c r="H39" s="15">
        <v>0</v>
      </c>
      <c r="J39" s="15">
        <v>35.700000000000003</v>
      </c>
      <c r="K39" s="15">
        <v>57.7</v>
      </c>
      <c r="L39" s="15">
        <v>10</v>
      </c>
      <c r="M39" s="15">
        <f t="shared" si="1"/>
        <v>-3.5</v>
      </c>
      <c r="N39" s="21">
        <f t="shared" si="0"/>
        <v>7.337526205450734E-2</v>
      </c>
    </row>
    <row r="40" spans="1:14" x14ac:dyDescent="0.25">
      <c r="A40" s="13">
        <v>39</v>
      </c>
      <c r="B40" s="14">
        <v>45944</v>
      </c>
      <c r="C40" s="15">
        <v>0.8</v>
      </c>
      <c r="D40" s="15">
        <v>0</v>
      </c>
      <c r="E40" s="15">
        <v>4</v>
      </c>
      <c r="H40" s="15">
        <v>0</v>
      </c>
      <c r="J40" s="15">
        <v>5.9</v>
      </c>
      <c r="K40" s="15">
        <v>9.1</v>
      </c>
      <c r="L40" s="15">
        <v>1.37</v>
      </c>
      <c r="M40" s="15">
        <f t="shared" si="1"/>
        <v>2.9699999999999998</v>
      </c>
      <c r="N40" s="21">
        <f t="shared" si="0"/>
        <v>0.38421733505821476</v>
      </c>
    </row>
    <row r="41" spans="1:14" x14ac:dyDescent="0.25">
      <c r="A41" s="13">
        <v>40</v>
      </c>
      <c r="B41" s="14">
        <v>45944</v>
      </c>
      <c r="C41" s="15">
        <v>3.2</v>
      </c>
      <c r="D41" s="15">
        <v>0</v>
      </c>
      <c r="E41" s="15">
        <v>1</v>
      </c>
      <c r="H41" s="15">
        <v>0</v>
      </c>
      <c r="J41" s="15">
        <v>30</v>
      </c>
      <c r="K41" s="15">
        <v>36</v>
      </c>
      <c r="L41" s="15">
        <v>0</v>
      </c>
      <c r="M41" s="15">
        <f t="shared" si="1"/>
        <v>-1.7999999999999972</v>
      </c>
      <c r="N41" s="21">
        <f t="shared" si="0"/>
        <v>4.999999999999992E-2</v>
      </c>
    </row>
    <row r="42" spans="1:14" x14ac:dyDescent="0.25">
      <c r="A42" s="13">
        <v>41</v>
      </c>
      <c r="B42" s="14">
        <v>45944</v>
      </c>
      <c r="C42" s="15">
        <v>2.2000000000000002</v>
      </c>
      <c r="D42" s="15">
        <v>0</v>
      </c>
      <c r="E42" s="15">
        <v>1</v>
      </c>
      <c r="H42" s="15">
        <v>0</v>
      </c>
      <c r="J42" s="15">
        <v>5.5</v>
      </c>
      <c r="K42" s="15">
        <v>9.1</v>
      </c>
      <c r="L42" s="15">
        <v>0.91</v>
      </c>
      <c r="M42" s="15">
        <f t="shared" si="1"/>
        <v>0.50999999999999979</v>
      </c>
      <c r="N42" s="21">
        <f t="shared" si="0"/>
        <v>6.2271062271062251E-2</v>
      </c>
    </row>
    <row r="43" spans="1:14" x14ac:dyDescent="0.25">
      <c r="A43" s="13">
        <v>42</v>
      </c>
      <c r="B43" s="14">
        <v>45944</v>
      </c>
      <c r="C43" s="15">
        <v>0</v>
      </c>
      <c r="D43" s="15">
        <v>0</v>
      </c>
      <c r="E43" s="15">
        <v>0</v>
      </c>
      <c r="H43" s="15">
        <v>0</v>
      </c>
      <c r="J43" s="15">
        <v>2.6</v>
      </c>
      <c r="K43" s="15">
        <v>0</v>
      </c>
      <c r="L43" s="15">
        <v>0</v>
      </c>
      <c r="M43" s="15">
        <f t="shared" si="1"/>
        <v>2.6</v>
      </c>
      <c r="N43" s="21" t="e">
        <f t="shared" si="0"/>
        <v>#DIV/0!</v>
      </c>
    </row>
    <row r="44" spans="1:14" x14ac:dyDescent="0.25">
      <c r="A44" s="13">
        <v>43</v>
      </c>
      <c r="B44" s="14">
        <v>45944</v>
      </c>
      <c r="C44" s="15">
        <v>1.4</v>
      </c>
      <c r="D44" s="15">
        <v>0</v>
      </c>
      <c r="E44" s="15">
        <v>1</v>
      </c>
      <c r="F44" s="15">
        <v>3.76</v>
      </c>
      <c r="G44" s="15">
        <v>1</v>
      </c>
      <c r="H44" s="15">
        <v>0</v>
      </c>
      <c r="I44" s="15">
        <v>0</v>
      </c>
      <c r="J44" s="15">
        <v>11.6</v>
      </c>
      <c r="K44" s="15">
        <v>20.78</v>
      </c>
      <c r="L44" s="15">
        <v>0</v>
      </c>
      <c r="M44" s="15">
        <f t="shared" si="1"/>
        <v>-2.0200000000000031</v>
      </c>
      <c r="N44" s="21">
        <f t="shared" si="0"/>
        <v>9.7208854667950095E-2</v>
      </c>
    </row>
    <row r="45" spans="1:14" x14ac:dyDescent="0.25">
      <c r="A45" s="13">
        <v>44</v>
      </c>
      <c r="B45" s="14">
        <v>45944</v>
      </c>
      <c r="C45" s="15">
        <v>1.2</v>
      </c>
      <c r="D45" s="15">
        <v>0</v>
      </c>
      <c r="E45" s="15">
        <v>1</v>
      </c>
      <c r="F45" s="15">
        <v>0</v>
      </c>
      <c r="G45" s="15">
        <v>0</v>
      </c>
      <c r="H45" s="15">
        <v>0</v>
      </c>
      <c r="I45" s="15">
        <v>0</v>
      </c>
      <c r="J45" s="15">
        <v>9.6999999999999993</v>
      </c>
      <c r="K45" s="15">
        <v>14.6</v>
      </c>
      <c r="L45" s="15">
        <v>0</v>
      </c>
      <c r="M45" s="15">
        <f t="shared" si="1"/>
        <v>-2.7000000000000011</v>
      </c>
      <c r="N45" s="21">
        <f t="shared" si="0"/>
        <v>0.18493150684931514</v>
      </c>
    </row>
    <row r="46" spans="1:14" x14ac:dyDescent="0.25">
      <c r="A46" s="13">
        <v>45</v>
      </c>
      <c r="B46" s="14">
        <v>45944</v>
      </c>
      <c r="C46" s="15">
        <v>2.8</v>
      </c>
      <c r="D46" s="15">
        <v>0</v>
      </c>
      <c r="E46" s="15">
        <v>4.2</v>
      </c>
      <c r="F46" s="15">
        <v>0</v>
      </c>
      <c r="G46" s="15">
        <v>0</v>
      </c>
      <c r="H46" s="15">
        <v>0</v>
      </c>
      <c r="I46" s="15">
        <v>0</v>
      </c>
      <c r="J46" s="15">
        <v>5</v>
      </c>
      <c r="K46" s="15">
        <v>11.2</v>
      </c>
      <c r="L46" s="15">
        <v>0</v>
      </c>
      <c r="M46" s="15">
        <f t="shared" si="1"/>
        <v>0.80000000000000071</v>
      </c>
      <c r="N46" s="21">
        <f t="shared" si="0"/>
        <v>7.1428571428571494E-2</v>
      </c>
    </row>
    <row r="47" spans="1:14" x14ac:dyDescent="0.25">
      <c r="A47" s="13">
        <v>46</v>
      </c>
      <c r="B47" s="14">
        <v>45944</v>
      </c>
      <c r="C47" s="15">
        <v>1.3</v>
      </c>
      <c r="D47" s="15">
        <v>0</v>
      </c>
      <c r="E47" s="15">
        <v>1</v>
      </c>
      <c r="F47" s="15">
        <v>0</v>
      </c>
      <c r="G47" s="15">
        <v>0</v>
      </c>
      <c r="H47" s="15">
        <v>0</v>
      </c>
      <c r="I47" s="15">
        <v>0</v>
      </c>
      <c r="J47" s="15">
        <v>11</v>
      </c>
      <c r="K47" s="15">
        <v>14.4</v>
      </c>
      <c r="L47" s="15">
        <v>2.16</v>
      </c>
      <c r="M47" s="15">
        <f t="shared" si="1"/>
        <v>1.0600000000000005</v>
      </c>
      <c r="N47" s="21">
        <f t="shared" si="0"/>
        <v>8.6601307189542523E-2</v>
      </c>
    </row>
    <row r="48" spans="1:14" x14ac:dyDescent="0.25">
      <c r="A48" s="13">
        <v>47</v>
      </c>
      <c r="B48" s="14">
        <v>45944</v>
      </c>
      <c r="C48" s="15">
        <v>0</v>
      </c>
      <c r="D48" s="15">
        <v>0</v>
      </c>
      <c r="E48" s="15">
        <v>4.4000000000000004</v>
      </c>
      <c r="F48" s="15">
        <v>0</v>
      </c>
      <c r="G48" s="15">
        <v>0</v>
      </c>
      <c r="H48" s="15">
        <v>0</v>
      </c>
      <c r="I48" s="15">
        <v>0</v>
      </c>
      <c r="J48" s="15">
        <v>5</v>
      </c>
      <c r="K48" s="15">
        <v>8.8000000000000007</v>
      </c>
      <c r="L48" s="15">
        <v>1.32</v>
      </c>
      <c r="M48" s="15">
        <f t="shared" si="1"/>
        <v>1.92</v>
      </c>
      <c r="N48" s="21">
        <f t="shared" si="0"/>
        <v>0.2566844919786096</v>
      </c>
    </row>
    <row r="49" spans="1:14" x14ac:dyDescent="0.25">
      <c r="A49" s="13">
        <v>48</v>
      </c>
      <c r="B49" s="14">
        <v>45945</v>
      </c>
      <c r="C49" s="15">
        <v>0</v>
      </c>
      <c r="D49" s="15">
        <v>0</v>
      </c>
      <c r="E49" s="15">
        <v>1</v>
      </c>
      <c r="F49" s="15">
        <v>11.3</v>
      </c>
      <c r="G49" s="15">
        <v>0</v>
      </c>
      <c r="H49" s="15">
        <v>0</v>
      </c>
      <c r="I49" s="15">
        <v>0</v>
      </c>
      <c r="J49" s="15">
        <v>30.3</v>
      </c>
      <c r="K49" s="15">
        <v>35.42</v>
      </c>
      <c r="L49" s="15">
        <v>0</v>
      </c>
      <c r="M49" s="15">
        <f t="shared" si="1"/>
        <v>7.18</v>
      </c>
      <c r="N49" s="21">
        <f t="shared" si="0"/>
        <v>0.20271033314511575</v>
      </c>
    </row>
    <row r="50" spans="1:14" x14ac:dyDescent="0.25">
      <c r="A50" s="13">
        <v>49</v>
      </c>
      <c r="B50" s="14">
        <v>45946</v>
      </c>
      <c r="C50" s="15">
        <v>0</v>
      </c>
      <c r="D50" s="15">
        <v>0</v>
      </c>
      <c r="E50" s="15">
        <v>1.8</v>
      </c>
      <c r="F50" s="15">
        <v>0.74</v>
      </c>
      <c r="G50" s="15">
        <v>0</v>
      </c>
      <c r="H50" s="15">
        <v>0</v>
      </c>
      <c r="I50" s="15">
        <v>0</v>
      </c>
      <c r="J50" s="15">
        <v>5.4</v>
      </c>
      <c r="K50" s="15">
        <v>11.49</v>
      </c>
      <c r="L50" s="15">
        <v>0</v>
      </c>
      <c r="M50" s="15">
        <f t="shared" si="1"/>
        <v>-3.55</v>
      </c>
      <c r="N50" s="21">
        <f t="shared" si="0"/>
        <v>0.30896431679721492</v>
      </c>
    </row>
    <row r="51" spans="1:14" x14ac:dyDescent="0.25">
      <c r="A51" s="13">
        <v>50</v>
      </c>
      <c r="B51" s="14">
        <v>45946</v>
      </c>
      <c r="C51" s="15">
        <v>0</v>
      </c>
      <c r="D51" s="15">
        <v>0</v>
      </c>
      <c r="E51" s="15">
        <v>2</v>
      </c>
      <c r="F51" s="15">
        <v>0.7</v>
      </c>
      <c r="G51" s="15">
        <v>0.5</v>
      </c>
      <c r="H51" s="15">
        <v>0</v>
      </c>
      <c r="I51" s="15">
        <v>0</v>
      </c>
      <c r="J51" s="15">
        <v>5</v>
      </c>
      <c r="K51" s="15">
        <v>9.6300000000000008</v>
      </c>
      <c r="L51" s="15">
        <v>2.41</v>
      </c>
      <c r="M51" s="15">
        <f t="shared" si="1"/>
        <v>0.97999999999999865</v>
      </c>
      <c r="N51" s="21">
        <f t="shared" si="0"/>
        <v>0.13573407202216048</v>
      </c>
    </row>
    <row r="52" spans="1:14" x14ac:dyDescent="0.25">
      <c r="A52" s="13">
        <v>51</v>
      </c>
      <c r="B52" s="14">
        <v>45946</v>
      </c>
      <c r="C52" s="15">
        <v>0</v>
      </c>
      <c r="D52" s="15">
        <v>0</v>
      </c>
      <c r="E52" s="15">
        <v>2.4</v>
      </c>
      <c r="F52" s="15">
        <v>0</v>
      </c>
      <c r="G52" s="15">
        <v>0</v>
      </c>
      <c r="H52" s="15">
        <v>0</v>
      </c>
      <c r="I52" s="15">
        <v>0</v>
      </c>
      <c r="J52" s="15">
        <v>7.5</v>
      </c>
      <c r="K52" s="15">
        <v>11.6</v>
      </c>
      <c r="L52" s="15">
        <v>1.74</v>
      </c>
      <c r="M52" s="15">
        <f t="shared" si="1"/>
        <v>4.0000000000000924E-2</v>
      </c>
      <c r="N52" s="21">
        <f t="shared" si="0"/>
        <v>4.0567951318459354E-3</v>
      </c>
    </row>
    <row r="53" spans="1:14" x14ac:dyDescent="0.25">
      <c r="A53" s="13">
        <v>52</v>
      </c>
      <c r="B53" s="14">
        <v>45946</v>
      </c>
      <c r="C53" s="15">
        <v>0</v>
      </c>
      <c r="D53" s="15">
        <v>0</v>
      </c>
      <c r="E53" s="15">
        <v>1</v>
      </c>
      <c r="F53" s="15">
        <v>0</v>
      </c>
      <c r="G53" s="15">
        <v>0</v>
      </c>
      <c r="H53" s="15">
        <v>0</v>
      </c>
      <c r="I53" s="15">
        <v>0</v>
      </c>
      <c r="J53" s="15">
        <v>11.8</v>
      </c>
      <c r="K53" s="15">
        <v>15</v>
      </c>
      <c r="L53" s="15">
        <v>0</v>
      </c>
      <c r="M53" s="15">
        <f t="shared" si="1"/>
        <v>-2.1999999999999993</v>
      </c>
      <c r="N53" s="21">
        <f t="shared" si="0"/>
        <v>0.14666666666666661</v>
      </c>
    </row>
    <row r="54" spans="1:14" x14ac:dyDescent="0.25">
      <c r="A54" s="13">
        <v>53</v>
      </c>
      <c r="B54" s="14">
        <v>45946</v>
      </c>
      <c r="C54" s="15">
        <v>9.4</v>
      </c>
      <c r="D54" s="15">
        <v>0</v>
      </c>
      <c r="E54" s="15">
        <v>1</v>
      </c>
      <c r="F54" s="15">
        <v>0</v>
      </c>
      <c r="G54" s="15">
        <v>0</v>
      </c>
      <c r="H54" s="15">
        <v>0</v>
      </c>
      <c r="I54" s="15">
        <v>0</v>
      </c>
      <c r="J54" s="15">
        <v>16.899999999999999</v>
      </c>
      <c r="K54" s="15">
        <v>36.9</v>
      </c>
      <c r="L54" s="15">
        <v>0</v>
      </c>
      <c r="M54" s="15">
        <f t="shared" si="1"/>
        <v>-9.6000000000000014</v>
      </c>
      <c r="N54" s="21">
        <f t="shared" si="0"/>
        <v>0.26016260162601629</v>
      </c>
    </row>
    <row r="55" spans="1:14" x14ac:dyDescent="0.25">
      <c r="A55" s="13">
        <v>54</v>
      </c>
      <c r="B55" s="14">
        <v>45947</v>
      </c>
      <c r="C55" s="15">
        <v>0</v>
      </c>
      <c r="D55" s="15">
        <v>0</v>
      </c>
      <c r="E55" s="15">
        <v>5</v>
      </c>
      <c r="F55" s="15">
        <v>0</v>
      </c>
      <c r="G55" s="15">
        <v>0</v>
      </c>
      <c r="H55" s="15">
        <v>0</v>
      </c>
      <c r="I55" s="15">
        <v>0</v>
      </c>
      <c r="J55" s="15">
        <v>5.7</v>
      </c>
      <c r="K55" s="15">
        <v>10.7</v>
      </c>
      <c r="L55" s="15">
        <v>0</v>
      </c>
      <c r="M55" s="15">
        <f t="shared" si="1"/>
        <v>0</v>
      </c>
      <c r="N55" s="21">
        <f t="shared" si="0"/>
        <v>0</v>
      </c>
    </row>
    <row r="56" spans="1:14" x14ac:dyDescent="0.25">
      <c r="A56" s="13">
        <v>55</v>
      </c>
      <c r="B56" s="14">
        <v>45947</v>
      </c>
      <c r="C56" s="15">
        <v>0</v>
      </c>
      <c r="D56" s="15">
        <v>0</v>
      </c>
      <c r="E56" s="15">
        <v>2.4</v>
      </c>
      <c r="F56" s="15">
        <v>0</v>
      </c>
      <c r="G56" s="15">
        <v>0</v>
      </c>
      <c r="H56" s="15">
        <v>0</v>
      </c>
      <c r="I56" s="15">
        <v>0</v>
      </c>
      <c r="J56" s="15">
        <v>19</v>
      </c>
      <c r="K56" s="15">
        <v>26.6</v>
      </c>
      <c r="L56" s="15">
        <v>0</v>
      </c>
      <c r="M56" s="15">
        <f t="shared" si="1"/>
        <v>-5.2000000000000028</v>
      </c>
      <c r="N56" s="21">
        <f t="shared" si="0"/>
        <v>0.19548872180451138</v>
      </c>
    </row>
    <row r="57" spans="1:14" x14ac:dyDescent="0.25">
      <c r="A57" s="13">
        <v>56</v>
      </c>
      <c r="B57" s="14">
        <v>45947</v>
      </c>
      <c r="C57" s="15">
        <v>0</v>
      </c>
      <c r="D57" s="15">
        <v>0</v>
      </c>
      <c r="E57" s="15">
        <v>1.8</v>
      </c>
      <c r="F57" s="15">
        <v>0</v>
      </c>
      <c r="G57" s="15">
        <v>0.5</v>
      </c>
      <c r="H57" s="15">
        <v>0</v>
      </c>
      <c r="I57" s="15">
        <v>0</v>
      </c>
      <c r="J57" s="15">
        <v>5.3</v>
      </c>
      <c r="K57" s="15">
        <v>7.6</v>
      </c>
      <c r="L57" s="15">
        <v>0</v>
      </c>
      <c r="M57" s="15">
        <f t="shared" si="1"/>
        <v>0</v>
      </c>
      <c r="N57" s="21">
        <f t="shared" si="0"/>
        <v>0</v>
      </c>
    </row>
    <row r="58" spans="1:14" x14ac:dyDescent="0.25">
      <c r="A58" s="13">
        <v>57</v>
      </c>
      <c r="B58" s="14">
        <v>45947</v>
      </c>
      <c r="C58" s="15">
        <v>0</v>
      </c>
      <c r="D58" s="15">
        <v>0</v>
      </c>
      <c r="E58" s="15">
        <v>1.8</v>
      </c>
      <c r="F58" s="15">
        <v>0</v>
      </c>
      <c r="G58" s="15">
        <v>0</v>
      </c>
      <c r="H58" s="15">
        <v>0</v>
      </c>
      <c r="I58" s="15">
        <v>0</v>
      </c>
      <c r="J58" s="15">
        <v>5.2</v>
      </c>
      <c r="K58" s="15">
        <v>7.5</v>
      </c>
      <c r="L58" s="15">
        <v>0.75</v>
      </c>
      <c r="M58" s="15">
        <f t="shared" si="1"/>
        <v>0.25</v>
      </c>
      <c r="N58" s="21">
        <f t="shared" si="0"/>
        <v>3.7037037037037035E-2</v>
      </c>
    </row>
    <row r="59" spans="1:14" x14ac:dyDescent="0.25">
      <c r="A59" s="13">
        <v>58</v>
      </c>
      <c r="B59" s="14">
        <v>45947</v>
      </c>
      <c r="C59" s="15">
        <v>0</v>
      </c>
      <c r="D59" s="15">
        <v>0</v>
      </c>
      <c r="E59" s="15">
        <v>3.4</v>
      </c>
      <c r="F59" s="15">
        <v>0</v>
      </c>
      <c r="G59" s="15">
        <v>0</v>
      </c>
      <c r="H59" s="15">
        <v>0</v>
      </c>
      <c r="I59" s="15">
        <v>0</v>
      </c>
      <c r="J59" s="15">
        <v>7.9</v>
      </c>
      <c r="K59" s="15">
        <v>13</v>
      </c>
      <c r="L59" s="15">
        <v>1.3</v>
      </c>
      <c r="M59" s="15">
        <f t="shared" si="1"/>
        <v>-0.39999999999999858</v>
      </c>
      <c r="N59" s="21">
        <f t="shared" si="0"/>
        <v>3.4188034188034067E-2</v>
      </c>
    </row>
    <row r="60" spans="1:14" x14ac:dyDescent="0.25">
      <c r="A60" s="13">
        <v>59</v>
      </c>
      <c r="B60" s="14">
        <v>45947</v>
      </c>
      <c r="C60" s="15">
        <v>7.1</v>
      </c>
      <c r="D60" s="15">
        <v>0</v>
      </c>
      <c r="E60" s="15">
        <v>1</v>
      </c>
      <c r="F60" s="15">
        <v>0</v>
      </c>
      <c r="G60" s="15">
        <v>0</v>
      </c>
      <c r="H60" s="15">
        <v>0</v>
      </c>
      <c r="I60" s="15">
        <v>0</v>
      </c>
      <c r="J60" s="15">
        <v>12.2</v>
      </c>
      <c r="K60" s="15">
        <v>23.3</v>
      </c>
      <c r="L60" s="15">
        <v>0</v>
      </c>
      <c r="M60" s="15">
        <f t="shared" si="1"/>
        <v>-3.0000000000000036</v>
      </c>
      <c r="N60" s="21">
        <f t="shared" si="0"/>
        <v>0.12875536480686711</v>
      </c>
    </row>
    <row r="61" spans="1:14" x14ac:dyDescent="0.25">
      <c r="A61" s="13">
        <v>60</v>
      </c>
      <c r="B61" s="14">
        <v>45947</v>
      </c>
      <c r="C61" s="15">
        <v>3.1</v>
      </c>
      <c r="D61" s="15">
        <v>0</v>
      </c>
      <c r="E61" s="15">
        <v>1</v>
      </c>
      <c r="F61" s="15">
        <v>0</v>
      </c>
      <c r="G61" s="15">
        <v>0</v>
      </c>
      <c r="H61" s="15">
        <v>0</v>
      </c>
      <c r="I61" s="15">
        <v>0</v>
      </c>
      <c r="J61" s="15">
        <v>5.7</v>
      </c>
      <c r="K61" s="15">
        <v>13.7</v>
      </c>
      <c r="L61" s="15">
        <v>0</v>
      </c>
      <c r="M61" s="15">
        <f t="shared" si="1"/>
        <v>-3.8999999999999986</v>
      </c>
      <c r="N61" s="21">
        <f t="shared" si="0"/>
        <v>0.28467153284671526</v>
      </c>
    </row>
    <row r="62" spans="1:14" x14ac:dyDescent="0.25">
      <c r="A62" s="13">
        <v>61</v>
      </c>
      <c r="B62" s="14">
        <v>45947</v>
      </c>
      <c r="C62" s="15">
        <v>3.4</v>
      </c>
      <c r="D62" s="15">
        <v>0</v>
      </c>
      <c r="E62" s="15">
        <v>1</v>
      </c>
      <c r="F62" s="15">
        <v>0</v>
      </c>
      <c r="G62" s="15">
        <v>0</v>
      </c>
      <c r="H62" s="15">
        <v>0</v>
      </c>
      <c r="I62" s="15">
        <v>0</v>
      </c>
      <c r="J62" s="15">
        <v>6.5</v>
      </c>
      <c r="K62" s="15">
        <v>11.8</v>
      </c>
      <c r="L62" s="15">
        <v>0</v>
      </c>
      <c r="M62" s="15">
        <f t="shared" si="1"/>
        <v>-0.90000000000000036</v>
      </c>
      <c r="N62" s="21">
        <f t="shared" si="0"/>
        <v>7.6271186440677985E-2</v>
      </c>
    </row>
    <row r="63" spans="1:14" x14ac:dyDescent="0.25">
      <c r="A63" s="13">
        <v>62</v>
      </c>
      <c r="B63" s="14">
        <v>45947</v>
      </c>
      <c r="C63" s="15">
        <v>5.2</v>
      </c>
      <c r="D63" s="15">
        <v>0</v>
      </c>
      <c r="E63" s="15">
        <v>1</v>
      </c>
      <c r="F63" s="15">
        <v>0</v>
      </c>
      <c r="G63" s="15">
        <v>0</v>
      </c>
      <c r="H63" s="15">
        <v>0</v>
      </c>
      <c r="I63" s="15">
        <v>0</v>
      </c>
      <c r="J63" s="15">
        <v>5.5</v>
      </c>
      <c r="K63" s="15">
        <v>12.8</v>
      </c>
      <c r="L63" s="15">
        <v>0</v>
      </c>
      <c r="M63" s="15">
        <f t="shared" si="1"/>
        <v>-1.1000000000000014</v>
      </c>
      <c r="N63" s="21">
        <f t="shared" si="0"/>
        <v>8.5937500000000111E-2</v>
      </c>
    </row>
    <row r="64" spans="1:14" x14ac:dyDescent="0.25">
      <c r="A64" s="13">
        <v>63</v>
      </c>
      <c r="B64" s="14">
        <v>45948</v>
      </c>
      <c r="C64" s="15">
        <v>0</v>
      </c>
      <c r="D64" s="15">
        <v>0</v>
      </c>
      <c r="E64" s="15">
        <v>1.5</v>
      </c>
      <c r="F64" s="15">
        <v>0</v>
      </c>
      <c r="G64" s="15">
        <v>0</v>
      </c>
      <c r="H64" s="15">
        <v>0</v>
      </c>
      <c r="I64" s="15">
        <v>0</v>
      </c>
      <c r="J64" s="15">
        <v>7.3</v>
      </c>
      <c r="K64" s="15">
        <v>12.4</v>
      </c>
      <c r="L64" s="15">
        <v>0</v>
      </c>
      <c r="M64" s="15">
        <f t="shared" si="1"/>
        <v>-3.5999999999999996</v>
      </c>
      <c r="N64" s="21">
        <f t="shared" si="0"/>
        <v>0.29032258064516125</v>
      </c>
    </row>
    <row r="65" spans="1:14" x14ac:dyDescent="0.25">
      <c r="A65" s="13">
        <v>64</v>
      </c>
      <c r="B65" s="14">
        <v>45948</v>
      </c>
      <c r="C65" s="15">
        <v>1.6</v>
      </c>
      <c r="D65" s="15">
        <v>0</v>
      </c>
      <c r="E65" s="15">
        <v>1.2</v>
      </c>
      <c r="F65" s="15">
        <v>0</v>
      </c>
      <c r="G65" s="15">
        <v>0</v>
      </c>
      <c r="H65" s="15">
        <v>0</v>
      </c>
      <c r="I65" s="15">
        <v>0</v>
      </c>
      <c r="J65" s="15">
        <v>14.3</v>
      </c>
      <c r="K65" s="15">
        <v>22.9</v>
      </c>
      <c r="L65" s="15">
        <v>0</v>
      </c>
      <c r="M65" s="15">
        <f t="shared" si="1"/>
        <v>-5.7999999999999972</v>
      </c>
      <c r="N65" s="21">
        <f t="shared" si="0"/>
        <v>0.25327510917030555</v>
      </c>
    </row>
    <row r="66" spans="1:14" x14ac:dyDescent="0.25">
      <c r="A66" s="13">
        <v>65</v>
      </c>
      <c r="B66" s="14">
        <v>45948</v>
      </c>
      <c r="C66" s="15">
        <v>0.8</v>
      </c>
      <c r="D66" s="15">
        <v>0</v>
      </c>
      <c r="E66" s="15">
        <v>1.4</v>
      </c>
      <c r="F66" s="15">
        <v>0</v>
      </c>
      <c r="G66" s="15">
        <v>0</v>
      </c>
      <c r="H66" s="15">
        <v>0</v>
      </c>
      <c r="I66" s="15">
        <v>0</v>
      </c>
      <c r="J66" s="15">
        <v>7</v>
      </c>
      <c r="K66" s="15">
        <v>8.6999999999999993</v>
      </c>
      <c r="L66" s="15">
        <v>0</v>
      </c>
      <c r="M66" s="15">
        <f t="shared" si="1"/>
        <v>0.5</v>
      </c>
      <c r="N66" s="21">
        <f t="shared" ref="N66:N93" si="2">ABS(M66/(K66-L66))</f>
        <v>5.7471264367816098E-2</v>
      </c>
    </row>
    <row r="67" spans="1:14" x14ac:dyDescent="0.25">
      <c r="A67" s="13">
        <v>66</v>
      </c>
      <c r="B67" s="14">
        <v>45948</v>
      </c>
      <c r="C67" s="15">
        <v>0</v>
      </c>
      <c r="D67" s="15">
        <v>0</v>
      </c>
      <c r="E67" s="15">
        <v>2</v>
      </c>
      <c r="F67" s="15">
        <v>0</v>
      </c>
      <c r="G67" s="15">
        <v>0.5</v>
      </c>
      <c r="H67" s="15">
        <v>0</v>
      </c>
      <c r="I67" s="15">
        <v>0</v>
      </c>
      <c r="J67" s="15">
        <v>7.1</v>
      </c>
      <c r="K67" s="15">
        <v>12.8</v>
      </c>
      <c r="L67" s="15">
        <v>0</v>
      </c>
      <c r="M67" s="15">
        <f t="shared" ref="M67:M130" si="3">((C67+D67+E67+F67+G67+H67+J67)-(K67-L67))</f>
        <v>-3.2000000000000011</v>
      </c>
      <c r="N67" s="21">
        <f t="shared" si="2"/>
        <v>0.25000000000000006</v>
      </c>
    </row>
    <row r="68" spans="1:14" x14ac:dyDescent="0.25">
      <c r="A68" s="13">
        <v>67</v>
      </c>
      <c r="B68" s="14">
        <v>45948</v>
      </c>
      <c r="C68" s="15">
        <v>6</v>
      </c>
      <c r="D68" s="15">
        <v>0</v>
      </c>
      <c r="E68" s="15">
        <v>1.2</v>
      </c>
      <c r="F68" s="15">
        <v>0</v>
      </c>
      <c r="G68" s="15">
        <v>0</v>
      </c>
      <c r="H68" s="15">
        <v>0</v>
      </c>
      <c r="I68" s="15">
        <v>0</v>
      </c>
      <c r="J68" s="15">
        <v>13.3</v>
      </c>
      <c r="K68" s="15">
        <v>25.4</v>
      </c>
      <c r="L68" s="15">
        <v>3.81</v>
      </c>
      <c r="M68" s="15">
        <f t="shared" si="3"/>
        <v>-1.0899999999999999</v>
      </c>
      <c r="N68" s="21">
        <f t="shared" si="2"/>
        <v>5.0486336266790173E-2</v>
      </c>
    </row>
    <row r="69" spans="1:14" x14ac:dyDescent="0.25">
      <c r="A69" s="13">
        <v>68</v>
      </c>
      <c r="B69" s="14">
        <v>45949</v>
      </c>
      <c r="C69" s="15">
        <v>3.6</v>
      </c>
      <c r="D69" s="15">
        <v>0</v>
      </c>
      <c r="E69" s="15">
        <v>1.1000000000000001</v>
      </c>
      <c r="F69" s="15">
        <v>0</v>
      </c>
      <c r="G69" s="15">
        <v>0</v>
      </c>
      <c r="H69" s="15">
        <v>0</v>
      </c>
      <c r="I69" s="15">
        <v>0</v>
      </c>
      <c r="J69" s="15">
        <v>10.4</v>
      </c>
      <c r="K69" s="15">
        <v>15.4</v>
      </c>
      <c r="L69" s="15">
        <v>0</v>
      </c>
      <c r="M69" s="15">
        <f t="shared" si="3"/>
        <v>-0.29999999999999893</v>
      </c>
      <c r="N69" s="21">
        <f t="shared" si="2"/>
        <v>1.9480519480519411E-2</v>
      </c>
    </row>
    <row r="70" spans="1:14" x14ac:dyDescent="0.25">
      <c r="A70" s="13">
        <v>69</v>
      </c>
      <c r="B70" s="14">
        <v>45949</v>
      </c>
      <c r="C70" s="15">
        <v>0.8</v>
      </c>
      <c r="D70" s="15">
        <v>0</v>
      </c>
      <c r="E70" s="15">
        <v>1.2</v>
      </c>
      <c r="F70" s="15">
        <v>0.88</v>
      </c>
      <c r="G70" s="15">
        <v>0</v>
      </c>
      <c r="H70" s="15">
        <v>0</v>
      </c>
      <c r="I70" s="15">
        <v>0</v>
      </c>
      <c r="J70" s="15">
        <v>6.3</v>
      </c>
      <c r="K70" s="15">
        <v>12.5</v>
      </c>
      <c r="L70" s="15">
        <v>0</v>
      </c>
      <c r="M70" s="15">
        <f t="shared" si="3"/>
        <v>-3.3200000000000003</v>
      </c>
      <c r="N70" s="21">
        <f t="shared" si="2"/>
        <v>0.2656</v>
      </c>
    </row>
    <row r="71" spans="1:14" x14ac:dyDescent="0.25">
      <c r="A71" s="13">
        <v>70</v>
      </c>
      <c r="B71" s="14">
        <v>45949</v>
      </c>
      <c r="C71" s="15">
        <v>0</v>
      </c>
      <c r="D71" s="15">
        <v>0</v>
      </c>
      <c r="E71" s="15">
        <v>4.8</v>
      </c>
      <c r="F71" s="15">
        <v>0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f t="shared" si="3"/>
        <v>4.8</v>
      </c>
      <c r="N71" s="21" t="e">
        <f t="shared" si="2"/>
        <v>#DIV/0!</v>
      </c>
    </row>
    <row r="72" spans="1:14" x14ac:dyDescent="0.25">
      <c r="A72" s="13">
        <v>71</v>
      </c>
      <c r="B72" s="14">
        <v>45949</v>
      </c>
      <c r="C72" s="15">
        <v>5.3</v>
      </c>
      <c r="D72" s="15">
        <v>0</v>
      </c>
      <c r="E72" s="15">
        <v>1.2</v>
      </c>
      <c r="F72" s="15">
        <v>0</v>
      </c>
      <c r="G72" s="15">
        <v>0.68</v>
      </c>
      <c r="H72" s="15">
        <v>0</v>
      </c>
      <c r="I72" s="15">
        <v>0</v>
      </c>
      <c r="J72" s="15">
        <v>9</v>
      </c>
      <c r="K72" s="15">
        <v>22.9</v>
      </c>
      <c r="L72" s="15">
        <v>0</v>
      </c>
      <c r="M72" s="15">
        <f t="shared" si="3"/>
        <v>-6.7199999999999989</v>
      </c>
      <c r="N72" s="21">
        <f t="shared" si="2"/>
        <v>0.29344978165938862</v>
      </c>
    </row>
    <row r="73" spans="1:14" x14ac:dyDescent="0.25">
      <c r="A73" s="13">
        <v>72</v>
      </c>
      <c r="B73" s="14">
        <v>45949</v>
      </c>
      <c r="C73" s="15">
        <v>4</v>
      </c>
      <c r="D73" s="15">
        <v>0</v>
      </c>
      <c r="E73" s="15">
        <v>1.1000000000000001</v>
      </c>
      <c r="F73" s="15">
        <v>0</v>
      </c>
      <c r="G73" s="15">
        <v>0</v>
      </c>
      <c r="H73" s="15">
        <v>0</v>
      </c>
      <c r="I73" s="15">
        <v>0</v>
      </c>
      <c r="J73" s="15">
        <v>6.4</v>
      </c>
      <c r="K73" s="15">
        <v>16</v>
      </c>
      <c r="L73" s="15">
        <v>0</v>
      </c>
      <c r="M73" s="15">
        <f t="shared" si="3"/>
        <v>-4.5</v>
      </c>
      <c r="N73" s="21">
        <f t="shared" si="2"/>
        <v>0.28125</v>
      </c>
    </row>
    <row r="74" spans="1:14" x14ac:dyDescent="0.25">
      <c r="A74" s="13">
        <v>73</v>
      </c>
      <c r="B74" s="14">
        <v>45949</v>
      </c>
      <c r="C74" s="15">
        <v>0</v>
      </c>
      <c r="D74" s="15">
        <v>0</v>
      </c>
      <c r="E74" s="15">
        <v>0</v>
      </c>
      <c r="F74" s="15">
        <v>0</v>
      </c>
      <c r="G74" s="15">
        <v>0</v>
      </c>
      <c r="H74" s="15">
        <v>0</v>
      </c>
      <c r="I74" s="15">
        <v>0</v>
      </c>
      <c r="J74" s="15">
        <v>7.69</v>
      </c>
      <c r="K74" s="15">
        <v>0</v>
      </c>
      <c r="L74" s="15">
        <v>0</v>
      </c>
      <c r="M74" s="15">
        <f t="shared" si="3"/>
        <v>7.69</v>
      </c>
      <c r="N74" s="21" t="e">
        <f t="shared" si="2"/>
        <v>#DIV/0!</v>
      </c>
    </row>
    <row r="75" spans="1:14" x14ac:dyDescent="0.25">
      <c r="A75" s="13">
        <v>74</v>
      </c>
      <c r="B75" s="14">
        <v>45951</v>
      </c>
      <c r="C75" s="15">
        <v>1</v>
      </c>
      <c r="D75" s="15">
        <v>0</v>
      </c>
      <c r="E75" s="15">
        <v>1.6</v>
      </c>
      <c r="F75" s="15">
        <v>0</v>
      </c>
      <c r="G75" s="15">
        <v>0</v>
      </c>
      <c r="H75" s="15">
        <v>0</v>
      </c>
      <c r="I75" s="15">
        <v>0</v>
      </c>
      <c r="J75" s="15">
        <v>7.6</v>
      </c>
      <c r="K75" s="15">
        <v>14.5</v>
      </c>
      <c r="L75" s="15">
        <v>2.1800000000000002</v>
      </c>
      <c r="M75" s="15">
        <f t="shared" si="3"/>
        <v>-2.120000000000001</v>
      </c>
      <c r="N75" s="21">
        <f t="shared" si="2"/>
        <v>0.17207792207792216</v>
      </c>
    </row>
    <row r="76" spans="1:14" x14ac:dyDescent="0.25">
      <c r="A76" s="13">
        <v>75</v>
      </c>
      <c r="B76" s="14">
        <v>45951</v>
      </c>
      <c r="C76" s="15">
        <v>7.1</v>
      </c>
      <c r="D76" s="15">
        <v>0</v>
      </c>
      <c r="E76" s="15">
        <v>1</v>
      </c>
      <c r="F76" s="15">
        <v>4.26</v>
      </c>
      <c r="G76" s="15">
        <v>0</v>
      </c>
      <c r="H76" s="15">
        <v>0</v>
      </c>
      <c r="I76" s="15">
        <v>0</v>
      </c>
      <c r="J76" s="15">
        <v>12.2</v>
      </c>
      <c r="K76" s="15">
        <v>23.57</v>
      </c>
      <c r="L76" s="15">
        <v>0</v>
      </c>
      <c r="M76" s="15">
        <f t="shared" si="3"/>
        <v>0.98999999999999844</v>
      </c>
      <c r="N76" s="21">
        <f t="shared" si="2"/>
        <v>4.2002545608824708E-2</v>
      </c>
    </row>
    <row r="77" spans="1:14" x14ac:dyDescent="0.25">
      <c r="A77" s="13">
        <v>76</v>
      </c>
      <c r="B77" s="14">
        <v>45951</v>
      </c>
      <c r="C77" s="15">
        <v>0</v>
      </c>
      <c r="D77" s="15">
        <v>0</v>
      </c>
      <c r="E77" s="15">
        <v>4</v>
      </c>
      <c r="F77" s="15">
        <v>0</v>
      </c>
      <c r="G77" s="15">
        <v>0</v>
      </c>
      <c r="H77" s="15">
        <v>0</v>
      </c>
      <c r="I77" s="15">
        <v>0</v>
      </c>
      <c r="J77" s="15">
        <v>5</v>
      </c>
      <c r="K77" s="15">
        <v>10.3</v>
      </c>
      <c r="L77" s="15">
        <v>0</v>
      </c>
      <c r="M77" s="15">
        <f t="shared" si="3"/>
        <v>-1.3000000000000007</v>
      </c>
      <c r="N77" s="21">
        <f t="shared" si="2"/>
        <v>0.12621359223300976</v>
      </c>
    </row>
    <row r="78" spans="1:14" x14ac:dyDescent="0.25">
      <c r="A78" s="13">
        <v>77</v>
      </c>
      <c r="B78" s="14">
        <v>45951</v>
      </c>
      <c r="C78" s="15">
        <v>0</v>
      </c>
      <c r="D78" s="15">
        <v>0</v>
      </c>
      <c r="E78" s="15">
        <v>1</v>
      </c>
      <c r="F78" s="15">
        <v>0</v>
      </c>
      <c r="G78" s="15">
        <v>0</v>
      </c>
      <c r="H78" s="15">
        <v>0</v>
      </c>
      <c r="I78" s="15">
        <v>0</v>
      </c>
      <c r="J78" s="15">
        <v>17</v>
      </c>
      <c r="K78" s="15">
        <v>23.6</v>
      </c>
      <c r="L78" s="15">
        <v>0</v>
      </c>
      <c r="M78" s="15">
        <f t="shared" si="3"/>
        <v>-5.6000000000000014</v>
      </c>
      <c r="N78" s="21">
        <f t="shared" si="2"/>
        <v>0.23728813559322037</v>
      </c>
    </row>
    <row r="79" spans="1:14" x14ac:dyDescent="0.25">
      <c r="A79" s="13">
        <v>78</v>
      </c>
      <c r="B79" s="14">
        <v>45951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3.7</v>
      </c>
      <c r="K79" s="15">
        <v>0</v>
      </c>
      <c r="L79" s="15">
        <v>0</v>
      </c>
      <c r="M79" s="15">
        <f t="shared" si="3"/>
        <v>3.7</v>
      </c>
      <c r="N79" s="21" t="e">
        <f t="shared" si="2"/>
        <v>#DIV/0!</v>
      </c>
    </row>
    <row r="80" spans="1:14" x14ac:dyDescent="0.25">
      <c r="A80" s="13">
        <v>79</v>
      </c>
      <c r="B80" s="14">
        <v>45952</v>
      </c>
      <c r="C80" s="15">
        <v>0</v>
      </c>
      <c r="D80" s="15">
        <v>0</v>
      </c>
      <c r="E80" s="15">
        <v>2.8</v>
      </c>
      <c r="F80" s="15">
        <v>0</v>
      </c>
      <c r="G80" s="15">
        <v>0</v>
      </c>
      <c r="H80" s="15">
        <v>0</v>
      </c>
      <c r="I80" s="15">
        <v>0</v>
      </c>
      <c r="J80" s="15">
        <v>5.7</v>
      </c>
      <c r="K80" s="15">
        <v>9.9</v>
      </c>
      <c r="L80" s="15">
        <v>0</v>
      </c>
      <c r="M80" s="15">
        <f t="shared" si="3"/>
        <v>-1.4000000000000004</v>
      </c>
      <c r="N80" s="21">
        <f t="shared" si="2"/>
        <v>0.14141414141414144</v>
      </c>
    </row>
    <row r="81" spans="1:14" x14ac:dyDescent="0.25">
      <c r="A81" s="13">
        <v>80</v>
      </c>
      <c r="B81" s="14">
        <v>45952</v>
      </c>
      <c r="C81" s="15">
        <v>0</v>
      </c>
      <c r="D81" s="15">
        <v>0</v>
      </c>
      <c r="E81" s="15">
        <v>1.6</v>
      </c>
      <c r="F81" s="15">
        <v>0</v>
      </c>
      <c r="G81" s="15">
        <v>0</v>
      </c>
      <c r="H81" s="15">
        <v>0</v>
      </c>
      <c r="I81" s="15">
        <v>0</v>
      </c>
      <c r="J81" s="15">
        <v>5.4</v>
      </c>
      <c r="K81" s="15">
        <v>8.1999999999999993</v>
      </c>
      <c r="L81" s="15">
        <v>0</v>
      </c>
      <c r="M81" s="15">
        <f t="shared" si="3"/>
        <v>-1.1999999999999993</v>
      </c>
      <c r="N81" s="21">
        <f t="shared" si="2"/>
        <v>0.14634146341463408</v>
      </c>
    </row>
    <row r="82" spans="1:14" x14ac:dyDescent="0.25">
      <c r="A82" s="13">
        <v>81</v>
      </c>
      <c r="B82" s="14">
        <v>45871</v>
      </c>
      <c r="C82" s="15">
        <v>0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25.9</v>
      </c>
      <c r="K82" s="15">
        <v>33.94</v>
      </c>
      <c r="L82" s="15">
        <v>2.77</v>
      </c>
      <c r="M82" s="15">
        <f t="shared" si="3"/>
        <v>-5.27</v>
      </c>
      <c r="N82" s="21">
        <f t="shared" si="2"/>
        <v>0.16907282643567534</v>
      </c>
    </row>
    <row r="83" spans="1:14" x14ac:dyDescent="0.25">
      <c r="A83" s="13">
        <v>82</v>
      </c>
      <c r="B83" s="14">
        <v>45871</v>
      </c>
      <c r="C83" s="15">
        <v>0</v>
      </c>
      <c r="D83" s="15">
        <v>0</v>
      </c>
      <c r="E83" s="15">
        <v>0</v>
      </c>
      <c r="F83" s="15">
        <v>0</v>
      </c>
      <c r="G83" s="15">
        <v>7.0000000000000007E-2</v>
      </c>
      <c r="H83" s="15">
        <v>0</v>
      </c>
      <c r="I83" s="15">
        <v>0</v>
      </c>
      <c r="J83" s="15">
        <v>7.18</v>
      </c>
      <c r="K83" s="15">
        <v>12.05</v>
      </c>
      <c r="L83" s="15">
        <v>0</v>
      </c>
      <c r="M83" s="15">
        <f t="shared" si="3"/>
        <v>-4.8000000000000007</v>
      </c>
      <c r="N83" s="21">
        <f t="shared" si="2"/>
        <v>0.39834024896265563</v>
      </c>
    </row>
    <row r="84" spans="1:14" x14ac:dyDescent="0.25">
      <c r="A84" s="13">
        <v>83</v>
      </c>
      <c r="B84" s="14">
        <v>45871</v>
      </c>
      <c r="C84" s="15">
        <v>0</v>
      </c>
      <c r="D84" s="15">
        <v>0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5">
        <v>6.99</v>
      </c>
      <c r="K84" s="15">
        <v>8.9700000000000006</v>
      </c>
      <c r="L84" s="15">
        <v>0</v>
      </c>
      <c r="M84" s="15">
        <f t="shared" si="3"/>
        <v>-1.9800000000000004</v>
      </c>
      <c r="N84" s="21">
        <f t="shared" si="2"/>
        <v>0.22073578595317728</v>
      </c>
    </row>
    <row r="85" spans="1:14" x14ac:dyDescent="0.25">
      <c r="A85" s="13">
        <v>84</v>
      </c>
      <c r="B85" s="14">
        <v>45871</v>
      </c>
      <c r="C85" s="15">
        <v>0</v>
      </c>
      <c r="D85" s="15">
        <v>0</v>
      </c>
      <c r="E85" s="15">
        <v>0</v>
      </c>
      <c r="F85" s="15">
        <v>0</v>
      </c>
      <c r="G85" s="15">
        <v>0.11</v>
      </c>
      <c r="H85" s="15">
        <v>0</v>
      </c>
      <c r="I85" s="15">
        <v>0</v>
      </c>
      <c r="J85" s="15">
        <v>6.99</v>
      </c>
      <c r="K85" s="15">
        <v>10.039999999999999</v>
      </c>
      <c r="L85" s="15">
        <v>2.0099999999999998</v>
      </c>
      <c r="M85" s="15">
        <f t="shared" si="3"/>
        <v>-0.92999999999999883</v>
      </c>
      <c r="N85" s="21">
        <f t="shared" si="2"/>
        <v>0.11581569115815678</v>
      </c>
    </row>
    <row r="86" spans="1:14" x14ac:dyDescent="0.25">
      <c r="A86" s="13">
        <v>85</v>
      </c>
      <c r="B86" s="14">
        <v>45871</v>
      </c>
      <c r="C86" s="15">
        <v>0</v>
      </c>
      <c r="D86" s="15">
        <v>0</v>
      </c>
      <c r="E86" s="15">
        <v>0</v>
      </c>
      <c r="F86" s="15">
        <v>0</v>
      </c>
      <c r="G86" s="15">
        <v>0</v>
      </c>
      <c r="H86" s="15">
        <v>0</v>
      </c>
      <c r="I86" s="15">
        <v>0</v>
      </c>
      <c r="J86" s="15">
        <v>9.43</v>
      </c>
      <c r="K86" s="15">
        <v>13.98</v>
      </c>
      <c r="L86" s="15">
        <v>0</v>
      </c>
      <c r="M86" s="15">
        <f t="shared" si="3"/>
        <v>-4.5500000000000007</v>
      </c>
      <c r="N86" s="21">
        <f t="shared" si="2"/>
        <v>0.3254649499284693</v>
      </c>
    </row>
    <row r="87" spans="1:14" x14ac:dyDescent="0.25">
      <c r="A87" s="13">
        <v>86</v>
      </c>
      <c r="B87" s="14">
        <v>45871</v>
      </c>
      <c r="C87" s="15">
        <v>0</v>
      </c>
      <c r="D87" s="15">
        <v>0</v>
      </c>
      <c r="E87" s="15">
        <v>0</v>
      </c>
      <c r="F87" s="15">
        <v>0</v>
      </c>
      <c r="G87" s="15">
        <v>0</v>
      </c>
      <c r="H87" s="15">
        <v>0</v>
      </c>
      <c r="I87" s="15">
        <v>0</v>
      </c>
      <c r="J87" s="15">
        <v>8.98</v>
      </c>
      <c r="K87" s="15">
        <v>14.96</v>
      </c>
      <c r="L87" s="15">
        <v>0</v>
      </c>
      <c r="M87" s="15">
        <f t="shared" si="3"/>
        <v>-5.98</v>
      </c>
      <c r="N87" s="21">
        <f t="shared" si="2"/>
        <v>0.3997326203208556</v>
      </c>
    </row>
    <row r="88" spans="1:14" x14ac:dyDescent="0.25">
      <c r="A88" s="13">
        <v>87</v>
      </c>
      <c r="B88" s="14">
        <v>45871</v>
      </c>
      <c r="C88" s="15">
        <v>0</v>
      </c>
      <c r="D88" s="15">
        <v>0</v>
      </c>
      <c r="E88" s="15">
        <v>0</v>
      </c>
      <c r="F88" s="15">
        <v>0</v>
      </c>
      <c r="G88" s="15">
        <v>0.05</v>
      </c>
      <c r="H88" s="15">
        <v>0</v>
      </c>
      <c r="I88" s="15">
        <v>0</v>
      </c>
      <c r="J88" s="15">
        <v>6.99</v>
      </c>
      <c r="K88" s="15">
        <v>11.97</v>
      </c>
      <c r="L88" s="15">
        <v>1.2</v>
      </c>
      <c r="M88" s="15">
        <f t="shared" si="3"/>
        <v>-3.7300000000000013</v>
      </c>
      <c r="N88" s="21">
        <f t="shared" si="2"/>
        <v>0.34633240482822664</v>
      </c>
    </row>
    <row r="89" spans="1:14" x14ac:dyDescent="0.25">
      <c r="A89" s="13">
        <v>88</v>
      </c>
      <c r="B89" s="14">
        <v>45871</v>
      </c>
      <c r="C89" s="15">
        <v>0</v>
      </c>
      <c r="D89" s="15">
        <v>0</v>
      </c>
      <c r="E89" s="15">
        <v>0</v>
      </c>
      <c r="F89" s="15">
        <v>0</v>
      </c>
      <c r="G89" s="15">
        <v>0</v>
      </c>
      <c r="H89" s="15">
        <v>0</v>
      </c>
      <c r="I89" s="15">
        <v>0</v>
      </c>
      <c r="J89" s="15">
        <v>6.99</v>
      </c>
      <c r="K89" s="15">
        <v>10.91</v>
      </c>
      <c r="L89" s="15">
        <v>0</v>
      </c>
      <c r="M89" s="15">
        <f t="shared" si="3"/>
        <v>-3.92</v>
      </c>
      <c r="N89" s="21">
        <f t="shared" si="2"/>
        <v>0.35930339138405132</v>
      </c>
    </row>
    <row r="90" spans="1:14" x14ac:dyDescent="0.25">
      <c r="A90" s="13">
        <v>89</v>
      </c>
      <c r="B90" s="14">
        <v>45871</v>
      </c>
      <c r="C90" s="15">
        <v>0</v>
      </c>
      <c r="D90" s="15">
        <v>0</v>
      </c>
      <c r="E90" s="15">
        <v>0</v>
      </c>
      <c r="F90" s="15">
        <v>0</v>
      </c>
      <c r="G90" s="15">
        <v>0</v>
      </c>
      <c r="H90" s="15">
        <v>0</v>
      </c>
      <c r="I90" s="15">
        <v>0</v>
      </c>
      <c r="J90" s="15">
        <v>20.329999999999998</v>
      </c>
      <c r="K90" s="15">
        <v>29.93</v>
      </c>
      <c r="L90" s="15">
        <v>0</v>
      </c>
      <c r="M90" s="15">
        <f t="shared" si="3"/>
        <v>-9.6000000000000014</v>
      </c>
      <c r="N90" s="21">
        <f t="shared" si="2"/>
        <v>0.32074841296358175</v>
      </c>
    </row>
    <row r="91" spans="1:14" x14ac:dyDescent="0.25">
      <c r="A91" s="13">
        <v>90</v>
      </c>
      <c r="B91" s="14">
        <v>45871</v>
      </c>
      <c r="C91" s="15">
        <v>1</v>
      </c>
      <c r="D91" s="15">
        <v>0</v>
      </c>
      <c r="E91" s="15">
        <v>0</v>
      </c>
      <c r="F91" s="15">
        <v>3.66</v>
      </c>
      <c r="G91" s="15">
        <v>0</v>
      </c>
      <c r="H91" s="15">
        <v>0</v>
      </c>
      <c r="I91" s="15">
        <v>0</v>
      </c>
      <c r="J91" s="15">
        <v>14.84</v>
      </c>
      <c r="K91" s="15">
        <v>24.96</v>
      </c>
      <c r="L91" s="15">
        <v>0</v>
      </c>
      <c r="M91" s="15">
        <f t="shared" si="3"/>
        <v>-5.4600000000000009</v>
      </c>
      <c r="N91" s="21">
        <f t="shared" si="2"/>
        <v>0.21875000000000003</v>
      </c>
    </row>
    <row r="92" spans="1:14" x14ac:dyDescent="0.25">
      <c r="A92" s="13">
        <v>91</v>
      </c>
      <c r="B92" s="14">
        <v>45871</v>
      </c>
      <c r="C92" s="15">
        <v>0</v>
      </c>
      <c r="D92" s="15">
        <v>0</v>
      </c>
      <c r="E92" s="15">
        <v>0</v>
      </c>
      <c r="F92" s="15">
        <v>0</v>
      </c>
      <c r="G92" s="15">
        <v>0</v>
      </c>
      <c r="H92" s="15">
        <v>0</v>
      </c>
      <c r="I92" s="15">
        <v>0</v>
      </c>
      <c r="J92" s="15">
        <v>15.59</v>
      </c>
      <c r="K92" s="15">
        <v>18.95</v>
      </c>
      <c r="L92" s="15">
        <v>0</v>
      </c>
      <c r="M92" s="15">
        <f t="shared" si="3"/>
        <v>-3.3599999999999994</v>
      </c>
      <c r="N92" s="21">
        <f t="shared" si="2"/>
        <v>0.17730870712401053</v>
      </c>
    </row>
    <row r="93" spans="1:14" x14ac:dyDescent="0.25">
      <c r="A93" s="13">
        <v>92</v>
      </c>
      <c r="B93" s="14">
        <v>45871</v>
      </c>
      <c r="C93" s="15">
        <v>10</v>
      </c>
      <c r="D93" s="15">
        <v>0</v>
      </c>
      <c r="E93" s="15">
        <v>0</v>
      </c>
      <c r="F93" s="15">
        <v>0</v>
      </c>
      <c r="G93" s="15">
        <v>0</v>
      </c>
      <c r="H93" s="15">
        <v>0</v>
      </c>
      <c r="I93" s="15">
        <v>0</v>
      </c>
      <c r="J93" s="15">
        <v>9.4499999999999993</v>
      </c>
      <c r="K93" s="15">
        <v>21.1</v>
      </c>
      <c r="L93" s="15">
        <v>10.14</v>
      </c>
      <c r="M93" s="15">
        <f t="shared" si="3"/>
        <v>8.4899999999999984</v>
      </c>
      <c r="N93" s="21">
        <f t="shared" si="2"/>
        <v>0.77463503649635013</v>
      </c>
    </row>
    <row r="94" spans="1:14" x14ac:dyDescent="0.25">
      <c r="A94" s="13">
        <v>93</v>
      </c>
      <c r="B94" s="14">
        <v>45871</v>
      </c>
      <c r="C94" s="15">
        <v>2.25</v>
      </c>
      <c r="D94" s="15">
        <v>0</v>
      </c>
      <c r="E94" s="15">
        <v>0</v>
      </c>
      <c r="F94" s="15">
        <v>0</v>
      </c>
      <c r="G94" s="15">
        <v>7.0000000000000007E-2</v>
      </c>
      <c r="H94" s="15">
        <v>0</v>
      </c>
      <c r="I94" s="15">
        <v>0</v>
      </c>
      <c r="J94" s="15">
        <v>29.12</v>
      </c>
      <c r="K94" s="15">
        <v>45.04</v>
      </c>
      <c r="L94" s="15">
        <v>0</v>
      </c>
      <c r="M94" s="15">
        <f t="shared" si="3"/>
        <v>-13.599999999999998</v>
      </c>
      <c r="N94" s="21">
        <f t="shared" ref="N94:N147" si="4">ABS(M94/(K94-L94))</f>
        <v>0.30195381882770866</v>
      </c>
    </row>
    <row r="95" spans="1:14" x14ac:dyDescent="0.25">
      <c r="A95" s="13">
        <v>94</v>
      </c>
      <c r="B95" s="14">
        <v>45871</v>
      </c>
      <c r="C95" s="15">
        <v>0</v>
      </c>
      <c r="D95" s="15">
        <v>0</v>
      </c>
      <c r="E95" s="15">
        <v>0</v>
      </c>
      <c r="F95" s="15">
        <v>0</v>
      </c>
      <c r="G95" s="15">
        <v>0</v>
      </c>
      <c r="H95" s="15">
        <v>0</v>
      </c>
      <c r="I95" s="15">
        <v>0</v>
      </c>
      <c r="J95" s="15">
        <v>10.029999999999999</v>
      </c>
      <c r="K95" s="15">
        <v>11.93</v>
      </c>
      <c r="L95" s="15">
        <v>7.16</v>
      </c>
      <c r="M95" s="15">
        <f t="shared" si="3"/>
        <v>5.26</v>
      </c>
      <c r="N95" s="21">
        <f t="shared" si="4"/>
        <v>1.1027253668763104</v>
      </c>
    </row>
    <row r="96" spans="1:14" x14ac:dyDescent="0.25">
      <c r="A96" s="13">
        <v>95</v>
      </c>
      <c r="B96" s="14">
        <v>45871</v>
      </c>
      <c r="C96" s="15">
        <v>0</v>
      </c>
      <c r="D96" s="15">
        <v>0</v>
      </c>
      <c r="E96" s="15">
        <v>0</v>
      </c>
      <c r="F96" s="15">
        <v>0</v>
      </c>
      <c r="G96" s="15">
        <v>0</v>
      </c>
      <c r="H96" s="15">
        <v>0</v>
      </c>
      <c r="I96" s="15">
        <v>0</v>
      </c>
      <c r="J96" s="15">
        <v>4.57</v>
      </c>
      <c r="K96" s="15">
        <v>5.25</v>
      </c>
      <c r="L96" s="15">
        <v>0</v>
      </c>
      <c r="M96" s="15">
        <f t="shared" si="3"/>
        <v>-0.67999999999999972</v>
      </c>
      <c r="N96" s="21">
        <f t="shared" si="4"/>
        <v>0.12952380952380946</v>
      </c>
    </row>
    <row r="97" spans="1:14" x14ac:dyDescent="0.25">
      <c r="A97" s="13">
        <v>96</v>
      </c>
      <c r="B97" s="14">
        <v>45871</v>
      </c>
      <c r="C97" s="15">
        <v>0</v>
      </c>
      <c r="D97" s="15">
        <v>0</v>
      </c>
      <c r="E97" s="15">
        <v>0</v>
      </c>
      <c r="F97" s="15">
        <v>0</v>
      </c>
      <c r="G97" s="15">
        <v>0</v>
      </c>
      <c r="H97" s="15">
        <v>0</v>
      </c>
      <c r="I97" s="15">
        <v>0</v>
      </c>
      <c r="J97" s="15">
        <v>6.99</v>
      </c>
      <c r="K97" s="15">
        <v>8.9499999999999993</v>
      </c>
      <c r="L97" s="15">
        <v>0</v>
      </c>
      <c r="M97" s="15">
        <f t="shared" si="3"/>
        <v>-1.9599999999999991</v>
      </c>
      <c r="N97" s="21">
        <f t="shared" si="4"/>
        <v>0.21899441340782114</v>
      </c>
    </row>
    <row r="98" spans="1:14" x14ac:dyDescent="0.25">
      <c r="A98" s="13">
        <v>97</v>
      </c>
      <c r="B98" s="14">
        <v>45871</v>
      </c>
      <c r="C98" s="15">
        <v>0</v>
      </c>
      <c r="D98" s="15">
        <v>0</v>
      </c>
      <c r="E98" s="15">
        <v>0</v>
      </c>
      <c r="F98" s="15">
        <v>0</v>
      </c>
      <c r="G98" s="15">
        <v>0</v>
      </c>
      <c r="H98" s="15">
        <v>0</v>
      </c>
      <c r="I98" s="15">
        <v>0</v>
      </c>
      <c r="J98" s="15">
        <v>9.0299999999999994</v>
      </c>
      <c r="K98" s="15">
        <v>11.93</v>
      </c>
      <c r="L98" s="15">
        <v>0.97</v>
      </c>
      <c r="M98" s="15">
        <f t="shared" si="3"/>
        <v>-1.9299999999999997</v>
      </c>
      <c r="N98" s="21">
        <f t="shared" si="4"/>
        <v>0.1760948905109489</v>
      </c>
    </row>
    <row r="99" spans="1:14" x14ac:dyDescent="0.25">
      <c r="A99" s="13">
        <v>98</v>
      </c>
      <c r="B99" s="14">
        <v>45871</v>
      </c>
      <c r="C99" s="15">
        <v>1</v>
      </c>
      <c r="D99" s="15">
        <v>0</v>
      </c>
      <c r="E99" s="15">
        <v>0</v>
      </c>
      <c r="F99" s="15">
        <v>0</v>
      </c>
      <c r="G99" s="15">
        <v>0</v>
      </c>
      <c r="H99" s="15">
        <v>0</v>
      </c>
      <c r="I99" s="15">
        <v>0</v>
      </c>
      <c r="J99" s="15">
        <v>9.65</v>
      </c>
      <c r="K99" s="15">
        <v>12.07</v>
      </c>
      <c r="L99" s="15">
        <v>3.15</v>
      </c>
      <c r="M99" s="15">
        <f t="shared" si="3"/>
        <v>1.7300000000000004</v>
      </c>
      <c r="N99" s="21">
        <f t="shared" si="4"/>
        <v>0.19394618834080724</v>
      </c>
    </row>
    <row r="100" spans="1:14" x14ac:dyDescent="0.25">
      <c r="A100" s="13">
        <v>99</v>
      </c>
      <c r="B100" s="14">
        <v>45875</v>
      </c>
      <c r="C100" s="15">
        <v>3.75</v>
      </c>
      <c r="D100" s="15">
        <v>0</v>
      </c>
      <c r="E100" s="15">
        <v>0</v>
      </c>
      <c r="F100" s="15">
        <v>0</v>
      </c>
      <c r="G100" s="15">
        <v>0</v>
      </c>
      <c r="H100" s="15">
        <v>0</v>
      </c>
      <c r="I100" s="15">
        <v>0</v>
      </c>
      <c r="J100" s="15">
        <v>6.99</v>
      </c>
      <c r="K100" s="15">
        <v>12.2</v>
      </c>
      <c r="L100" s="15">
        <v>3.26</v>
      </c>
      <c r="M100" s="15">
        <f t="shared" si="3"/>
        <v>1.8000000000000007</v>
      </c>
      <c r="N100" s="21">
        <f t="shared" si="4"/>
        <v>0.20134228187919473</v>
      </c>
    </row>
    <row r="101" spans="1:14" x14ac:dyDescent="0.25">
      <c r="A101" s="13">
        <v>100</v>
      </c>
      <c r="B101" s="14">
        <v>45875</v>
      </c>
      <c r="C101" s="15">
        <v>4.25</v>
      </c>
      <c r="D101" s="15">
        <v>0</v>
      </c>
      <c r="E101" s="15">
        <v>0</v>
      </c>
      <c r="F101" s="15">
        <v>0</v>
      </c>
      <c r="G101" s="15">
        <v>0</v>
      </c>
      <c r="H101" s="15">
        <v>0</v>
      </c>
      <c r="I101" s="15">
        <v>0</v>
      </c>
      <c r="J101" s="15">
        <v>8.76</v>
      </c>
      <c r="K101" s="15">
        <v>14.69</v>
      </c>
      <c r="L101" s="15">
        <v>5.72</v>
      </c>
      <c r="M101" s="15">
        <f t="shared" si="3"/>
        <v>4.0400000000000009</v>
      </c>
      <c r="N101" s="21">
        <f t="shared" si="4"/>
        <v>0.45039018952062448</v>
      </c>
    </row>
    <row r="102" spans="1:14" x14ac:dyDescent="0.25">
      <c r="A102" s="13">
        <v>101</v>
      </c>
      <c r="B102" s="14">
        <v>45875</v>
      </c>
      <c r="C102" s="15">
        <v>3.25</v>
      </c>
      <c r="D102" s="15">
        <v>0</v>
      </c>
      <c r="E102" s="15">
        <v>0</v>
      </c>
      <c r="F102" s="15">
        <v>0</v>
      </c>
      <c r="G102" s="15">
        <v>0</v>
      </c>
      <c r="H102" s="15">
        <v>0</v>
      </c>
      <c r="I102" s="15">
        <v>0</v>
      </c>
      <c r="J102" s="15">
        <v>8.98</v>
      </c>
      <c r="K102" s="15">
        <v>14.21</v>
      </c>
      <c r="L102" s="15">
        <v>0.3</v>
      </c>
      <c r="M102" s="15">
        <f t="shared" si="3"/>
        <v>-1.6799999999999997</v>
      </c>
      <c r="N102" s="21">
        <f t="shared" si="4"/>
        <v>0.12077641984184039</v>
      </c>
    </row>
    <row r="103" spans="1:14" x14ac:dyDescent="0.25">
      <c r="A103" s="13">
        <v>102</v>
      </c>
      <c r="B103" s="14">
        <v>45875</v>
      </c>
      <c r="C103" s="15">
        <v>0</v>
      </c>
      <c r="D103" s="15">
        <v>0</v>
      </c>
      <c r="E103" s="15">
        <v>0</v>
      </c>
      <c r="F103" s="15">
        <v>0</v>
      </c>
      <c r="G103" s="15">
        <v>0</v>
      </c>
      <c r="H103" s="15">
        <v>0</v>
      </c>
      <c r="I103" s="15">
        <v>0</v>
      </c>
      <c r="J103" s="15">
        <v>19.02</v>
      </c>
      <c r="K103" s="15">
        <v>22.95</v>
      </c>
      <c r="L103" s="15">
        <v>0</v>
      </c>
      <c r="M103" s="15">
        <f t="shared" si="3"/>
        <v>-3.9299999999999997</v>
      </c>
      <c r="N103" s="21">
        <f t="shared" si="4"/>
        <v>0.17124183006535948</v>
      </c>
    </row>
    <row r="104" spans="1:14" x14ac:dyDescent="0.25">
      <c r="A104" s="13">
        <v>103</v>
      </c>
      <c r="B104" s="14">
        <v>45875</v>
      </c>
      <c r="C104" s="15">
        <v>3</v>
      </c>
      <c r="D104" s="15">
        <v>0</v>
      </c>
      <c r="E104" s="15">
        <v>0</v>
      </c>
      <c r="F104" s="15">
        <v>0</v>
      </c>
      <c r="G104" s="15">
        <v>0</v>
      </c>
      <c r="H104" s="15">
        <v>0</v>
      </c>
      <c r="I104" s="15">
        <v>0</v>
      </c>
      <c r="J104" s="15">
        <v>16.29</v>
      </c>
      <c r="K104" s="15">
        <v>21.58</v>
      </c>
      <c r="L104" s="15">
        <v>2.62</v>
      </c>
      <c r="M104" s="15">
        <f t="shared" si="3"/>
        <v>0.33000000000000185</v>
      </c>
      <c r="N104" s="21">
        <f t="shared" si="4"/>
        <v>1.740506329113934E-2</v>
      </c>
    </row>
    <row r="105" spans="1:14" x14ac:dyDescent="0.25">
      <c r="A105" s="13">
        <v>104</v>
      </c>
      <c r="B105" s="14">
        <v>45875</v>
      </c>
      <c r="C105" s="15">
        <v>3</v>
      </c>
      <c r="D105" s="15">
        <v>0</v>
      </c>
      <c r="E105" s="15">
        <v>0</v>
      </c>
      <c r="F105" s="15">
        <v>0</v>
      </c>
      <c r="G105" s="15">
        <v>0.34</v>
      </c>
      <c r="H105" s="15">
        <v>0</v>
      </c>
      <c r="I105" s="15">
        <v>0</v>
      </c>
      <c r="J105" s="15">
        <v>6.99</v>
      </c>
      <c r="K105" s="15">
        <v>12.35</v>
      </c>
      <c r="L105" s="15">
        <v>1.71</v>
      </c>
      <c r="M105" s="15">
        <f t="shared" si="3"/>
        <v>-0.3100000000000005</v>
      </c>
      <c r="N105" s="21">
        <f t="shared" si="4"/>
        <v>2.9135338345864705E-2</v>
      </c>
    </row>
    <row r="106" spans="1:14" x14ac:dyDescent="0.25">
      <c r="A106" s="13">
        <v>105</v>
      </c>
      <c r="B106" s="14">
        <v>45876</v>
      </c>
      <c r="C106" s="15">
        <v>0</v>
      </c>
      <c r="D106" s="15">
        <v>0</v>
      </c>
      <c r="E106" s="15">
        <v>0</v>
      </c>
      <c r="F106" s="15">
        <v>0</v>
      </c>
      <c r="G106" s="15">
        <v>0</v>
      </c>
      <c r="H106" s="15">
        <v>0</v>
      </c>
      <c r="I106" s="15">
        <v>0</v>
      </c>
      <c r="J106" s="15">
        <v>4.57</v>
      </c>
      <c r="K106" s="15">
        <v>0</v>
      </c>
      <c r="L106" s="15">
        <v>0</v>
      </c>
      <c r="M106" s="15">
        <f t="shared" si="3"/>
        <v>4.57</v>
      </c>
      <c r="N106" s="21">
        <v>0</v>
      </c>
    </row>
    <row r="107" spans="1:14" x14ac:dyDescent="0.25">
      <c r="A107" s="13">
        <v>106</v>
      </c>
      <c r="B107" s="14">
        <v>45876</v>
      </c>
      <c r="C107" s="15">
        <v>1.5</v>
      </c>
      <c r="D107" s="15">
        <v>0</v>
      </c>
      <c r="E107" s="15">
        <v>0</v>
      </c>
      <c r="F107" s="15">
        <v>3.66</v>
      </c>
      <c r="G107" s="15">
        <v>0</v>
      </c>
      <c r="H107" s="15">
        <v>0</v>
      </c>
      <c r="I107" s="15">
        <v>0</v>
      </c>
      <c r="J107" s="15">
        <v>8.17</v>
      </c>
      <c r="K107" s="15">
        <v>18.13</v>
      </c>
      <c r="L107" s="15">
        <v>0</v>
      </c>
      <c r="M107" s="15">
        <f t="shared" si="3"/>
        <v>-4.7999999999999989</v>
      </c>
      <c r="N107" s="21">
        <f t="shared" si="4"/>
        <v>0.26475455046883611</v>
      </c>
    </row>
    <row r="108" spans="1:14" x14ac:dyDescent="0.25">
      <c r="A108" s="13">
        <v>107</v>
      </c>
      <c r="B108" s="14">
        <v>45876</v>
      </c>
      <c r="C108" s="15">
        <v>3.5</v>
      </c>
      <c r="D108" s="15">
        <v>0</v>
      </c>
      <c r="E108" s="15">
        <v>0</v>
      </c>
      <c r="F108" s="15">
        <v>0</v>
      </c>
      <c r="G108" s="15">
        <v>0.14000000000000001</v>
      </c>
      <c r="H108" s="15">
        <v>0</v>
      </c>
      <c r="I108" s="15">
        <v>0</v>
      </c>
      <c r="J108" s="15">
        <v>9.4700000000000006</v>
      </c>
      <c r="K108" s="15">
        <v>14.85</v>
      </c>
      <c r="L108" s="15">
        <v>1.76</v>
      </c>
      <c r="M108" s="15">
        <f t="shared" si="3"/>
        <v>2.000000000000135E-2</v>
      </c>
      <c r="N108" s="21">
        <f t="shared" si="4"/>
        <v>1.5278838808251605E-3</v>
      </c>
    </row>
    <row r="109" spans="1:14" x14ac:dyDescent="0.25">
      <c r="A109" s="13">
        <v>108</v>
      </c>
      <c r="B109" s="14">
        <v>45876</v>
      </c>
      <c r="C109" s="15">
        <v>1.5</v>
      </c>
      <c r="D109" s="15">
        <v>0</v>
      </c>
      <c r="E109" s="15">
        <v>0</v>
      </c>
      <c r="F109" s="15">
        <v>3.66</v>
      </c>
      <c r="G109" s="15">
        <v>0</v>
      </c>
      <c r="H109" s="15">
        <v>0</v>
      </c>
      <c r="I109" s="15">
        <v>0</v>
      </c>
      <c r="J109" s="15">
        <v>9.0299999999999994</v>
      </c>
      <c r="K109" s="15">
        <v>17.05</v>
      </c>
      <c r="L109" s="15">
        <v>0</v>
      </c>
      <c r="M109" s="15">
        <f t="shared" si="3"/>
        <v>-2.8600000000000012</v>
      </c>
      <c r="N109" s="21">
        <f t="shared" si="4"/>
        <v>0.16774193548387104</v>
      </c>
    </row>
    <row r="110" spans="1:14" x14ac:dyDescent="0.25">
      <c r="A110" s="13">
        <v>109</v>
      </c>
      <c r="B110" s="14">
        <v>45876</v>
      </c>
      <c r="C110" s="15">
        <v>1</v>
      </c>
      <c r="D110" s="15">
        <v>0</v>
      </c>
      <c r="E110" s="15">
        <v>0</v>
      </c>
      <c r="F110" s="15">
        <v>0</v>
      </c>
      <c r="G110" s="15">
        <v>0</v>
      </c>
      <c r="H110" s="15">
        <v>0</v>
      </c>
      <c r="I110" s="15">
        <v>0</v>
      </c>
      <c r="J110" s="15">
        <v>6.99</v>
      </c>
      <c r="K110" s="15">
        <v>9.36</v>
      </c>
      <c r="L110" s="15">
        <v>1.42</v>
      </c>
      <c r="M110" s="15">
        <f t="shared" si="3"/>
        <v>5.0000000000000711E-2</v>
      </c>
      <c r="N110" s="21">
        <f t="shared" si="4"/>
        <v>6.2972292191436664E-3</v>
      </c>
    </row>
    <row r="111" spans="1:14" x14ac:dyDescent="0.25">
      <c r="A111" s="13">
        <v>110</v>
      </c>
      <c r="B111" s="14">
        <v>45876</v>
      </c>
      <c r="C111" s="15">
        <v>0</v>
      </c>
      <c r="D111" s="15">
        <v>0</v>
      </c>
      <c r="E111" s="15">
        <v>0</v>
      </c>
      <c r="F111" s="15">
        <v>0</v>
      </c>
      <c r="G111" s="15">
        <v>0</v>
      </c>
      <c r="H111" s="15">
        <v>0</v>
      </c>
      <c r="I111" s="15">
        <v>0</v>
      </c>
      <c r="J111" s="15">
        <v>1.86</v>
      </c>
      <c r="K111" s="15">
        <v>2.13</v>
      </c>
      <c r="L111" s="15">
        <v>0</v>
      </c>
      <c r="M111" s="15">
        <f t="shared" si="3"/>
        <v>-0.2699999999999998</v>
      </c>
      <c r="N111" s="21">
        <f t="shared" si="4"/>
        <v>0.1267605633802816</v>
      </c>
    </row>
    <row r="112" spans="1:14" x14ac:dyDescent="0.25">
      <c r="A112" s="13">
        <v>111</v>
      </c>
      <c r="B112" s="14">
        <v>45876</v>
      </c>
      <c r="C112" s="15">
        <v>1.5</v>
      </c>
      <c r="D112" s="15">
        <v>0</v>
      </c>
      <c r="E112" s="15">
        <v>0</v>
      </c>
      <c r="F112" s="15">
        <v>0</v>
      </c>
      <c r="G112" s="15">
        <v>0</v>
      </c>
      <c r="H112" s="15">
        <v>0</v>
      </c>
      <c r="I112" s="15">
        <v>0</v>
      </c>
      <c r="J112" s="15">
        <v>18.559999999999999</v>
      </c>
      <c r="K112" s="15">
        <v>22.28</v>
      </c>
      <c r="L112" s="15">
        <v>2.33</v>
      </c>
      <c r="M112" s="15">
        <f t="shared" si="3"/>
        <v>0.10999999999999588</v>
      </c>
      <c r="N112" s="21">
        <f t="shared" si="4"/>
        <v>5.5137844611526749E-3</v>
      </c>
    </row>
    <row r="113" spans="1:14" x14ac:dyDescent="0.25">
      <c r="A113" s="13">
        <v>112</v>
      </c>
      <c r="B113" s="14">
        <v>45876</v>
      </c>
      <c r="C113" s="15">
        <v>2</v>
      </c>
      <c r="D113" s="15">
        <v>0</v>
      </c>
      <c r="E113" s="15">
        <v>0</v>
      </c>
      <c r="F113" s="15">
        <v>0</v>
      </c>
      <c r="G113" s="15">
        <v>0</v>
      </c>
      <c r="H113" s="15">
        <v>0</v>
      </c>
      <c r="I113" s="15">
        <v>0</v>
      </c>
      <c r="J113" s="15">
        <v>12.17</v>
      </c>
      <c r="K113" s="15">
        <v>18.96</v>
      </c>
      <c r="L113" s="15">
        <v>4.38</v>
      </c>
      <c r="M113" s="15">
        <f t="shared" si="3"/>
        <v>-0.41000000000000192</v>
      </c>
      <c r="N113" s="21">
        <f t="shared" si="4"/>
        <v>2.8120713305898618E-2</v>
      </c>
    </row>
    <row r="114" spans="1:14" x14ac:dyDescent="0.25">
      <c r="A114" s="13">
        <v>113</v>
      </c>
      <c r="B114" s="14">
        <v>45878</v>
      </c>
      <c r="C114" s="15">
        <v>0</v>
      </c>
      <c r="D114" s="15">
        <v>0</v>
      </c>
      <c r="E114" s="15">
        <v>0</v>
      </c>
      <c r="F114" s="15">
        <v>0</v>
      </c>
      <c r="G114" s="15">
        <v>0</v>
      </c>
      <c r="H114" s="15">
        <v>0</v>
      </c>
      <c r="I114" s="15">
        <v>0</v>
      </c>
      <c r="J114" s="15">
        <v>27.65</v>
      </c>
      <c r="K114" s="15">
        <v>31.97</v>
      </c>
      <c r="L114" s="15">
        <v>7.99</v>
      </c>
      <c r="M114" s="15">
        <f t="shared" si="3"/>
        <v>3.6700000000000017</v>
      </c>
      <c r="N114" s="21">
        <f t="shared" si="4"/>
        <v>0.1530442035029192</v>
      </c>
    </row>
    <row r="115" spans="1:14" x14ac:dyDescent="0.25">
      <c r="A115" s="13">
        <v>114</v>
      </c>
      <c r="B115" s="14">
        <v>45878</v>
      </c>
      <c r="C115" s="15">
        <v>1.5</v>
      </c>
      <c r="D115" s="15">
        <v>0</v>
      </c>
      <c r="E115" s="15">
        <v>0</v>
      </c>
      <c r="F115" s="15">
        <v>0</v>
      </c>
      <c r="G115" s="15">
        <v>0</v>
      </c>
      <c r="H115" s="15">
        <v>0</v>
      </c>
      <c r="I115" s="15">
        <v>0</v>
      </c>
      <c r="J115" s="15">
        <v>24.25</v>
      </c>
      <c r="K115" s="15">
        <v>38.94</v>
      </c>
      <c r="L115" s="15">
        <v>0</v>
      </c>
      <c r="M115" s="15">
        <f t="shared" si="3"/>
        <v>-13.189999999999998</v>
      </c>
      <c r="N115" s="21">
        <f t="shared" si="4"/>
        <v>0.33872624550590646</v>
      </c>
    </row>
    <row r="116" spans="1:14" x14ac:dyDescent="0.25">
      <c r="A116" s="13">
        <v>115</v>
      </c>
      <c r="B116" s="14">
        <v>45878</v>
      </c>
      <c r="C116" s="15">
        <v>2.25</v>
      </c>
      <c r="D116" s="15">
        <v>0</v>
      </c>
      <c r="E116" s="15">
        <v>0</v>
      </c>
      <c r="F116" s="15">
        <v>3.66</v>
      </c>
      <c r="G116" s="15">
        <v>0</v>
      </c>
      <c r="H116" s="15">
        <v>0</v>
      </c>
      <c r="I116" s="15">
        <v>0</v>
      </c>
      <c r="J116" s="15">
        <v>10.16</v>
      </c>
      <c r="K116" s="15">
        <v>20.43</v>
      </c>
      <c r="L116" s="15">
        <v>0</v>
      </c>
      <c r="M116" s="15">
        <f t="shared" si="3"/>
        <v>-4.3599999999999994</v>
      </c>
      <c r="N116" s="21">
        <f t="shared" si="4"/>
        <v>0.21341164953499753</v>
      </c>
    </row>
    <row r="117" spans="1:14" x14ac:dyDescent="0.25">
      <c r="A117" s="13">
        <v>116</v>
      </c>
      <c r="B117" s="14">
        <v>45878</v>
      </c>
      <c r="C117" s="15">
        <v>0</v>
      </c>
      <c r="D117" s="15">
        <v>0</v>
      </c>
      <c r="E117" s="15">
        <v>0</v>
      </c>
      <c r="F117" s="15">
        <v>3.66</v>
      </c>
      <c r="G117" s="15">
        <v>0</v>
      </c>
      <c r="H117" s="15">
        <v>0</v>
      </c>
      <c r="I117" s="15">
        <v>0</v>
      </c>
      <c r="J117" s="15">
        <v>6.99</v>
      </c>
      <c r="K117" s="15">
        <v>13.92</v>
      </c>
      <c r="L117" s="15">
        <v>0.7</v>
      </c>
      <c r="M117" s="15">
        <f t="shared" si="3"/>
        <v>-2.5700000000000003</v>
      </c>
      <c r="N117" s="21">
        <f t="shared" si="4"/>
        <v>0.19440242057488655</v>
      </c>
    </row>
    <row r="118" spans="1:14" x14ac:dyDescent="0.25">
      <c r="A118" s="13">
        <v>117</v>
      </c>
      <c r="B118" s="14">
        <v>45878</v>
      </c>
      <c r="C118" s="15">
        <v>0</v>
      </c>
      <c r="D118" s="15">
        <v>0</v>
      </c>
      <c r="E118" s="15">
        <v>0</v>
      </c>
      <c r="F118" s="15">
        <v>0</v>
      </c>
      <c r="G118" s="15">
        <v>0</v>
      </c>
      <c r="H118" s="15">
        <v>0</v>
      </c>
      <c r="I118" s="15">
        <v>0</v>
      </c>
      <c r="J118" s="15">
        <v>8.57</v>
      </c>
      <c r="K118" s="15">
        <v>10.01</v>
      </c>
      <c r="L118" s="15">
        <v>0.06</v>
      </c>
      <c r="M118" s="15">
        <f t="shared" si="3"/>
        <v>-1.379999999999999</v>
      </c>
      <c r="N118" s="21">
        <f t="shared" si="4"/>
        <v>0.13869346733668333</v>
      </c>
    </row>
    <row r="119" spans="1:14" x14ac:dyDescent="0.25">
      <c r="A119" s="13">
        <v>118</v>
      </c>
      <c r="B119" s="14">
        <v>45878</v>
      </c>
      <c r="C119" s="15">
        <v>0</v>
      </c>
      <c r="D119" s="15">
        <v>0</v>
      </c>
      <c r="E119" s="15">
        <v>0</v>
      </c>
      <c r="F119" s="15">
        <v>3.66</v>
      </c>
      <c r="G119" s="15">
        <v>0</v>
      </c>
      <c r="H119" s="15">
        <v>0</v>
      </c>
      <c r="I119" s="15">
        <v>0</v>
      </c>
      <c r="J119" s="15">
        <v>22.02</v>
      </c>
      <c r="K119" s="15">
        <v>31.5</v>
      </c>
      <c r="L119" s="15">
        <v>0</v>
      </c>
      <c r="M119" s="15">
        <f t="shared" si="3"/>
        <v>-5.82</v>
      </c>
      <c r="N119" s="21">
        <f t="shared" si="4"/>
        <v>0.18476190476190477</v>
      </c>
    </row>
    <row r="120" spans="1:14" x14ac:dyDescent="0.25">
      <c r="A120" s="13">
        <v>119</v>
      </c>
      <c r="B120" s="14">
        <v>45878</v>
      </c>
      <c r="C120" s="15">
        <v>0</v>
      </c>
      <c r="D120" s="15">
        <v>0</v>
      </c>
      <c r="E120" s="15">
        <v>0</v>
      </c>
      <c r="F120" s="15">
        <v>0</v>
      </c>
      <c r="G120" s="15">
        <v>0</v>
      </c>
      <c r="H120" s="15">
        <v>0</v>
      </c>
      <c r="I120" s="15">
        <v>3</v>
      </c>
      <c r="J120" s="15">
        <v>17.32</v>
      </c>
      <c r="K120" s="15">
        <v>19.920000000000002</v>
      </c>
      <c r="L120" s="15">
        <v>6.97</v>
      </c>
      <c r="M120" s="15">
        <f t="shared" si="3"/>
        <v>4.3699999999999974</v>
      </c>
      <c r="N120" s="21">
        <f t="shared" si="4"/>
        <v>0.33745173745173718</v>
      </c>
    </row>
    <row r="121" spans="1:14" x14ac:dyDescent="0.25">
      <c r="A121" s="13">
        <v>120</v>
      </c>
      <c r="B121" s="14">
        <v>45878</v>
      </c>
      <c r="C121" s="15">
        <v>0</v>
      </c>
      <c r="D121" s="15">
        <v>0</v>
      </c>
      <c r="E121" s="15">
        <v>0</v>
      </c>
      <c r="F121" s="15">
        <v>0</v>
      </c>
      <c r="G121" s="15">
        <v>0.51</v>
      </c>
      <c r="H121" s="15">
        <v>0</v>
      </c>
      <c r="I121" s="15">
        <v>0</v>
      </c>
      <c r="J121" s="15">
        <v>33.03</v>
      </c>
      <c r="K121" s="15">
        <v>38.159999999999997</v>
      </c>
      <c r="L121" s="15">
        <v>3.6</v>
      </c>
      <c r="M121" s="15">
        <f t="shared" si="3"/>
        <v>-1.019999999999996</v>
      </c>
      <c r="N121" s="21">
        <f t="shared" si="4"/>
        <v>2.9513888888888777E-2</v>
      </c>
    </row>
    <row r="122" spans="1:14" x14ac:dyDescent="0.25">
      <c r="A122" s="13">
        <v>121</v>
      </c>
      <c r="B122" s="14">
        <v>45878</v>
      </c>
      <c r="C122" s="15">
        <v>3.75</v>
      </c>
      <c r="D122" s="15">
        <v>0</v>
      </c>
      <c r="E122" s="15">
        <v>0</v>
      </c>
      <c r="F122" s="15">
        <v>0</v>
      </c>
      <c r="G122" s="15">
        <v>0</v>
      </c>
      <c r="H122" s="15">
        <v>0</v>
      </c>
      <c r="I122" s="15">
        <v>0</v>
      </c>
      <c r="J122" s="15">
        <v>21.24</v>
      </c>
      <c r="K122" s="15">
        <v>28.39</v>
      </c>
      <c r="L122" s="15">
        <v>1.84</v>
      </c>
      <c r="M122" s="15">
        <f t="shared" si="3"/>
        <v>-1.5600000000000023</v>
      </c>
      <c r="N122" s="21">
        <f t="shared" si="4"/>
        <v>5.875706214689274E-2</v>
      </c>
    </row>
    <row r="123" spans="1:14" x14ac:dyDescent="0.25">
      <c r="A123" s="13">
        <v>122</v>
      </c>
      <c r="B123" s="14">
        <v>45878</v>
      </c>
      <c r="C123" s="15">
        <v>1.75</v>
      </c>
      <c r="D123" s="15">
        <v>0</v>
      </c>
      <c r="E123" s="15">
        <v>0</v>
      </c>
      <c r="F123" s="15">
        <v>0</v>
      </c>
      <c r="G123" s="15">
        <v>0</v>
      </c>
      <c r="H123" s="15">
        <v>0</v>
      </c>
      <c r="I123" s="15">
        <v>0</v>
      </c>
      <c r="J123" s="15">
        <v>7.61</v>
      </c>
      <c r="K123" s="15">
        <v>11.01</v>
      </c>
      <c r="L123" s="15">
        <v>0.05</v>
      </c>
      <c r="M123" s="15">
        <f t="shared" si="3"/>
        <v>-1.5999999999999996</v>
      </c>
      <c r="N123" s="21">
        <f t="shared" si="4"/>
        <v>0.145985401459854</v>
      </c>
    </row>
    <row r="124" spans="1:14" x14ac:dyDescent="0.25">
      <c r="A124" s="13">
        <v>123</v>
      </c>
      <c r="B124" s="14">
        <v>45878</v>
      </c>
      <c r="C124" s="15">
        <v>0</v>
      </c>
      <c r="D124" s="15">
        <v>0</v>
      </c>
      <c r="E124" s="15">
        <v>0</v>
      </c>
      <c r="F124" s="15">
        <v>0</v>
      </c>
      <c r="G124" s="15">
        <v>0</v>
      </c>
      <c r="H124" s="15">
        <v>0</v>
      </c>
      <c r="I124" s="15">
        <v>0</v>
      </c>
      <c r="J124" s="15">
        <v>8.25</v>
      </c>
      <c r="K124" s="15">
        <v>9.65</v>
      </c>
      <c r="L124" s="15">
        <v>1.73</v>
      </c>
      <c r="M124" s="15">
        <f t="shared" si="3"/>
        <v>0.33000000000000007</v>
      </c>
      <c r="N124" s="21">
        <f t="shared" si="4"/>
        <v>4.1666666666666678E-2</v>
      </c>
    </row>
    <row r="125" spans="1:14" x14ac:dyDescent="0.25">
      <c r="A125" s="13">
        <v>124</v>
      </c>
      <c r="B125" s="14">
        <v>45880</v>
      </c>
      <c r="C125" s="15">
        <v>3.75</v>
      </c>
      <c r="D125" s="15">
        <v>0</v>
      </c>
      <c r="E125" s="15">
        <v>0</v>
      </c>
      <c r="F125" s="15">
        <v>0</v>
      </c>
      <c r="G125" s="15">
        <v>0</v>
      </c>
      <c r="H125" s="15">
        <v>0</v>
      </c>
      <c r="I125" s="15">
        <v>0</v>
      </c>
      <c r="J125" s="15">
        <v>14.74</v>
      </c>
      <c r="K125" s="15">
        <v>20.74</v>
      </c>
      <c r="L125" s="15">
        <v>1.81</v>
      </c>
      <c r="M125" s="15">
        <f t="shared" si="3"/>
        <v>-0.43999999999999773</v>
      </c>
      <c r="N125" s="21">
        <f t="shared" si="4"/>
        <v>2.3243528790279858E-2</v>
      </c>
    </row>
    <row r="126" spans="1:14" x14ac:dyDescent="0.25">
      <c r="A126" s="13">
        <v>125</v>
      </c>
      <c r="B126" s="14">
        <v>45880</v>
      </c>
      <c r="C126" s="15">
        <v>0</v>
      </c>
      <c r="D126" s="15">
        <v>0</v>
      </c>
      <c r="E126" s="15">
        <v>0</v>
      </c>
      <c r="F126" s="15">
        <v>0</v>
      </c>
      <c r="G126" s="15">
        <v>0</v>
      </c>
      <c r="H126" s="15">
        <v>0</v>
      </c>
      <c r="I126" s="15">
        <v>0</v>
      </c>
      <c r="J126" s="15">
        <v>10.45</v>
      </c>
      <c r="K126" s="15">
        <v>12.2</v>
      </c>
      <c r="L126" s="15">
        <v>1.27</v>
      </c>
      <c r="M126" s="15">
        <f t="shared" si="3"/>
        <v>-0.48000000000000043</v>
      </c>
      <c r="N126" s="21">
        <f t="shared" si="4"/>
        <v>4.391582799634039E-2</v>
      </c>
    </row>
    <row r="127" spans="1:14" x14ac:dyDescent="0.25">
      <c r="A127" s="13">
        <v>126</v>
      </c>
      <c r="B127" s="14">
        <v>45880</v>
      </c>
      <c r="C127" s="15">
        <v>0</v>
      </c>
      <c r="D127" s="15">
        <v>0</v>
      </c>
      <c r="E127" s="15">
        <v>0</v>
      </c>
      <c r="F127" s="15">
        <v>0</v>
      </c>
      <c r="G127" s="15">
        <v>0.17</v>
      </c>
      <c r="H127" s="15">
        <v>0</v>
      </c>
      <c r="I127" s="15">
        <v>0</v>
      </c>
      <c r="J127" s="15">
        <v>8.64</v>
      </c>
      <c r="K127" s="15">
        <v>11.11</v>
      </c>
      <c r="L127" s="15">
        <v>0</v>
      </c>
      <c r="M127" s="15">
        <f t="shared" si="3"/>
        <v>-2.2999999999999989</v>
      </c>
      <c r="N127" s="21">
        <f t="shared" si="4"/>
        <v>0.20702070207020692</v>
      </c>
    </row>
    <row r="128" spans="1:14" x14ac:dyDescent="0.25">
      <c r="A128" s="13">
        <v>127</v>
      </c>
      <c r="B128" s="14">
        <v>45880</v>
      </c>
      <c r="C128" s="15">
        <v>0</v>
      </c>
      <c r="D128" s="15">
        <v>0</v>
      </c>
      <c r="E128" s="15">
        <v>0</v>
      </c>
      <c r="F128" s="15">
        <v>0</v>
      </c>
      <c r="G128" s="15">
        <v>0.69</v>
      </c>
      <c r="H128" s="15">
        <v>0</v>
      </c>
      <c r="I128" s="15">
        <v>0</v>
      </c>
      <c r="J128" s="15">
        <v>11.28</v>
      </c>
      <c r="K128" s="15">
        <v>13.83</v>
      </c>
      <c r="L128" s="15">
        <v>0.11</v>
      </c>
      <c r="M128" s="15">
        <f t="shared" si="3"/>
        <v>-1.7500000000000018</v>
      </c>
      <c r="N128" s="21">
        <f t="shared" si="4"/>
        <v>0.12755102040816338</v>
      </c>
    </row>
    <row r="129" spans="1:14" x14ac:dyDescent="0.25">
      <c r="A129" s="13">
        <v>128</v>
      </c>
      <c r="B129" s="14">
        <v>45891</v>
      </c>
      <c r="C129" s="15">
        <v>0</v>
      </c>
      <c r="D129" s="15">
        <v>0</v>
      </c>
      <c r="E129" s="15">
        <v>0</v>
      </c>
      <c r="F129" s="15">
        <v>0</v>
      </c>
      <c r="G129" s="15">
        <v>0</v>
      </c>
      <c r="H129" s="15">
        <v>0</v>
      </c>
      <c r="I129" s="15">
        <v>0</v>
      </c>
      <c r="J129" s="15">
        <v>15.76</v>
      </c>
      <c r="K129" s="15">
        <v>17.82</v>
      </c>
      <c r="L129" s="15">
        <v>3.45</v>
      </c>
      <c r="M129" s="15">
        <f t="shared" si="3"/>
        <v>1.3899999999999988</v>
      </c>
      <c r="N129" s="21">
        <f t="shared" si="4"/>
        <v>9.6729297146833593E-2</v>
      </c>
    </row>
    <row r="130" spans="1:14" x14ac:dyDescent="0.25">
      <c r="A130" s="13">
        <v>129</v>
      </c>
      <c r="B130" s="14">
        <v>45891</v>
      </c>
      <c r="C130" s="15">
        <v>0</v>
      </c>
      <c r="D130" s="15">
        <v>0</v>
      </c>
      <c r="E130" s="15">
        <v>0</v>
      </c>
      <c r="F130" s="15">
        <v>0</v>
      </c>
      <c r="G130" s="15">
        <v>0</v>
      </c>
      <c r="H130" s="15">
        <v>0</v>
      </c>
      <c r="I130" s="15">
        <v>0</v>
      </c>
      <c r="J130" s="15">
        <v>14.92</v>
      </c>
      <c r="K130" s="15">
        <v>16.72</v>
      </c>
      <c r="L130" s="15">
        <v>3.78</v>
      </c>
      <c r="M130" s="15">
        <f t="shared" si="3"/>
        <v>1.9800000000000004</v>
      </c>
      <c r="N130" s="21">
        <f t="shared" si="4"/>
        <v>0.15301391035548689</v>
      </c>
    </row>
    <row r="131" spans="1:14" x14ac:dyDescent="0.25">
      <c r="A131" s="13">
        <v>130</v>
      </c>
      <c r="B131" s="14">
        <v>45891</v>
      </c>
      <c r="C131" s="15">
        <v>0</v>
      </c>
      <c r="D131" s="15">
        <v>0</v>
      </c>
      <c r="E131" s="15">
        <v>0</v>
      </c>
      <c r="F131" s="15">
        <v>0</v>
      </c>
      <c r="G131" s="15">
        <v>0.56000000000000005</v>
      </c>
      <c r="H131" s="15">
        <v>0</v>
      </c>
      <c r="I131" s="15">
        <v>0</v>
      </c>
      <c r="J131" s="15">
        <v>10.44</v>
      </c>
      <c r="K131" s="15">
        <v>12.53</v>
      </c>
      <c r="L131" s="15">
        <v>1.91</v>
      </c>
      <c r="M131" s="15">
        <f t="shared" ref="M131:M194" si="5">((C131+D131+E131+F131+G131+H131+J131)-(K131-L131))</f>
        <v>0.38000000000000078</v>
      </c>
      <c r="N131" s="21">
        <f t="shared" si="4"/>
        <v>3.5781544256120602E-2</v>
      </c>
    </row>
    <row r="132" spans="1:14" x14ac:dyDescent="0.25">
      <c r="A132" s="13">
        <v>131</v>
      </c>
      <c r="B132" s="14">
        <v>45892</v>
      </c>
      <c r="C132" s="15">
        <v>3.25</v>
      </c>
      <c r="D132" s="15">
        <v>0</v>
      </c>
      <c r="E132" s="15">
        <v>0</v>
      </c>
      <c r="F132" s="15">
        <v>0</v>
      </c>
      <c r="G132" s="15">
        <v>0</v>
      </c>
      <c r="H132" s="15">
        <v>0</v>
      </c>
      <c r="I132" s="15">
        <v>0</v>
      </c>
      <c r="J132" s="15">
        <v>8.8000000000000007</v>
      </c>
      <c r="K132" s="15">
        <v>13.86</v>
      </c>
      <c r="L132" s="15">
        <v>4.3499999999999996</v>
      </c>
      <c r="M132" s="15">
        <f t="shared" si="5"/>
        <v>2.5400000000000009</v>
      </c>
      <c r="N132" s="21">
        <f t="shared" si="4"/>
        <v>0.26708727655099906</v>
      </c>
    </row>
    <row r="133" spans="1:14" x14ac:dyDescent="0.25">
      <c r="A133" s="13">
        <v>132</v>
      </c>
      <c r="B133" s="14">
        <v>45892</v>
      </c>
      <c r="C133" s="15">
        <v>0</v>
      </c>
      <c r="D133" s="15">
        <v>0</v>
      </c>
      <c r="E133" s="15">
        <v>0</v>
      </c>
      <c r="F133" s="15">
        <v>0</v>
      </c>
      <c r="G133" s="15">
        <v>0</v>
      </c>
      <c r="H133" s="15">
        <v>0</v>
      </c>
      <c r="I133" s="15">
        <v>0</v>
      </c>
      <c r="J133" s="15">
        <v>4.57</v>
      </c>
      <c r="K133" s="15">
        <v>5.25</v>
      </c>
      <c r="L133" s="15">
        <v>0</v>
      </c>
      <c r="M133" s="15">
        <f t="shared" si="5"/>
        <v>-0.67999999999999972</v>
      </c>
      <c r="N133" s="21">
        <f t="shared" si="4"/>
        <v>0.12952380952380946</v>
      </c>
    </row>
    <row r="134" spans="1:14" x14ac:dyDescent="0.25">
      <c r="A134" s="13">
        <v>133</v>
      </c>
      <c r="B134" s="14">
        <v>45892</v>
      </c>
      <c r="C134" s="15">
        <v>0</v>
      </c>
      <c r="D134" s="15">
        <v>0</v>
      </c>
      <c r="E134" s="15">
        <v>0</v>
      </c>
      <c r="F134" s="15">
        <v>0</v>
      </c>
      <c r="G134" s="15">
        <v>0</v>
      </c>
      <c r="H134" s="15">
        <v>0</v>
      </c>
      <c r="I134" s="15">
        <v>0</v>
      </c>
      <c r="J134" s="15">
        <v>7.76</v>
      </c>
      <c r="K134" s="15">
        <v>12.94</v>
      </c>
      <c r="L134" s="15">
        <v>0</v>
      </c>
      <c r="M134" s="15">
        <f t="shared" si="5"/>
        <v>-5.18</v>
      </c>
      <c r="N134" s="21">
        <f t="shared" si="4"/>
        <v>0.40030911901081917</v>
      </c>
    </row>
    <row r="135" spans="1:14" x14ac:dyDescent="0.25">
      <c r="A135" s="13">
        <v>134</v>
      </c>
      <c r="B135" s="14">
        <v>45892</v>
      </c>
      <c r="C135" s="15">
        <v>1.5</v>
      </c>
      <c r="D135" s="15">
        <v>0</v>
      </c>
      <c r="E135" s="15">
        <v>0</v>
      </c>
      <c r="F135" s="15">
        <v>0</v>
      </c>
      <c r="G135" s="15">
        <v>0</v>
      </c>
      <c r="H135" s="15">
        <v>0</v>
      </c>
      <c r="I135" s="15">
        <v>0</v>
      </c>
      <c r="J135" s="15">
        <v>6.99</v>
      </c>
      <c r="K135" s="15">
        <v>11.98</v>
      </c>
      <c r="L135" s="15">
        <v>0</v>
      </c>
      <c r="M135" s="15">
        <f t="shared" si="5"/>
        <v>-3.49</v>
      </c>
      <c r="N135" s="21">
        <f t="shared" si="4"/>
        <v>0.29131886477462438</v>
      </c>
    </row>
    <row r="136" spans="1:14" x14ac:dyDescent="0.25">
      <c r="A136" s="13">
        <v>135</v>
      </c>
      <c r="B136" s="14">
        <v>45892</v>
      </c>
      <c r="C136" s="15">
        <v>2.5</v>
      </c>
      <c r="D136" s="15">
        <v>0</v>
      </c>
      <c r="E136" s="15">
        <v>0</v>
      </c>
      <c r="F136" s="15">
        <v>3.66</v>
      </c>
      <c r="G136" s="15">
        <v>0</v>
      </c>
      <c r="H136" s="15">
        <v>0</v>
      </c>
      <c r="I136" s="15">
        <v>0</v>
      </c>
      <c r="J136" s="15">
        <v>22.26</v>
      </c>
      <c r="K136" s="15">
        <v>32.299999999999997</v>
      </c>
      <c r="L136" s="15">
        <v>0</v>
      </c>
      <c r="M136" s="15">
        <f t="shared" si="5"/>
        <v>-3.8799999999999955</v>
      </c>
      <c r="N136" s="21">
        <f t="shared" si="4"/>
        <v>0.12012383900928779</v>
      </c>
    </row>
    <row r="137" spans="1:14" x14ac:dyDescent="0.25">
      <c r="A137" s="13">
        <v>136</v>
      </c>
      <c r="B137" s="14">
        <v>45892</v>
      </c>
      <c r="C137" s="15">
        <v>2.25</v>
      </c>
      <c r="D137" s="15">
        <v>0</v>
      </c>
      <c r="E137" s="15">
        <v>0</v>
      </c>
      <c r="F137" s="15">
        <v>0</v>
      </c>
      <c r="G137" s="15">
        <v>1.79</v>
      </c>
      <c r="H137" s="15">
        <v>0</v>
      </c>
      <c r="I137" s="15">
        <v>0</v>
      </c>
      <c r="J137" s="15">
        <v>20.91</v>
      </c>
      <c r="K137" s="15">
        <v>37.94</v>
      </c>
      <c r="L137" s="15">
        <v>0</v>
      </c>
      <c r="M137" s="15">
        <f t="shared" si="5"/>
        <v>-12.989999999999998</v>
      </c>
      <c r="N137" s="21">
        <f t="shared" si="4"/>
        <v>0.34238270954138111</v>
      </c>
    </row>
    <row r="138" spans="1:14" x14ac:dyDescent="0.25">
      <c r="A138" s="13">
        <v>137</v>
      </c>
      <c r="B138" s="14">
        <v>45892</v>
      </c>
      <c r="C138" s="15">
        <v>1.75</v>
      </c>
      <c r="D138" s="15">
        <v>0</v>
      </c>
      <c r="E138" s="15">
        <v>0</v>
      </c>
      <c r="F138" s="15">
        <v>0</v>
      </c>
      <c r="G138" s="15">
        <v>0</v>
      </c>
      <c r="H138" s="15">
        <v>0</v>
      </c>
      <c r="I138" s="15">
        <v>0</v>
      </c>
      <c r="J138" s="15">
        <v>7.21</v>
      </c>
      <c r="K138" s="15">
        <v>14.94</v>
      </c>
      <c r="L138" s="15">
        <v>0</v>
      </c>
      <c r="M138" s="15">
        <f t="shared" si="5"/>
        <v>-5.9799999999999986</v>
      </c>
      <c r="N138" s="21">
        <f t="shared" si="4"/>
        <v>0.40026773761713513</v>
      </c>
    </row>
    <row r="139" spans="1:14" x14ac:dyDescent="0.25">
      <c r="A139" s="13">
        <v>138</v>
      </c>
      <c r="B139" s="14">
        <v>45892</v>
      </c>
      <c r="C139" s="15">
        <v>9.25</v>
      </c>
      <c r="D139" s="15">
        <v>0</v>
      </c>
      <c r="E139" s="15">
        <v>0</v>
      </c>
      <c r="F139" s="15">
        <v>0</v>
      </c>
      <c r="G139" s="15">
        <v>0</v>
      </c>
      <c r="H139" s="15">
        <v>0</v>
      </c>
      <c r="I139" s="15">
        <v>0</v>
      </c>
      <c r="J139" s="15">
        <v>9.56</v>
      </c>
      <c r="K139" s="15">
        <v>20.7</v>
      </c>
      <c r="L139" s="15">
        <v>6.78</v>
      </c>
      <c r="M139" s="15">
        <f t="shared" si="5"/>
        <v>4.8900000000000041</v>
      </c>
      <c r="N139" s="21">
        <f t="shared" si="4"/>
        <v>0.35129310344827619</v>
      </c>
    </row>
    <row r="140" spans="1:14" x14ac:dyDescent="0.25">
      <c r="A140" s="13">
        <v>139</v>
      </c>
      <c r="B140" s="14">
        <v>45892</v>
      </c>
      <c r="C140" s="15">
        <v>1.25</v>
      </c>
      <c r="D140" s="15">
        <v>0</v>
      </c>
      <c r="E140" s="15">
        <v>0</v>
      </c>
      <c r="F140" s="15">
        <v>0</v>
      </c>
      <c r="G140" s="15">
        <v>0</v>
      </c>
      <c r="H140" s="15">
        <v>0</v>
      </c>
      <c r="I140" s="15">
        <v>0</v>
      </c>
      <c r="J140" s="15">
        <v>8.02</v>
      </c>
      <c r="K140" s="15">
        <v>10.87</v>
      </c>
      <c r="L140" s="15">
        <v>0.97</v>
      </c>
      <c r="M140" s="15">
        <f t="shared" si="5"/>
        <v>-0.62999999999999901</v>
      </c>
      <c r="N140" s="21">
        <f t="shared" si="4"/>
        <v>6.3636363636363547E-2</v>
      </c>
    </row>
    <row r="141" spans="1:14" x14ac:dyDescent="0.25">
      <c r="A141" s="13">
        <v>140</v>
      </c>
      <c r="B141" s="14">
        <v>45892</v>
      </c>
      <c r="C141" s="15">
        <v>0</v>
      </c>
      <c r="D141" s="15">
        <v>0</v>
      </c>
      <c r="E141" s="15">
        <v>0</v>
      </c>
      <c r="F141" s="15">
        <v>0</v>
      </c>
      <c r="G141" s="15">
        <v>0</v>
      </c>
      <c r="H141" s="15">
        <v>0</v>
      </c>
      <c r="I141" s="15">
        <v>0</v>
      </c>
      <c r="J141" s="15">
        <v>20.81</v>
      </c>
      <c r="K141" s="15">
        <v>27.9</v>
      </c>
      <c r="L141" s="15">
        <v>0</v>
      </c>
      <c r="M141" s="15">
        <f t="shared" si="5"/>
        <v>-7.09</v>
      </c>
      <c r="N141" s="21">
        <f t="shared" si="4"/>
        <v>0.25412186379928314</v>
      </c>
    </row>
    <row r="142" spans="1:14" x14ac:dyDescent="0.25">
      <c r="A142" s="13">
        <v>141</v>
      </c>
      <c r="B142" s="14">
        <v>45900</v>
      </c>
      <c r="C142" s="15">
        <v>0</v>
      </c>
      <c r="D142" s="15">
        <v>0</v>
      </c>
      <c r="E142" s="15">
        <v>0</v>
      </c>
      <c r="F142" s="15">
        <v>3.66</v>
      </c>
      <c r="G142" s="15">
        <v>0.6</v>
      </c>
      <c r="H142" s="15">
        <v>0</v>
      </c>
      <c r="I142" s="15">
        <v>0</v>
      </c>
      <c r="J142" s="15">
        <v>7.65</v>
      </c>
      <c r="K142" s="15">
        <v>15.42</v>
      </c>
      <c r="L142" s="15">
        <v>0</v>
      </c>
      <c r="M142" s="15">
        <f t="shared" si="5"/>
        <v>-3.51</v>
      </c>
      <c r="N142" s="21">
        <f t="shared" si="4"/>
        <v>0.22762645914396887</v>
      </c>
    </row>
    <row r="143" spans="1:14" x14ac:dyDescent="0.25">
      <c r="A143" s="13">
        <v>142</v>
      </c>
      <c r="B143" s="14">
        <v>45900</v>
      </c>
      <c r="C143" s="15">
        <v>2.5</v>
      </c>
      <c r="D143" s="15">
        <v>0</v>
      </c>
      <c r="E143" s="15">
        <v>0</v>
      </c>
      <c r="F143" s="15">
        <v>0</v>
      </c>
      <c r="G143" s="15">
        <v>0.43</v>
      </c>
      <c r="H143" s="15">
        <v>0</v>
      </c>
      <c r="I143" s="15">
        <v>0</v>
      </c>
      <c r="J143" s="15">
        <v>11.86</v>
      </c>
      <c r="K143" s="15">
        <v>18.47</v>
      </c>
      <c r="L143" s="15">
        <v>0</v>
      </c>
      <c r="M143" s="15">
        <f t="shared" si="5"/>
        <v>-3.6799999999999997</v>
      </c>
      <c r="N143" s="21">
        <f t="shared" si="4"/>
        <v>0.19924201407688141</v>
      </c>
    </row>
    <row r="144" spans="1:14" x14ac:dyDescent="0.25">
      <c r="A144" s="13">
        <v>143</v>
      </c>
      <c r="B144" s="14">
        <v>45900</v>
      </c>
      <c r="C144" s="15">
        <v>0</v>
      </c>
      <c r="D144" s="15">
        <v>0</v>
      </c>
      <c r="E144" s="15">
        <v>0</v>
      </c>
      <c r="F144" s="15">
        <v>0</v>
      </c>
      <c r="G144" s="15">
        <v>0</v>
      </c>
      <c r="H144" s="15">
        <v>0</v>
      </c>
      <c r="I144" s="15">
        <v>0</v>
      </c>
      <c r="J144" s="15">
        <v>8.82</v>
      </c>
      <c r="K144" s="15">
        <v>12.91</v>
      </c>
      <c r="L144" s="15">
        <v>0</v>
      </c>
      <c r="M144" s="15">
        <f t="shared" si="5"/>
        <v>-4.09</v>
      </c>
      <c r="N144" s="21">
        <f t="shared" si="4"/>
        <v>0.31680867544539115</v>
      </c>
    </row>
    <row r="145" spans="1:14" x14ac:dyDescent="0.25">
      <c r="A145" s="13">
        <v>144</v>
      </c>
      <c r="B145" s="14">
        <v>45900</v>
      </c>
      <c r="C145" s="15">
        <v>0</v>
      </c>
      <c r="D145" s="15">
        <v>0</v>
      </c>
      <c r="E145" s="15">
        <v>0</v>
      </c>
      <c r="F145" s="15">
        <v>0</v>
      </c>
      <c r="G145" s="15">
        <v>0</v>
      </c>
      <c r="H145" s="15">
        <v>0</v>
      </c>
      <c r="I145" s="15">
        <v>0</v>
      </c>
      <c r="J145" s="15">
        <v>10.23</v>
      </c>
      <c r="K145" s="15">
        <v>12.92</v>
      </c>
      <c r="L145" s="15">
        <v>0</v>
      </c>
      <c r="M145" s="15">
        <f t="shared" si="5"/>
        <v>-2.6899999999999995</v>
      </c>
      <c r="N145" s="21">
        <f t="shared" si="4"/>
        <v>0.20820433436532504</v>
      </c>
    </row>
    <row r="146" spans="1:14" x14ac:dyDescent="0.25">
      <c r="A146" s="13">
        <v>145</v>
      </c>
      <c r="B146" s="14">
        <v>45900</v>
      </c>
      <c r="C146" s="15">
        <v>0</v>
      </c>
      <c r="D146" s="15">
        <v>0</v>
      </c>
      <c r="E146" s="15">
        <v>0</v>
      </c>
      <c r="F146" s="15">
        <v>0</v>
      </c>
      <c r="G146" s="15">
        <v>0</v>
      </c>
      <c r="H146" s="15">
        <v>0</v>
      </c>
      <c r="I146" s="15">
        <v>0</v>
      </c>
      <c r="J146" s="15">
        <v>4.57</v>
      </c>
      <c r="K146" s="15">
        <v>5.25</v>
      </c>
      <c r="L146" s="15">
        <v>0</v>
      </c>
      <c r="M146" s="15">
        <f t="shared" si="5"/>
        <v>-0.67999999999999972</v>
      </c>
      <c r="N146" s="21">
        <f t="shared" si="4"/>
        <v>0.12952380952380946</v>
      </c>
    </row>
    <row r="147" spans="1:14" x14ac:dyDescent="0.25">
      <c r="A147" s="13">
        <v>146</v>
      </c>
      <c r="B147" s="14">
        <v>45900</v>
      </c>
      <c r="C147" s="15">
        <v>1</v>
      </c>
      <c r="D147" s="15">
        <v>0</v>
      </c>
      <c r="E147" s="15">
        <v>0</v>
      </c>
      <c r="F147" s="15">
        <v>0</v>
      </c>
      <c r="G147" s="15">
        <v>0</v>
      </c>
      <c r="H147" s="15">
        <v>0</v>
      </c>
      <c r="I147" s="15">
        <v>0</v>
      </c>
      <c r="J147" s="15">
        <v>6.99</v>
      </c>
      <c r="K147" s="15">
        <v>11.94</v>
      </c>
      <c r="L147" s="15">
        <v>0</v>
      </c>
      <c r="M147" s="15">
        <f t="shared" si="5"/>
        <v>-3.9499999999999993</v>
      </c>
      <c r="N147" s="21">
        <f t="shared" si="4"/>
        <v>0.33082077051926295</v>
      </c>
    </row>
    <row r="148" spans="1:14" x14ac:dyDescent="0.25">
      <c r="A148" s="13">
        <v>147</v>
      </c>
      <c r="B148" s="14">
        <v>45900</v>
      </c>
      <c r="C148" s="15">
        <v>1.25</v>
      </c>
      <c r="D148" s="15">
        <v>0</v>
      </c>
      <c r="E148" s="15">
        <v>0</v>
      </c>
      <c r="F148" s="15">
        <v>0</v>
      </c>
      <c r="G148" s="15">
        <v>0</v>
      </c>
      <c r="H148" s="15">
        <v>0</v>
      </c>
      <c r="I148" s="15">
        <v>0</v>
      </c>
      <c r="J148" s="15">
        <v>24.67</v>
      </c>
      <c r="K148" s="15">
        <v>28.76</v>
      </c>
      <c r="L148" s="15">
        <v>12.32</v>
      </c>
      <c r="M148" s="15">
        <f t="shared" si="5"/>
        <v>9.48</v>
      </c>
      <c r="N148" s="21">
        <f t="shared" ref="N148:N404" si="6">ABS(M148/(K148-L148))</f>
        <v>0.57664233576642332</v>
      </c>
    </row>
    <row r="149" spans="1:14" x14ac:dyDescent="0.25">
      <c r="A149" s="13">
        <v>148</v>
      </c>
      <c r="B149" s="14">
        <v>45900</v>
      </c>
      <c r="C149" s="15">
        <v>0</v>
      </c>
      <c r="D149" s="15">
        <v>0</v>
      </c>
      <c r="E149" s="15">
        <v>0</v>
      </c>
      <c r="F149" s="15">
        <v>3.66</v>
      </c>
      <c r="G149" s="15">
        <v>0</v>
      </c>
      <c r="H149" s="15">
        <v>0</v>
      </c>
      <c r="I149" s="15">
        <v>0</v>
      </c>
      <c r="J149" s="15">
        <v>17.239999999999998</v>
      </c>
      <c r="K149" s="15">
        <v>30.2</v>
      </c>
      <c r="L149" s="15">
        <v>0</v>
      </c>
      <c r="M149" s="15">
        <f t="shared" si="5"/>
        <v>-9.3000000000000007</v>
      </c>
      <c r="N149" s="21">
        <f t="shared" si="6"/>
        <v>0.30794701986754969</v>
      </c>
    </row>
    <row r="150" spans="1:14" x14ac:dyDescent="0.25">
      <c r="A150" s="13">
        <v>149</v>
      </c>
      <c r="B150" s="14">
        <v>45900</v>
      </c>
      <c r="C150" s="15">
        <v>3.25</v>
      </c>
      <c r="D150" s="15">
        <v>0</v>
      </c>
      <c r="E150" s="15">
        <v>0</v>
      </c>
      <c r="F150" s="15">
        <v>0</v>
      </c>
      <c r="G150" s="15">
        <v>0</v>
      </c>
      <c r="H150" s="15">
        <v>0</v>
      </c>
      <c r="I150" s="15">
        <v>0</v>
      </c>
      <c r="J150" s="15">
        <v>13.12</v>
      </c>
      <c r="K150" s="15">
        <v>19.96</v>
      </c>
      <c r="L150" s="15">
        <v>0</v>
      </c>
      <c r="M150" s="15">
        <f t="shared" si="5"/>
        <v>-3.5900000000000034</v>
      </c>
      <c r="N150" s="21">
        <f t="shared" si="6"/>
        <v>0.17985971943887791</v>
      </c>
    </row>
    <row r="151" spans="1:14" x14ac:dyDescent="0.25">
      <c r="A151" s="13">
        <v>150</v>
      </c>
      <c r="B151" s="14">
        <v>45901</v>
      </c>
      <c r="C151" s="15">
        <v>0</v>
      </c>
      <c r="D151" s="15">
        <v>0</v>
      </c>
      <c r="E151" s="15">
        <v>0</v>
      </c>
      <c r="F151" s="15">
        <v>3.66</v>
      </c>
      <c r="G151" s="15">
        <v>0</v>
      </c>
      <c r="H151" s="15">
        <v>0</v>
      </c>
      <c r="I151" s="15">
        <v>0</v>
      </c>
      <c r="J151" s="15">
        <v>6.99</v>
      </c>
      <c r="K151" s="15">
        <v>12.57</v>
      </c>
      <c r="L151" s="15">
        <v>0</v>
      </c>
      <c r="M151" s="15">
        <f t="shared" si="5"/>
        <v>-1.92</v>
      </c>
      <c r="N151" s="21">
        <f t="shared" si="6"/>
        <v>0.15274463007159902</v>
      </c>
    </row>
    <row r="152" spans="1:14" x14ac:dyDescent="0.25">
      <c r="A152" s="13">
        <v>151</v>
      </c>
      <c r="B152" s="14">
        <v>45901</v>
      </c>
      <c r="C152" s="15">
        <v>0</v>
      </c>
      <c r="D152" s="15">
        <v>0</v>
      </c>
      <c r="E152" s="15">
        <v>0</v>
      </c>
      <c r="F152" s="15">
        <v>0</v>
      </c>
      <c r="G152" s="15">
        <v>0</v>
      </c>
      <c r="H152" s="15">
        <v>0</v>
      </c>
      <c r="I152" s="15">
        <v>0</v>
      </c>
      <c r="J152" s="15">
        <v>6.99</v>
      </c>
      <c r="K152" s="15">
        <v>9.9700000000000006</v>
      </c>
      <c r="L152" s="15">
        <v>0</v>
      </c>
      <c r="M152" s="15">
        <f t="shared" si="5"/>
        <v>-2.9800000000000004</v>
      </c>
      <c r="N152" s="21">
        <f t="shared" si="6"/>
        <v>0.29889669007021064</v>
      </c>
    </row>
    <row r="153" spans="1:14" x14ac:dyDescent="0.25">
      <c r="A153" s="13">
        <v>152</v>
      </c>
      <c r="B153" s="14">
        <v>45901</v>
      </c>
      <c r="C153" s="15">
        <v>0</v>
      </c>
      <c r="D153" s="15">
        <v>0</v>
      </c>
      <c r="E153" s="15">
        <v>0</v>
      </c>
      <c r="F153" s="15">
        <v>0</v>
      </c>
      <c r="G153" s="15">
        <v>0</v>
      </c>
      <c r="H153" s="15">
        <v>0</v>
      </c>
      <c r="I153" s="15">
        <v>0</v>
      </c>
      <c r="J153" s="15">
        <v>3.7</v>
      </c>
      <c r="K153" s="15">
        <v>0</v>
      </c>
      <c r="L153" s="15">
        <v>0</v>
      </c>
      <c r="M153" s="15">
        <f t="shared" si="5"/>
        <v>3.7</v>
      </c>
      <c r="N153" s="21">
        <v>0</v>
      </c>
    </row>
    <row r="154" spans="1:14" x14ac:dyDescent="0.25">
      <c r="A154" s="13">
        <v>153</v>
      </c>
      <c r="B154" s="14">
        <v>45901</v>
      </c>
      <c r="C154" s="15">
        <v>0</v>
      </c>
      <c r="D154" s="15">
        <v>0</v>
      </c>
      <c r="E154" s="15">
        <v>0</v>
      </c>
      <c r="F154" s="15">
        <v>0</v>
      </c>
      <c r="G154" s="15">
        <v>0</v>
      </c>
      <c r="H154" s="15">
        <v>0</v>
      </c>
      <c r="I154" s="15">
        <v>0</v>
      </c>
      <c r="J154" s="15">
        <v>12.15</v>
      </c>
      <c r="K154" s="15">
        <v>13.9</v>
      </c>
      <c r="L154" s="15">
        <v>1.96</v>
      </c>
      <c r="M154" s="15">
        <f t="shared" si="5"/>
        <v>0.20999999999999908</v>
      </c>
      <c r="N154" s="21">
        <f t="shared" si="6"/>
        <v>1.7587939698492382E-2</v>
      </c>
    </row>
    <row r="155" spans="1:14" x14ac:dyDescent="0.25">
      <c r="A155" s="13">
        <v>154</v>
      </c>
      <c r="B155" s="14">
        <v>45901</v>
      </c>
      <c r="C155" s="15">
        <v>1.25</v>
      </c>
      <c r="D155" s="15">
        <v>0</v>
      </c>
      <c r="E155" s="15">
        <v>0</v>
      </c>
      <c r="F155" s="15">
        <v>0</v>
      </c>
      <c r="G155" s="15">
        <v>0</v>
      </c>
      <c r="H155" s="15">
        <v>0</v>
      </c>
      <c r="I155" s="15">
        <v>0</v>
      </c>
      <c r="J155" s="15">
        <v>9.5500000000000007</v>
      </c>
      <c r="K155" s="15">
        <v>13.92</v>
      </c>
      <c r="L155" s="15">
        <v>0</v>
      </c>
      <c r="M155" s="15">
        <f t="shared" si="5"/>
        <v>-3.1199999999999992</v>
      </c>
      <c r="N155" s="21">
        <f t="shared" si="6"/>
        <v>0.22413793103448271</v>
      </c>
    </row>
    <row r="156" spans="1:14" x14ac:dyDescent="0.25">
      <c r="A156" s="13">
        <v>155</v>
      </c>
      <c r="B156" s="14">
        <v>45901</v>
      </c>
      <c r="C156" s="15">
        <v>0</v>
      </c>
      <c r="D156" s="15">
        <v>0</v>
      </c>
      <c r="E156" s="15">
        <v>0</v>
      </c>
      <c r="F156" s="15">
        <v>0</v>
      </c>
      <c r="G156" s="15">
        <v>0</v>
      </c>
      <c r="H156" s="15">
        <v>0</v>
      </c>
      <c r="I156" s="15">
        <v>0</v>
      </c>
      <c r="J156" s="15">
        <v>4.57</v>
      </c>
      <c r="K156" s="15">
        <v>5.25</v>
      </c>
      <c r="L156" s="15">
        <v>0</v>
      </c>
      <c r="M156" s="15">
        <f t="shared" si="5"/>
        <v>-0.67999999999999972</v>
      </c>
      <c r="N156" s="21">
        <f t="shared" si="6"/>
        <v>0.12952380952380946</v>
      </c>
    </row>
    <row r="157" spans="1:14" x14ac:dyDescent="0.25">
      <c r="A157" s="13">
        <v>156</v>
      </c>
      <c r="B157" s="14">
        <v>45904</v>
      </c>
      <c r="C157" s="15">
        <v>2.25</v>
      </c>
      <c r="D157" s="15">
        <v>0</v>
      </c>
      <c r="E157" s="15">
        <v>0</v>
      </c>
      <c r="F157" s="15">
        <v>0</v>
      </c>
      <c r="G157" s="15">
        <v>0</v>
      </c>
      <c r="H157" s="15">
        <v>0</v>
      </c>
      <c r="I157" s="15">
        <v>0</v>
      </c>
      <c r="J157" s="15">
        <v>9.1300000000000008</v>
      </c>
      <c r="K157" s="15">
        <v>14.99</v>
      </c>
      <c r="L157" s="15">
        <v>0</v>
      </c>
      <c r="M157" s="15">
        <f t="shared" si="5"/>
        <v>-3.6099999999999994</v>
      </c>
      <c r="N157" s="21">
        <f t="shared" si="6"/>
        <v>0.24082721814543023</v>
      </c>
    </row>
    <row r="158" spans="1:14" x14ac:dyDescent="0.25">
      <c r="A158" s="13">
        <v>157</v>
      </c>
      <c r="B158" s="14">
        <v>45904</v>
      </c>
      <c r="C158" s="15">
        <v>0</v>
      </c>
      <c r="D158" s="15">
        <v>0</v>
      </c>
      <c r="E158" s="15">
        <v>0</v>
      </c>
      <c r="F158" s="15">
        <v>0</v>
      </c>
      <c r="G158" s="15">
        <v>0</v>
      </c>
      <c r="H158" s="15">
        <v>0</v>
      </c>
      <c r="I158" s="15">
        <v>0</v>
      </c>
      <c r="J158" s="15">
        <v>18.39</v>
      </c>
      <c r="K158" s="15">
        <v>20.69</v>
      </c>
      <c r="L158" s="15">
        <v>3.73</v>
      </c>
      <c r="M158" s="15">
        <f t="shared" si="5"/>
        <v>1.4299999999999997</v>
      </c>
      <c r="N158" s="21">
        <f t="shared" si="6"/>
        <v>8.4316037735849031E-2</v>
      </c>
    </row>
    <row r="159" spans="1:14" x14ac:dyDescent="0.25">
      <c r="A159" s="13">
        <v>158</v>
      </c>
      <c r="B159" s="14">
        <v>45904</v>
      </c>
      <c r="C159" s="15">
        <v>1.25</v>
      </c>
      <c r="D159" s="15">
        <v>0</v>
      </c>
      <c r="E159" s="15">
        <v>0</v>
      </c>
      <c r="F159" s="15">
        <v>0</v>
      </c>
      <c r="G159" s="15">
        <v>0</v>
      </c>
      <c r="H159" s="15">
        <v>0</v>
      </c>
      <c r="I159" s="15">
        <v>0</v>
      </c>
      <c r="J159" s="15">
        <v>11.61</v>
      </c>
      <c r="K159" s="15">
        <v>14.68</v>
      </c>
      <c r="L159" s="15">
        <v>4.9800000000000004</v>
      </c>
      <c r="M159" s="15">
        <f t="shared" si="5"/>
        <v>3.16</v>
      </c>
      <c r="N159" s="21">
        <f t="shared" si="6"/>
        <v>0.32577319587628872</v>
      </c>
    </row>
    <row r="160" spans="1:14" x14ac:dyDescent="0.25">
      <c r="A160" s="13">
        <v>159</v>
      </c>
      <c r="B160" s="14">
        <v>45904</v>
      </c>
      <c r="C160" s="15">
        <v>1.25</v>
      </c>
      <c r="D160" s="15">
        <v>0</v>
      </c>
      <c r="E160" s="15">
        <v>0</v>
      </c>
      <c r="F160" s="15">
        <v>0</v>
      </c>
      <c r="G160" s="15">
        <v>0</v>
      </c>
      <c r="H160" s="15">
        <v>0</v>
      </c>
      <c r="I160" s="15">
        <v>0</v>
      </c>
      <c r="J160" s="15">
        <v>10.36</v>
      </c>
      <c r="K160" s="15">
        <v>13.5</v>
      </c>
      <c r="L160" s="15">
        <v>1.52</v>
      </c>
      <c r="M160" s="15">
        <f t="shared" si="5"/>
        <v>-0.37000000000000099</v>
      </c>
      <c r="N160" s="21">
        <f t="shared" si="6"/>
        <v>3.0884808013355674E-2</v>
      </c>
    </row>
    <row r="161" spans="1:14" x14ac:dyDescent="0.25">
      <c r="A161" s="13">
        <v>160</v>
      </c>
      <c r="B161" s="14">
        <v>45904</v>
      </c>
      <c r="C161" s="15">
        <v>0</v>
      </c>
      <c r="D161" s="15">
        <v>0</v>
      </c>
      <c r="E161" s="15">
        <v>0</v>
      </c>
      <c r="F161" s="15">
        <v>0</v>
      </c>
      <c r="G161" s="15">
        <v>0.11</v>
      </c>
      <c r="H161" s="15">
        <v>0</v>
      </c>
      <c r="I161" s="15">
        <v>0</v>
      </c>
      <c r="J161" s="15">
        <v>6.99</v>
      </c>
      <c r="K161" s="15">
        <v>8.5</v>
      </c>
      <c r="L161" s="15">
        <v>1.22</v>
      </c>
      <c r="M161" s="15">
        <f t="shared" si="5"/>
        <v>-0.17999999999999972</v>
      </c>
      <c r="N161" s="21">
        <f t="shared" si="6"/>
        <v>2.4725274725274686E-2</v>
      </c>
    </row>
    <row r="162" spans="1:14" x14ac:dyDescent="0.25">
      <c r="A162" s="13">
        <v>161</v>
      </c>
      <c r="B162" s="14">
        <v>45904</v>
      </c>
      <c r="C162" s="15">
        <v>0</v>
      </c>
      <c r="D162" s="15">
        <v>0</v>
      </c>
      <c r="E162" s="15">
        <v>0</v>
      </c>
      <c r="F162" s="15">
        <v>0</v>
      </c>
      <c r="G162" s="15">
        <v>0</v>
      </c>
      <c r="H162" s="15">
        <v>0</v>
      </c>
      <c r="I162" s="15">
        <v>0</v>
      </c>
      <c r="J162" s="15">
        <v>12.35</v>
      </c>
      <c r="K162" s="15">
        <v>14.08</v>
      </c>
      <c r="L162" s="15">
        <v>2.17</v>
      </c>
      <c r="M162" s="15">
        <f t="shared" si="5"/>
        <v>0.4399999999999995</v>
      </c>
      <c r="N162" s="21">
        <f t="shared" si="6"/>
        <v>3.6943744752308945E-2</v>
      </c>
    </row>
    <row r="163" spans="1:14" x14ac:dyDescent="0.25">
      <c r="A163" s="13">
        <v>162</v>
      </c>
      <c r="B163" s="14">
        <v>45906</v>
      </c>
      <c r="C163" s="15">
        <v>2</v>
      </c>
      <c r="D163" s="15">
        <v>0</v>
      </c>
      <c r="E163" s="15">
        <v>0</v>
      </c>
      <c r="F163" s="15">
        <v>0</v>
      </c>
      <c r="G163" s="15">
        <v>0</v>
      </c>
      <c r="H163" s="15">
        <v>0</v>
      </c>
      <c r="I163" s="15">
        <v>0</v>
      </c>
      <c r="J163" s="15">
        <v>11.26</v>
      </c>
      <c r="K163" s="15">
        <v>15.92</v>
      </c>
      <c r="L163" s="15">
        <v>0</v>
      </c>
      <c r="M163" s="15">
        <f t="shared" si="5"/>
        <v>-2.66</v>
      </c>
      <c r="N163" s="21">
        <f t="shared" si="6"/>
        <v>0.16708542713567839</v>
      </c>
    </row>
    <row r="164" spans="1:14" x14ac:dyDescent="0.25">
      <c r="A164" s="13">
        <v>163</v>
      </c>
      <c r="B164" s="14">
        <v>45906</v>
      </c>
      <c r="C164" s="15">
        <v>1.25</v>
      </c>
      <c r="D164" s="15">
        <v>0</v>
      </c>
      <c r="E164" s="15">
        <v>0</v>
      </c>
      <c r="F164" s="15">
        <v>0</v>
      </c>
      <c r="G164" s="15">
        <v>0</v>
      </c>
      <c r="H164" s="15">
        <v>0</v>
      </c>
      <c r="I164" s="15">
        <v>0</v>
      </c>
      <c r="J164" s="15">
        <v>6.99</v>
      </c>
      <c r="K164" s="15">
        <v>9.93</v>
      </c>
      <c r="L164" s="15">
        <v>0</v>
      </c>
      <c r="M164" s="15">
        <f t="shared" si="5"/>
        <v>-1.6899999999999995</v>
      </c>
      <c r="N164" s="21">
        <f t="shared" si="6"/>
        <v>0.17019133937562936</v>
      </c>
    </row>
    <row r="165" spans="1:14" x14ac:dyDescent="0.25">
      <c r="A165" s="13">
        <v>164</v>
      </c>
      <c r="B165" s="14">
        <v>45906</v>
      </c>
      <c r="C165" s="15">
        <v>4</v>
      </c>
      <c r="D165" s="15">
        <v>0</v>
      </c>
      <c r="E165" s="15">
        <v>0</v>
      </c>
      <c r="F165" s="15">
        <v>0</v>
      </c>
      <c r="G165" s="15">
        <v>0</v>
      </c>
      <c r="H165" s="15">
        <v>0</v>
      </c>
      <c r="I165" s="15">
        <v>0</v>
      </c>
      <c r="J165" s="15">
        <v>12.18</v>
      </c>
      <c r="K165" s="15">
        <v>19.91</v>
      </c>
      <c r="L165" s="15">
        <v>0</v>
      </c>
      <c r="M165" s="15">
        <f t="shared" si="5"/>
        <v>-3.7300000000000004</v>
      </c>
      <c r="N165" s="21">
        <f t="shared" si="6"/>
        <v>0.18734304369663488</v>
      </c>
    </row>
    <row r="166" spans="1:14" x14ac:dyDescent="0.25">
      <c r="A166" s="13">
        <v>165</v>
      </c>
      <c r="B166" s="14">
        <v>45906</v>
      </c>
      <c r="C166" s="15">
        <v>0</v>
      </c>
      <c r="D166" s="15">
        <v>0</v>
      </c>
      <c r="E166" s="15">
        <v>0</v>
      </c>
      <c r="F166" s="15">
        <v>0</v>
      </c>
      <c r="G166" s="15">
        <v>0</v>
      </c>
      <c r="H166" s="15">
        <v>0</v>
      </c>
      <c r="I166" s="15">
        <v>0</v>
      </c>
      <c r="J166" s="15">
        <v>11.67</v>
      </c>
      <c r="K166" s="15">
        <v>0</v>
      </c>
      <c r="L166" s="15">
        <v>0</v>
      </c>
      <c r="M166" s="15">
        <f t="shared" si="5"/>
        <v>11.67</v>
      </c>
      <c r="N166" s="21">
        <v>0</v>
      </c>
    </row>
    <row r="167" spans="1:14" x14ac:dyDescent="0.25">
      <c r="A167" s="13">
        <v>166</v>
      </c>
      <c r="B167" s="14">
        <v>45906</v>
      </c>
      <c r="C167" s="15">
        <v>0</v>
      </c>
      <c r="D167" s="15">
        <v>0</v>
      </c>
      <c r="E167" s="15">
        <v>0</v>
      </c>
      <c r="F167" s="15">
        <v>0</v>
      </c>
      <c r="G167" s="15">
        <v>0.19</v>
      </c>
      <c r="H167" s="15">
        <v>0</v>
      </c>
      <c r="I167" s="15">
        <v>0</v>
      </c>
      <c r="J167" s="15">
        <v>9.1999999999999993</v>
      </c>
      <c r="K167" s="15">
        <v>13.2</v>
      </c>
      <c r="L167" s="15">
        <v>0</v>
      </c>
      <c r="M167" s="15">
        <f t="shared" si="5"/>
        <v>-3.8100000000000005</v>
      </c>
      <c r="N167" s="21">
        <f t="shared" si="6"/>
        <v>0.28863636363636369</v>
      </c>
    </row>
    <row r="168" spans="1:14" x14ac:dyDescent="0.25">
      <c r="A168" s="13">
        <v>167</v>
      </c>
      <c r="B168" s="14">
        <v>45906</v>
      </c>
      <c r="C168" s="15">
        <v>1.25</v>
      </c>
      <c r="D168" s="15">
        <v>0</v>
      </c>
      <c r="E168" s="15">
        <v>0</v>
      </c>
      <c r="F168" s="15">
        <v>0</v>
      </c>
      <c r="G168" s="15">
        <v>0</v>
      </c>
      <c r="H168" s="15">
        <v>0</v>
      </c>
      <c r="I168" s="15">
        <v>0</v>
      </c>
      <c r="J168" s="15">
        <v>25.88</v>
      </c>
      <c r="K168" s="15">
        <v>30.97</v>
      </c>
      <c r="L168" s="15">
        <v>7.74</v>
      </c>
      <c r="M168" s="15">
        <f t="shared" si="5"/>
        <v>3.9000000000000021</v>
      </c>
      <c r="N168" s="21">
        <f t="shared" si="6"/>
        <v>0.1678863538527767</v>
      </c>
    </row>
    <row r="169" spans="1:14" x14ac:dyDescent="0.25">
      <c r="A169" s="13">
        <v>168</v>
      </c>
      <c r="B169" s="14">
        <v>45906</v>
      </c>
      <c r="C169" s="15">
        <v>4</v>
      </c>
      <c r="D169" s="15">
        <v>0</v>
      </c>
      <c r="E169" s="15">
        <v>0</v>
      </c>
      <c r="F169" s="15">
        <v>0</v>
      </c>
      <c r="G169" s="15">
        <v>0</v>
      </c>
      <c r="H169" s="15">
        <v>0</v>
      </c>
      <c r="I169" s="15">
        <v>0</v>
      </c>
      <c r="J169" s="15">
        <v>6.99</v>
      </c>
      <c r="K169" s="15">
        <v>12.53</v>
      </c>
      <c r="L169" s="15">
        <v>0.62</v>
      </c>
      <c r="M169" s="15">
        <f t="shared" si="5"/>
        <v>-0.91999999999999993</v>
      </c>
      <c r="N169" s="21">
        <f t="shared" si="6"/>
        <v>7.724601175482787E-2</v>
      </c>
    </row>
    <row r="170" spans="1:14" x14ac:dyDescent="0.25">
      <c r="A170" s="13">
        <v>169</v>
      </c>
      <c r="B170" s="14">
        <v>45906</v>
      </c>
      <c r="C170" s="15">
        <v>4.25</v>
      </c>
      <c r="D170" s="15">
        <v>0</v>
      </c>
      <c r="E170" s="15">
        <v>0</v>
      </c>
      <c r="F170" s="15">
        <v>0</v>
      </c>
      <c r="G170" s="15">
        <v>0.19</v>
      </c>
      <c r="H170" s="15">
        <v>0</v>
      </c>
      <c r="I170" s="15">
        <v>0</v>
      </c>
      <c r="J170" s="15">
        <v>20.260000000000002</v>
      </c>
      <c r="K170" s="15">
        <v>34.18</v>
      </c>
      <c r="L170" s="15">
        <v>0</v>
      </c>
      <c r="M170" s="15">
        <f t="shared" si="5"/>
        <v>-9.4799999999999969</v>
      </c>
      <c r="N170" s="21">
        <f t="shared" si="6"/>
        <v>0.27735517846693963</v>
      </c>
    </row>
    <row r="171" spans="1:14" x14ac:dyDescent="0.25">
      <c r="A171" s="13">
        <v>170</v>
      </c>
      <c r="B171" s="14">
        <v>45906</v>
      </c>
      <c r="C171" s="15">
        <v>3.75</v>
      </c>
      <c r="D171" s="15">
        <v>0</v>
      </c>
      <c r="E171" s="15">
        <v>0</v>
      </c>
      <c r="F171" s="15">
        <v>0</v>
      </c>
      <c r="G171" s="15">
        <v>0</v>
      </c>
      <c r="H171" s="15">
        <v>0</v>
      </c>
      <c r="I171" s="15">
        <v>0</v>
      </c>
      <c r="J171" s="15">
        <v>6.99</v>
      </c>
      <c r="K171" s="15">
        <v>12.23</v>
      </c>
      <c r="L171" s="15">
        <v>2.2599999999999998</v>
      </c>
      <c r="M171" s="15">
        <f t="shared" si="5"/>
        <v>0.76999999999999957</v>
      </c>
      <c r="N171" s="21">
        <f t="shared" si="6"/>
        <v>7.7231695085255722E-2</v>
      </c>
    </row>
    <row r="172" spans="1:14" x14ac:dyDescent="0.25">
      <c r="A172" s="13">
        <v>171</v>
      </c>
      <c r="B172" s="14">
        <v>45906</v>
      </c>
      <c r="C172" s="15">
        <v>3.75</v>
      </c>
      <c r="D172" s="15">
        <v>0</v>
      </c>
      <c r="E172" s="15">
        <v>0</v>
      </c>
      <c r="F172" s="15">
        <v>0</v>
      </c>
      <c r="G172" s="15">
        <v>0</v>
      </c>
      <c r="H172" s="15">
        <v>0</v>
      </c>
      <c r="I172" s="15">
        <v>0</v>
      </c>
      <c r="J172" s="15">
        <v>7.62</v>
      </c>
      <c r="K172" s="15">
        <v>18.95</v>
      </c>
      <c r="L172" s="15">
        <v>0</v>
      </c>
      <c r="M172" s="15">
        <f t="shared" si="5"/>
        <v>-7.5799999999999983</v>
      </c>
      <c r="N172" s="21">
        <f t="shared" si="6"/>
        <v>0.39999999999999991</v>
      </c>
    </row>
    <row r="173" spans="1:14" x14ac:dyDescent="0.25">
      <c r="A173" s="13">
        <v>172</v>
      </c>
      <c r="B173" s="14">
        <v>45906</v>
      </c>
      <c r="C173" s="15">
        <v>2.25</v>
      </c>
      <c r="D173" s="15">
        <v>0</v>
      </c>
      <c r="E173" s="15">
        <v>0</v>
      </c>
      <c r="F173" s="15">
        <v>0</v>
      </c>
      <c r="G173" s="15">
        <v>0</v>
      </c>
      <c r="H173" s="15">
        <v>0</v>
      </c>
      <c r="I173" s="15">
        <v>0</v>
      </c>
      <c r="J173" s="15">
        <v>6.99</v>
      </c>
      <c r="K173" s="15">
        <v>11.94</v>
      </c>
      <c r="L173" s="15">
        <v>0</v>
      </c>
      <c r="M173" s="15">
        <f t="shared" si="5"/>
        <v>-2.6999999999999993</v>
      </c>
      <c r="N173" s="21">
        <f t="shared" si="6"/>
        <v>0.22613065326633161</v>
      </c>
    </row>
    <row r="174" spans="1:14" x14ac:dyDescent="0.25">
      <c r="A174" s="13">
        <v>173</v>
      </c>
      <c r="B174" s="14">
        <v>45906</v>
      </c>
      <c r="C174" s="15">
        <v>1.25</v>
      </c>
      <c r="D174" s="15">
        <v>0</v>
      </c>
      <c r="E174" s="15">
        <v>0</v>
      </c>
      <c r="F174" s="15">
        <v>0</v>
      </c>
      <c r="G174" s="15">
        <v>0</v>
      </c>
      <c r="H174" s="15">
        <v>0</v>
      </c>
      <c r="I174" s="15">
        <v>0</v>
      </c>
      <c r="J174" s="15">
        <v>7.85</v>
      </c>
      <c r="K174" s="15">
        <v>14.98</v>
      </c>
      <c r="L174" s="15">
        <v>0</v>
      </c>
      <c r="M174" s="15">
        <f t="shared" si="5"/>
        <v>-5.8800000000000008</v>
      </c>
      <c r="N174" s="21">
        <f t="shared" si="6"/>
        <v>0.39252336448598135</v>
      </c>
    </row>
    <row r="175" spans="1:14" x14ac:dyDescent="0.25">
      <c r="A175" s="13">
        <v>174</v>
      </c>
      <c r="B175" s="14">
        <v>45908</v>
      </c>
      <c r="C175" s="15">
        <v>2.75</v>
      </c>
      <c r="D175" s="15">
        <v>0</v>
      </c>
      <c r="E175" s="15">
        <v>0</v>
      </c>
      <c r="F175" s="15">
        <v>0</v>
      </c>
      <c r="G175" s="15">
        <v>0</v>
      </c>
      <c r="H175" s="15">
        <v>0</v>
      </c>
      <c r="I175" s="15">
        <v>0</v>
      </c>
      <c r="J175" s="15">
        <v>6.99</v>
      </c>
      <c r="K175" s="15">
        <v>11.34</v>
      </c>
      <c r="L175" s="15">
        <v>0.38</v>
      </c>
      <c r="M175" s="15">
        <f t="shared" si="5"/>
        <v>-1.2199999999999989</v>
      </c>
      <c r="N175" s="21">
        <f t="shared" si="6"/>
        <v>0.11131386861313859</v>
      </c>
    </row>
    <row r="176" spans="1:14" x14ac:dyDescent="0.25">
      <c r="A176" s="13">
        <v>175</v>
      </c>
      <c r="B176" s="14">
        <v>45908</v>
      </c>
      <c r="C176" s="15">
        <v>4</v>
      </c>
      <c r="D176" s="15">
        <v>0</v>
      </c>
      <c r="E176" s="15">
        <v>0</v>
      </c>
      <c r="F176" s="15">
        <v>0</v>
      </c>
      <c r="G176" s="15">
        <v>0</v>
      </c>
      <c r="H176" s="15">
        <v>0</v>
      </c>
      <c r="I176" s="15">
        <v>0</v>
      </c>
      <c r="J176" s="15">
        <v>6.99</v>
      </c>
      <c r="K176" s="15">
        <v>12.37</v>
      </c>
      <c r="L176" s="15">
        <v>3.44</v>
      </c>
      <c r="M176" s="15">
        <f t="shared" si="5"/>
        <v>2.0600000000000005</v>
      </c>
      <c r="N176" s="21">
        <f t="shared" si="6"/>
        <v>0.23068309070548718</v>
      </c>
    </row>
    <row r="177" spans="1:14" x14ac:dyDescent="0.25">
      <c r="A177" s="13">
        <v>176</v>
      </c>
      <c r="B177" s="14">
        <v>45908</v>
      </c>
      <c r="C177" s="15">
        <v>2.5</v>
      </c>
      <c r="D177" s="15">
        <v>0</v>
      </c>
      <c r="E177" s="15">
        <v>0</v>
      </c>
      <c r="F177" s="15">
        <v>3.66</v>
      </c>
      <c r="G177" s="15">
        <v>0</v>
      </c>
      <c r="H177" s="15">
        <v>0</v>
      </c>
      <c r="I177" s="15">
        <v>0</v>
      </c>
      <c r="J177" s="15">
        <v>7.06</v>
      </c>
      <c r="K177" s="15">
        <v>15.2</v>
      </c>
      <c r="L177" s="15">
        <v>0</v>
      </c>
      <c r="M177" s="15">
        <f t="shared" si="5"/>
        <v>-1.9800000000000004</v>
      </c>
      <c r="N177" s="21">
        <f t="shared" si="6"/>
        <v>0.13026315789473689</v>
      </c>
    </row>
    <row r="178" spans="1:14" x14ac:dyDescent="0.25">
      <c r="A178" s="13">
        <v>177</v>
      </c>
      <c r="B178" s="14">
        <v>45908</v>
      </c>
      <c r="C178" s="15">
        <v>2.75</v>
      </c>
      <c r="D178" s="15">
        <v>0</v>
      </c>
      <c r="E178" s="15">
        <v>0</v>
      </c>
      <c r="F178" s="15">
        <v>0</v>
      </c>
      <c r="G178" s="15">
        <v>0</v>
      </c>
      <c r="H178" s="15">
        <v>0</v>
      </c>
      <c r="I178" s="15">
        <v>0</v>
      </c>
      <c r="J178" s="15">
        <v>6.99</v>
      </c>
      <c r="K178" s="15">
        <v>11.13</v>
      </c>
      <c r="L178" s="15">
        <v>1.18</v>
      </c>
      <c r="M178" s="15">
        <f t="shared" si="5"/>
        <v>-0.21000000000000085</v>
      </c>
      <c r="N178" s="21">
        <f t="shared" si="6"/>
        <v>2.1105527638191037E-2</v>
      </c>
    </row>
    <row r="179" spans="1:14" x14ac:dyDescent="0.25">
      <c r="A179" s="13">
        <v>178</v>
      </c>
      <c r="B179" s="14">
        <v>45908</v>
      </c>
      <c r="C179" s="15">
        <v>0</v>
      </c>
      <c r="D179" s="15">
        <v>0</v>
      </c>
      <c r="E179" s="15">
        <v>0</v>
      </c>
      <c r="F179" s="15">
        <v>0</v>
      </c>
      <c r="G179" s="15">
        <v>0</v>
      </c>
      <c r="H179" s="15">
        <v>0</v>
      </c>
      <c r="I179" s="15">
        <v>0</v>
      </c>
      <c r="J179" s="15">
        <v>7.06</v>
      </c>
      <c r="K179" s="15">
        <v>8.4600000000000009</v>
      </c>
      <c r="L179" s="15">
        <v>2.54</v>
      </c>
      <c r="M179" s="15">
        <f t="shared" si="5"/>
        <v>1.1399999999999988</v>
      </c>
      <c r="N179" s="21">
        <f t="shared" si="6"/>
        <v>0.19256756756756735</v>
      </c>
    </row>
    <row r="180" spans="1:14" x14ac:dyDescent="0.25">
      <c r="A180" s="13">
        <v>179</v>
      </c>
      <c r="B180" s="14">
        <v>45908</v>
      </c>
      <c r="C180" s="15">
        <v>2</v>
      </c>
      <c r="D180" s="15">
        <v>0</v>
      </c>
      <c r="E180" s="15">
        <v>0</v>
      </c>
      <c r="F180" s="15">
        <v>0</v>
      </c>
      <c r="G180" s="15">
        <v>0</v>
      </c>
      <c r="H180" s="15">
        <v>0</v>
      </c>
      <c r="I180" s="15">
        <v>0</v>
      </c>
      <c r="J180" s="15">
        <v>6.99</v>
      </c>
      <c r="K180" s="15">
        <v>13.98</v>
      </c>
      <c r="L180" s="15">
        <v>1.39</v>
      </c>
      <c r="M180" s="15">
        <f t="shared" si="5"/>
        <v>-3.5999999999999996</v>
      </c>
      <c r="N180" s="21">
        <f t="shared" si="6"/>
        <v>0.2859412231930103</v>
      </c>
    </row>
    <row r="181" spans="1:14" x14ac:dyDescent="0.25">
      <c r="A181" s="13">
        <v>180</v>
      </c>
      <c r="B181" s="14">
        <v>45908</v>
      </c>
      <c r="C181" s="15">
        <v>1.75</v>
      </c>
      <c r="D181" s="15">
        <v>0</v>
      </c>
      <c r="E181" s="15">
        <v>0</v>
      </c>
      <c r="F181" s="15">
        <v>0</v>
      </c>
      <c r="G181" s="15">
        <v>0</v>
      </c>
      <c r="H181" s="15">
        <v>0</v>
      </c>
      <c r="I181" s="15">
        <v>0</v>
      </c>
      <c r="J181" s="15">
        <v>6.99</v>
      </c>
      <c r="K181" s="15">
        <v>10.119999999999999</v>
      </c>
      <c r="L181" s="15">
        <v>1.64</v>
      </c>
      <c r="M181" s="15">
        <f t="shared" si="5"/>
        <v>0.26000000000000156</v>
      </c>
      <c r="N181" s="21">
        <f t="shared" si="6"/>
        <v>3.0660377358490757E-2</v>
      </c>
    </row>
    <row r="182" spans="1:14" x14ac:dyDescent="0.25">
      <c r="A182" s="13">
        <v>181</v>
      </c>
      <c r="B182" s="14">
        <v>45909</v>
      </c>
      <c r="C182" s="15">
        <v>3.5</v>
      </c>
      <c r="D182" s="15">
        <v>0</v>
      </c>
      <c r="E182" s="15">
        <v>0</v>
      </c>
      <c r="F182" s="15">
        <v>0</v>
      </c>
      <c r="G182" s="15">
        <v>0</v>
      </c>
      <c r="H182" s="15">
        <v>0</v>
      </c>
      <c r="I182" s="15">
        <v>0</v>
      </c>
      <c r="J182" s="15">
        <v>7.19</v>
      </c>
      <c r="K182" s="15">
        <v>12.09</v>
      </c>
      <c r="L182" s="15">
        <v>2.17</v>
      </c>
      <c r="M182" s="15">
        <f t="shared" si="5"/>
        <v>0.77000000000000135</v>
      </c>
      <c r="N182" s="21">
        <f t="shared" si="6"/>
        <v>7.7620967741935623E-2</v>
      </c>
    </row>
    <row r="183" spans="1:14" x14ac:dyDescent="0.25">
      <c r="A183" s="13">
        <v>182</v>
      </c>
      <c r="B183" s="14">
        <v>45909</v>
      </c>
      <c r="C183" s="15">
        <v>2.75</v>
      </c>
      <c r="D183" s="15">
        <v>0</v>
      </c>
      <c r="E183" s="15">
        <v>0</v>
      </c>
      <c r="F183" s="15">
        <v>0</v>
      </c>
      <c r="G183" s="15">
        <v>0</v>
      </c>
      <c r="H183" s="15">
        <v>0</v>
      </c>
      <c r="I183" s="15">
        <v>0</v>
      </c>
      <c r="J183" s="15">
        <v>11.36</v>
      </c>
      <c r="K183" s="15">
        <v>20.96</v>
      </c>
      <c r="L183" s="15">
        <v>0</v>
      </c>
      <c r="M183" s="15">
        <f t="shared" si="5"/>
        <v>-6.8500000000000014</v>
      </c>
      <c r="N183" s="21">
        <f t="shared" si="6"/>
        <v>0.32681297709923668</v>
      </c>
    </row>
    <row r="184" spans="1:14" x14ac:dyDescent="0.25">
      <c r="A184" s="13">
        <v>183</v>
      </c>
      <c r="B184" s="14">
        <v>45909</v>
      </c>
      <c r="C184" s="15">
        <v>4</v>
      </c>
      <c r="D184" s="15">
        <v>0</v>
      </c>
      <c r="E184" s="15">
        <v>0</v>
      </c>
      <c r="F184" s="15">
        <v>0</v>
      </c>
      <c r="G184" s="15">
        <v>0</v>
      </c>
      <c r="H184" s="15">
        <v>0</v>
      </c>
      <c r="I184" s="15">
        <v>0</v>
      </c>
      <c r="J184" s="15">
        <v>20.03</v>
      </c>
      <c r="K184" s="15">
        <v>26.37</v>
      </c>
      <c r="L184" s="15">
        <v>6.38</v>
      </c>
      <c r="M184" s="15">
        <f t="shared" si="5"/>
        <v>4.0399999999999991</v>
      </c>
      <c r="N184" s="21">
        <f t="shared" si="6"/>
        <v>0.20210105052526256</v>
      </c>
    </row>
    <row r="185" spans="1:14" x14ac:dyDescent="0.25">
      <c r="A185" s="13">
        <v>184</v>
      </c>
      <c r="B185" s="14">
        <v>45909</v>
      </c>
      <c r="C185" s="15">
        <v>2.75</v>
      </c>
      <c r="D185" s="15">
        <v>0</v>
      </c>
      <c r="E185" s="15">
        <v>0</v>
      </c>
      <c r="F185" s="15">
        <v>0</v>
      </c>
      <c r="G185" s="15">
        <v>0</v>
      </c>
      <c r="H185" s="15">
        <v>0</v>
      </c>
      <c r="I185" s="15">
        <v>0</v>
      </c>
      <c r="J185" s="15">
        <v>7.1</v>
      </c>
      <c r="K185" s="15">
        <v>12.9</v>
      </c>
      <c r="L185" s="15">
        <v>0</v>
      </c>
      <c r="M185" s="15">
        <f t="shared" si="5"/>
        <v>-3.0500000000000007</v>
      </c>
      <c r="N185" s="21">
        <f t="shared" si="6"/>
        <v>0.23643410852713184</v>
      </c>
    </row>
    <row r="186" spans="1:14" x14ac:dyDescent="0.25">
      <c r="A186" s="13">
        <v>185</v>
      </c>
      <c r="B186" s="14">
        <v>45911</v>
      </c>
      <c r="C186" s="15">
        <v>0</v>
      </c>
      <c r="D186" s="15">
        <v>0</v>
      </c>
      <c r="E186" s="15">
        <v>0</v>
      </c>
      <c r="F186" s="15">
        <v>0</v>
      </c>
      <c r="G186" s="15">
        <v>0.31</v>
      </c>
      <c r="H186" s="15">
        <v>0</v>
      </c>
      <c r="I186" s="15">
        <v>0</v>
      </c>
      <c r="J186" s="15">
        <v>6.99</v>
      </c>
      <c r="K186" s="15">
        <v>8.7200000000000006</v>
      </c>
      <c r="L186" s="15">
        <v>0.39</v>
      </c>
      <c r="M186" s="15">
        <f t="shared" si="5"/>
        <v>-1.0300000000000002</v>
      </c>
      <c r="N186" s="21">
        <f t="shared" si="6"/>
        <v>0.12364945978391359</v>
      </c>
    </row>
    <row r="187" spans="1:14" x14ac:dyDescent="0.25">
      <c r="A187" s="13">
        <v>186</v>
      </c>
      <c r="B187" s="14">
        <v>45911</v>
      </c>
      <c r="C187" s="15">
        <v>0</v>
      </c>
      <c r="D187" s="15">
        <v>0</v>
      </c>
      <c r="E187" s="15">
        <v>0</v>
      </c>
      <c r="F187" s="15">
        <v>0</v>
      </c>
      <c r="G187" s="15">
        <v>0</v>
      </c>
      <c r="H187" s="15">
        <v>0</v>
      </c>
      <c r="I187" s="15">
        <v>0</v>
      </c>
      <c r="J187" s="15">
        <v>6.99</v>
      </c>
      <c r="K187" s="15">
        <v>8.9700000000000006</v>
      </c>
      <c r="L187" s="15">
        <v>0</v>
      </c>
      <c r="M187" s="15">
        <f t="shared" si="5"/>
        <v>-1.9800000000000004</v>
      </c>
      <c r="N187" s="21">
        <f t="shared" si="6"/>
        <v>0.22073578595317728</v>
      </c>
    </row>
    <row r="188" spans="1:14" x14ac:dyDescent="0.25">
      <c r="A188" s="13">
        <v>187</v>
      </c>
      <c r="B188" s="14">
        <v>45911</v>
      </c>
      <c r="C188" s="15">
        <v>0</v>
      </c>
      <c r="D188" s="15">
        <v>0</v>
      </c>
      <c r="E188" s="15">
        <v>0</v>
      </c>
      <c r="F188" s="15">
        <v>0</v>
      </c>
      <c r="G188" s="15">
        <v>0.11</v>
      </c>
      <c r="H188" s="15">
        <v>0</v>
      </c>
      <c r="I188" s="15">
        <v>0</v>
      </c>
      <c r="J188" s="15">
        <v>6.99</v>
      </c>
      <c r="K188" s="15">
        <v>9.1</v>
      </c>
      <c r="L188" s="15">
        <v>0</v>
      </c>
      <c r="M188" s="15">
        <f t="shared" si="5"/>
        <v>-1.9999999999999991</v>
      </c>
      <c r="N188" s="21">
        <f t="shared" si="6"/>
        <v>0.21978021978021969</v>
      </c>
    </row>
    <row r="189" spans="1:14" x14ac:dyDescent="0.25">
      <c r="A189" s="13">
        <v>188</v>
      </c>
      <c r="B189" s="14">
        <v>45911</v>
      </c>
      <c r="C189" s="15">
        <v>0</v>
      </c>
      <c r="D189" s="15">
        <v>0</v>
      </c>
      <c r="E189" s="15">
        <v>0</v>
      </c>
      <c r="F189" s="15">
        <v>0</v>
      </c>
      <c r="G189" s="15">
        <v>0</v>
      </c>
      <c r="H189" s="15">
        <v>0</v>
      </c>
      <c r="I189" s="15">
        <v>0</v>
      </c>
      <c r="J189" s="15">
        <v>10.25</v>
      </c>
      <c r="K189" s="15">
        <v>13.97</v>
      </c>
      <c r="L189" s="15">
        <v>0</v>
      </c>
      <c r="M189" s="15">
        <f t="shared" si="5"/>
        <v>-3.7200000000000006</v>
      </c>
      <c r="N189" s="21">
        <f t="shared" si="6"/>
        <v>0.26628489620615609</v>
      </c>
    </row>
    <row r="190" spans="1:14" x14ac:dyDescent="0.25">
      <c r="A190" s="13">
        <v>189</v>
      </c>
      <c r="B190" s="14">
        <v>45911</v>
      </c>
      <c r="C190" s="15">
        <v>0</v>
      </c>
      <c r="D190" s="15">
        <v>0</v>
      </c>
      <c r="E190" s="15">
        <v>0</v>
      </c>
      <c r="F190" s="15">
        <v>0</v>
      </c>
      <c r="G190" s="15">
        <v>0</v>
      </c>
      <c r="H190" s="15">
        <v>0</v>
      </c>
      <c r="I190" s="15">
        <v>0</v>
      </c>
      <c r="J190" s="15">
        <v>6.99</v>
      </c>
      <c r="K190" s="15">
        <v>8.36</v>
      </c>
      <c r="L190" s="15">
        <v>0.45</v>
      </c>
      <c r="M190" s="15">
        <f t="shared" si="5"/>
        <v>-0.91999999999999904</v>
      </c>
      <c r="N190" s="21">
        <f t="shared" si="6"/>
        <v>0.11630847029077107</v>
      </c>
    </row>
    <row r="191" spans="1:14" x14ac:dyDescent="0.25">
      <c r="A191" s="13">
        <v>190</v>
      </c>
      <c r="B191" s="14">
        <v>45911</v>
      </c>
      <c r="C191" s="15">
        <v>0</v>
      </c>
      <c r="D191" s="15">
        <v>0</v>
      </c>
      <c r="E191" s="15">
        <v>0</v>
      </c>
      <c r="F191" s="15">
        <v>0</v>
      </c>
      <c r="G191" s="15">
        <v>0</v>
      </c>
      <c r="H191" s="15">
        <v>0</v>
      </c>
      <c r="I191" s="15">
        <v>0</v>
      </c>
      <c r="J191" s="15">
        <v>6.99</v>
      </c>
      <c r="K191" s="15">
        <v>8.36</v>
      </c>
      <c r="L191" s="15">
        <v>2.39</v>
      </c>
      <c r="M191" s="15">
        <f t="shared" si="5"/>
        <v>1.0200000000000014</v>
      </c>
      <c r="N191" s="21">
        <f t="shared" si="6"/>
        <v>0.17085427135678419</v>
      </c>
    </row>
    <row r="192" spans="1:14" x14ac:dyDescent="0.25">
      <c r="A192" s="13">
        <v>191</v>
      </c>
      <c r="B192" s="14">
        <v>45911</v>
      </c>
      <c r="C192" s="15">
        <v>0</v>
      </c>
      <c r="D192" s="15">
        <v>0</v>
      </c>
      <c r="E192" s="15">
        <v>0</v>
      </c>
      <c r="F192" s="15">
        <v>0</v>
      </c>
      <c r="G192" s="15">
        <v>0</v>
      </c>
      <c r="H192" s="15">
        <v>0</v>
      </c>
      <c r="I192" s="15">
        <v>0</v>
      </c>
      <c r="J192" s="15">
        <v>7.86</v>
      </c>
      <c r="K192" s="15">
        <v>9.27</v>
      </c>
      <c r="L192" s="15">
        <v>0.34</v>
      </c>
      <c r="M192" s="15">
        <f t="shared" si="5"/>
        <v>-1.0699999999999994</v>
      </c>
      <c r="N192" s="21">
        <f t="shared" si="6"/>
        <v>0.11982082866741316</v>
      </c>
    </row>
    <row r="193" spans="1:14" x14ac:dyDescent="0.25">
      <c r="A193" s="13">
        <v>192</v>
      </c>
      <c r="B193" s="14">
        <v>45911</v>
      </c>
      <c r="C193" s="15">
        <v>1</v>
      </c>
      <c r="D193" s="15">
        <v>0</v>
      </c>
      <c r="E193" s="15">
        <v>0</v>
      </c>
      <c r="F193" s="15">
        <v>0</v>
      </c>
      <c r="G193" s="15">
        <v>0</v>
      </c>
      <c r="H193" s="15">
        <v>0</v>
      </c>
      <c r="I193" s="15">
        <v>0</v>
      </c>
      <c r="J193" s="15">
        <v>7.98</v>
      </c>
      <c r="K193" s="15">
        <v>14.96</v>
      </c>
      <c r="L193" s="15">
        <v>0</v>
      </c>
      <c r="M193" s="15">
        <f t="shared" si="5"/>
        <v>-5.98</v>
      </c>
      <c r="N193" s="21">
        <f t="shared" si="6"/>
        <v>0.3997326203208556</v>
      </c>
    </row>
    <row r="194" spans="1:14" x14ac:dyDescent="0.25">
      <c r="A194" s="13">
        <v>193</v>
      </c>
      <c r="B194" s="14">
        <v>45911</v>
      </c>
      <c r="C194" s="15">
        <v>0</v>
      </c>
      <c r="D194" s="15">
        <v>0</v>
      </c>
      <c r="E194" s="15">
        <v>0</v>
      </c>
      <c r="F194" s="15">
        <v>0</v>
      </c>
      <c r="G194" s="15">
        <v>0</v>
      </c>
      <c r="H194" s="15">
        <v>0</v>
      </c>
      <c r="I194" s="15">
        <v>0</v>
      </c>
      <c r="J194" s="15">
        <v>23.11</v>
      </c>
      <c r="K194" s="15">
        <v>26.01</v>
      </c>
      <c r="L194" s="15">
        <v>3.08</v>
      </c>
      <c r="M194" s="15">
        <f t="shared" si="5"/>
        <v>0.17999999999999972</v>
      </c>
      <c r="N194" s="21">
        <f t="shared" si="6"/>
        <v>7.8499781945050029E-3</v>
      </c>
    </row>
    <row r="195" spans="1:14" x14ac:dyDescent="0.25">
      <c r="A195" s="13">
        <v>194</v>
      </c>
      <c r="B195" s="14">
        <v>45913</v>
      </c>
      <c r="C195" s="15">
        <v>0</v>
      </c>
      <c r="D195" s="15">
        <v>0</v>
      </c>
      <c r="E195" s="15">
        <v>0</v>
      </c>
      <c r="F195" s="15">
        <v>0</v>
      </c>
      <c r="G195" s="15">
        <v>0.33</v>
      </c>
      <c r="H195" s="15">
        <v>0</v>
      </c>
      <c r="I195" s="15">
        <v>0</v>
      </c>
      <c r="J195" s="15">
        <v>8.19</v>
      </c>
      <c r="K195" s="15">
        <v>12.29</v>
      </c>
      <c r="L195" s="15">
        <v>0</v>
      </c>
      <c r="M195" s="15">
        <f t="shared" ref="M195:M258" si="7">((C195+D195+E195+F195+G195+H195+J195)-(K195-L195))</f>
        <v>-3.7699999999999996</v>
      </c>
      <c r="N195" s="21">
        <f t="shared" si="6"/>
        <v>0.30675345809601301</v>
      </c>
    </row>
    <row r="196" spans="1:14" x14ac:dyDescent="0.25">
      <c r="A196" s="13">
        <v>195</v>
      </c>
      <c r="B196" s="14">
        <v>45913</v>
      </c>
      <c r="C196" s="15">
        <v>0</v>
      </c>
      <c r="D196" s="15">
        <v>0</v>
      </c>
      <c r="E196" s="15">
        <v>0</v>
      </c>
      <c r="F196" s="15">
        <v>0</v>
      </c>
      <c r="G196" s="15">
        <v>0</v>
      </c>
      <c r="H196" s="15">
        <v>0</v>
      </c>
      <c r="I196" s="15">
        <v>0</v>
      </c>
      <c r="J196" s="15">
        <v>12.25</v>
      </c>
      <c r="K196" s="15">
        <v>14.07</v>
      </c>
      <c r="L196" s="15">
        <v>0.13</v>
      </c>
      <c r="M196" s="15">
        <f t="shared" si="7"/>
        <v>-1.6899999999999995</v>
      </c>
      <c r="N196" s="21">
        <f t="shared" si="6"/>
        <v>0.12123385939741747</v>
      </c>
    </row>
    <row r="197" spans="1:14" x14ac:dyDescent="0.25">
      <c r="A197" s="13">
        <v>196</v>
      </c>
      <c r="B197" s="14">
        <v>45913</v>
      </c>
      <c r="C197" s="15">
        <v>0</v>
      </c>
      <c r="D197" s="15">
        <v>0</v>
      </c>
      <c r="E197" s="15">
        <v>0</v>
      </c>
      <c r="F197" s="15">
        <v>0</v>
      </c>
      <c r="G197" s="15">
        <v>0</v>
      </c>
      <c r="H197" s="15">
        <v>0</v>
      </c>
      <c r="I197" s="15">
        <v>0</v>
      </c>
      <c r="J197" s="15">
        <v>6.99</v>
      </c>
      <c r="K197" s="15">
        <v>8.3699999999999992</v>
      </c>
      <c r="L197" s="15">
        <v>0.44</v>
      </c>
      <c r="M197" s="15">
        <f t="shared" si="7"/>
        <v>-0.93999999999999861</v>
      </c>
      <c r="N197" s="21">
        <f t="shared" si="6"/>
        <v>0.11853720050441346</v>
      </c>
    </row>
    <row r="198" spans="1:14" x14ac:dyDescent="0.25">
      <c r="A198" s="13">
        <v>197</v>
      </c>
      <c r="B198" s="14">
        <v>45913</v>
      </c>
      <c r="C198" s="15">
        <v>0</v>
      </c>
      <c r="D198" s="15">
        <v>0</v>
      </c>
      <c r="E198" s="15">
        <v>0</v>
      </c>
      <c r="F198" s="15">
        <v>0</v>
      </c>
      <c r="G198" s="15">
        <v>0</v>
      </c>
      <c r="H198" s="15">
        <v>0</v>
      </c>
      <c r="I198" s="15">
        <v>0</v>
      </c>
      <c r="J198" s="15">
        <v>10.9</v>
      </c>
      <c r="K198" s="15">
        <v>16.97</v>
      </c>
      <c r="L198" s="15">
        <v>2.5499999999999998</v>
      </c>
      <c r="M198" s="15">
        <f t="shared" si="7"/>
        <v>-3.5199999999999978</v>
      </c>
      <c r="N198" s="21">
        <f t="shared" si="6"/>
        <v>0.24410540915395273</v>
      </c>
    </row>
    <row r="199" spans="1:14" x14ac:dyDescent="0.25">
      <c r="A199" s="13">
        <v>198</v>
      </c>
      <c r="B199" s="14">
        <v>45913</v>
      </c>
      <c r="C199" s="15">
        <v>0</v>
      </c>
      <c r="D199" s="15">
        <v>0</v>
      </c>
      <c r="E199" s="15">
        <v>0</v>
      </c>
      <c r="F199" s="15">
        <v>3.66</v>
      </c>
      <c r="G199" s="15">
        <v>0</v>
      </c>
      <c r="H199" s="15">
        <v>0</v>
      </c>
      <c r="I199" s="15">
        <v>0</v>
      </c>
      <c r="J199" s="15">
        <v>9.59</v>
      </c>
      <c r="K199" s="15">
        <v>16.309999999999999</v>
      </c>
      <c r="L199" s="15">
        <v>0</v>
      </c>
      <c r="M199" s="15">
        <f t="shared" si="7"/>
        <v>-3.0599999999999987</v>
      </c>
      <c r="N199" s="21">
        <f t="shared" si="6"/>
        <v>0.18761496014714893</v>
      </c>
    </row>
    <row r="200" spans="1:14" x14ac:dyDescent="0.25">
      <c r="A200" s="13">
        <v>199</v>
      </c>
      <c r="B200" s="14">
        <v>45913</v>
      </c>
      <c r="C200" s="15">
        <v>0</v>
      </c>
      <c r="D200" s="15">
        <v>0</v>
      </c>
      <c r="E200" s="15">
        <v>0</v>
      </c>
      <c r="F200" s="15">
        <v>0</v>
      </c>
      <c r="G200" s="15">
        <v>0</v>
      </c>
      <c r="H200" s="15">
        <v>0</v>
      </c>
      <c r="I200" s="15">
        <v>0</v>
      </c>
      <c r="J200" s="15">
        <v>18.670000000000002</v>
      </c>
      <c r="K200" s="15">
        <v>21.35</v>
      </c>
      <c r="L200" s="15">
        <v>0.41</v>
      </c>
      <c r="M200" s="15">
        <f t="shared" si="7"/>
        <v>-2.2699999999999996</v>
      </c>
      <c r="N200" s="21">
        <f t="shared" si="6"/>
        <v>0.10840496657115566</v>
      </c>
    </row>
    <row r="201" spans="1:14" x14ac:dyDescent="0.25">
      <c r="A201" s="13">
        <v>200</v>
      </c>
      <c r="B201" s="14">
        <v>45913</v>
      </c>
      <c r="C201" s="15">
        <v>3</v>
      </c>
      <c r="D201" s="15">
        <v>0</v>
      </c>
      <c r="E201" s="15">
        <v>0</v>
      </c>
      <c r="F201" s="15">
        <v>0</v>
      </c>
      <c r="G201" s="15">
        <v>0</v>
      </c>
      <c r="H201" s="15">
        <v>0</v>
      </c>
      <c r="I201" s="15">
        <v>0</v>
      </c>
      <c r="J201" s="15">
        <v>7.53</v>
      </c>
      <c r="K201" s="15">
        <v>14.96</v>
      </c>
      <c r="L201" s="15">
        <v>0</v>
      </c>
      <c r="M201" s="15">
        <f t="shared" si="7"/>
        <v>-4.43</v>
      </c>
      <c r="N201" s="21">
        <f t="shared" si="6"/>
        <v>0.29612299465240638</v>
      </c>
    </row>
    <row r="202" spans="1:14" x14ac:dyDescent="0.25">
      <c r="A202" s="13">
        <v>201</v>
      </c>
      <c r="B202" s="14">
        <v>45913</v>
      </c>
      <c r="C202" s="15">
        <v>0</v>
      </c>
      <c r="D202" s="15">
        <v>0</v>
      </c>
      <c r="E202" s="15">
        <v>0</v>
      </c>
      <c r="F202" s="15">
        <v>0</v>
      </c>
      <c r="G202" s="15">
        <v>0</v>
      </c>
      <c r="H202" s="15">
        <v>0</v>
      </c>
      <c r="I202" s="15">
        <v>0</v>
      </c>
      <c r="J202" s="15">
        <v>5.39</v>
      </c>
      <c r="K202" s="15">
        <v>0</v>
      </c>
      <c r="L202" s="15">
        <v>0</v>
      </c>
      <c r="M202" s="15">
        <f t="shared" si="7"/>
        <v>5.39</v>
      </c>
      <c r="N202" s="21" t="e">
        <f t="shared" si="6"/>
        <v>#DIV/0!</v>
      </c>
    </row>
    <row r="203" spans="1:14" x14ac:dyDescent="0.25">
      <c r="A203" s="13">
        <v>202</v>
      </c>
      <c r="B203" s="14">
        <v>45913</v>
      </c>
      <c r="C203" s="15">
        <v>5.75</v>
      </c>
      <c r="D203" s="15">
        <v>0</v>
      </c>
      <c r="E203" s="15">
        <v>0</v>
      </c>
      <c r="F203" s="15">
        <v>0</v>
      </c>
      <c r="G203" s="15">
        <v>0</v>
      </c>
      <c r="H203" s="15">
        <v>0</v>
      </c>
      <c r="I203" s="15">
        <v>0</v>
      </c>
      <c r="J203" s="15">
        <v>12.84</v>
      </c>
      <c r="K203" s="15">
        <v>20.73</v>
      </c>
      <c r="L203" s="15">
        <v>5.52</v>
      </c>
      <c r="M203" s="15">
        <f t="shared" si="7"/>
        <v>3.379999999999999</v>
      </c>
      <c r="N203" s="21">
        <f t="shared" si="6"/>
        <v>0.22222222222222215</v>
      </c>
    </row>
    <row r="204" spans="1:14" x14ac:dyDescent="0.25">
      <c r="A204" s="13">
        <v>203</v>
      </c>
      <c r="B204" s="14">
        <v>45913</v>
      </c>
      <c r="C204" s="15">
        <v>0</v>
      </c>
      <c r="D204" s="15">
        <v>0</v>
      </c>
      <c r="E204" s="15">
        <v>0</v>
      </c>
      <c r="F204" s="15">
        <v>0</v>
      </c>
      <c r="G204" s="15">
        <v>0</v>
      </c>
      <c r="H204" s="15">
        <v>0</v>
      </c>
      <c r="I204" s="15">
        <v>0</v>
      </c>
      <c r="J204" s="15">
        <v>6.99</v>
      </c>
      <c r="K204" s="15">
        <v>8.3699999999999992</v>
      </c>
      <c r="L204" s="15">
        <v>0.41</v>
      </c>
      <c r="M204" s="15">
        <f t="shared" si="7"/>
        <v>-0.96999999999999886</v>
      </c>
      <c r="N204" s="21">
        <f t="shared" si="6"/>
        <v>0.12185929648241194</v>
      </c>
    </row>
    <row r="205" spans="1:14" x14ac:dyDescent="0.25">
      <c r="A205" s="13">
        <v>204</v>
      </c>
      <c r="B205" s="14">
        <v>45913</v>
      </c>
      <c r="C205" s="15">
        <v>4.75</v>
      </c>
      <c r="D205" s="15">
        <v>0</v>
      </c>
      <c r="E205" s="15">
        <v>0</v>
      </c>
      <c r="F205" s="15">
        <v>3.66</v>
      </c>
      <c r="G205" s="15">
        <v>0</v>
      </c>
      <c r="H205" s="15">
        <v>0</v>
      </c>
      <c r="I205" s="15">
        <v>0</v>
      </c>
      <c r="J205" s="15">
        <v>8.48</v>
      </c>
      <c r="K205" s="15">
        <v>18.87</v>
      </c>
      <c r="L205" s="15">
        <v>1.31</v>
      </c>
      <c r="M205" s="15">
        <f t="shared" si="7"/>
        <v>-0.67000000000000171</v>
      </c>
      <c r="N205" s="21">
        <f t="shared" si="6"/>
        <v>3.8154897494305333E-2</v>
      </c>
    </row>
    <row r="206" spans="1:14" x14ac:dyDescent="0.25">
      <c r="A206" s="13">
        <v>205</v>
      </c>
      <c r="B206" s="14">
        <v>45913</v>
      </c>
      <c r="C206" s="15">
        <v>0</v>
      </c>
      <c r="D206" s="15">
        <v>0</v>
      </c>
      <c r="E206" s="15">
        <v>0</v>
      </c>
      <c r="F206" s="15">
        <v>0</v>
      </c>
      <c r="G206" s="15">
        <v>0.99</v>
      </c>
      <c r="H206" s="15">
        <v>0</v>
      </c>
      <c r="I206" s="15">
        <v>0</v>
      </c>
      <c r="J206" s="15">
        <v>11.21</v>
      </c>
      <c r="K206" s="15">
        <v>14.11</v>
      </c>
      <c r="L206" s="15">
        <v>0.08</v>
      </c>
      <c r="M206" s="15">
        <f t="shared" si="7"/>
        <v>-1.8299999999999983</v>
      </c>
      <c r="N206" s="21">
        <f t="shared" si="6"/>
        <v>0.13043478260869554</v>
      </c>
    </row>
    <row r="207" spans="1:14" x14ac:dyDescent="0.25">
      <c r="A207" s="13">
        <v>206</v>
      </c>
      <c r="B207" s="14">
        <v>45913</v>
      </c>
      <c r="C207" s="15">
        <v>0</v>
      </c>
      <c r="D207" s="15">
        <v>0</v>
      </c>
      <c r="E207" s="15">
        <v>0</v>
      </c>
      <c r="F207" s="15">
        <v>0</v>
      </c>
      <c r="G207" s="15">
        <v>0</v>
      </c>
      <c r="H207" s="15">
        <v>0</v>
      </c>
      <c r="I207" s="15">
        <v>0</v>
      </c>
      <c r="J207" s="15">
        <v>7.5</v>
      </c>
      <c r="K207" s="15">
        <v>13.89</v>
      </c>
      <c r="L207" s="15">
        <v>1.39</v>
      </c>
      <c r="M207" s="15">
        <f t="shared" si="7"/>
        <v>-5</v>
      </c>
      <c r="N207" s="21">
        <f t="shared" si="6"/>
        <v>0.4</v>
      </c>
    </row>
    <row r="208" spans="1:14" x14ac:dyDescent="0.25">
      <c r="A208" s="13">
        <v>207</v>
      </c>
      <c r="B208" s="14">
        <v>45914</v>
      </c>
      <c r="C208" s="15">
        <v>0</v>
      </c>
      <c r="D208" s="15">
        <v>0</v>
      </c>
      <c r="E208" s="15">
        <v>0</v>
      </c>
      <c r="F208" s="15">
        <v>0</v>
      </c>
      <c r="G208" s="15">
        <v>0</v>
      </c>
      <c r="H208" s="15">
        <v>0</v>
      </c>
      <c r="I208" s="15">
        <v>0</v>
      </c>
      <c r="J208" s="15">
        <v>6.99</v>
      </c>
      <c r="K208" s="15">
        <v>8.36</v>
      </c>
      <c r="L208" s="15">
        <v>0.38</v>
      </c>
      <c r="M208" s="15">
        <f t="shared" si="7"/>
        <v>-0.98999999999999932</v>
      </c>
      <c r="N208" s="21">
        <f t="shared" si="6"/>
        <v>0.12406015037593977</v>
      </c>
    </row>
    <row r="209" spans="1:14" x14ac:dyDescent="0.25">
      <c r="A209" s="13">
        <v>208</v>
      </c>
      <c r="B209" s="14">
        <v>45914</v>
      </c>
      <c r="C209" s="15">
        <v>0</v>
      </c>
      <c r="D209" s="15">
        <v>0</v>
      </c>
      <c r="E209" s="15">
        <v>0</v>
      </c>
      <c r="F209" s="15">
        <v>0</v>
      </c>
      <c r="G209" s="15">
        <v>0</v>
      </c>
      <c r="H209" s="15">
        <v>0</v>
      </c>
      <c r="I209" s="15">
        <v>0</v>
      </c>
      <c r="J209" s="15">
        <v>18.059999999999999</v>
      </c>
      <c r="K209" s="15">
        <v>22.99</v>
      </c>
      <c r="L209" s="15">
        <v>0</v>
      </c>
      <c r="M209" s="15">
        <f t="shared" si="7"/>
        <v>-4.93</v>
      </c>
      <c r="N209" s="21">
        <f t="shared" si="6"/>
        <v>0.21444106133101348</v>
      </c>
    </row>
    <row r="210" spans="1:14" x14ac:dyDescent="0.25">
      <c r="A210" s="13">
        <v>209</v>
      </c>
      <c r="B210" s="14">
        <v>45914</v>
      </c>
      <c r="C210" s="15">
        <v>0</v>
      </c>
      <c r="D210" s="15">
        <v>0</v>
      </c>
      <c r="E210" s="15">
        <v>0</v>
      </c>
      <c r="F210" s="15">
        <v>0</v>
      </c>
      <c r="G210" s="15">
        <v>0</v>
      </c>
      <c r="H210" s="15">
        <v>0</v>
      </c>
      <c r="I210" s="15">
        <v>0</v>
      </c>
      <c r="J210" s="15">
        <v>20.99</v>
      </c>
      <c r="K210" s="15">
        <v>29.95</v>
      </c>
      <c r="L210" s="15">
        <v>0</v>
      </c>
      <c r="M210" s="15">
        <f t="shared" si="7"/>
        <v>-8.9600000000000009</v>
      </c>
      <c r="N210" s="21">
        <f t="shared" si="6"/>
        <v>0.29916527545909855</v>
      </c>
    </row>
    <row r="211" spans="1:14" x14ac:dyDescent="0.25">
      <c r="A211" s="13">
        <v>210</v>
      </c>
      <c r="B211" s="14">
        <v>45914</v>
      </c>
      <c r="C211" s="15">
        <v>8.75</v>
      </c>
      <c r="D211" s="15">
        <v>0</v>
      </c>
      <c r="E211" s="15">
        <v>0</v>
      </c>
      <c r="F211" s="15">
        <v>0</v>
      </c>
      <c r="G211" s="15">
        <v>0</v>
      </c>
      <c r="H211" s="15">
        <v>0</v>
      </c>
      <c r="I211" s="15">
        <v>0</v>
      </c>
      <c r="J211" s="15">
        <v>18.23</v>
      </c>
      <c r="K211" s="15">
        <v>44.96</v>
      </c>
      <c r="L211" s="15">
        <v>0</v>
      </c>
      <c r="M211" s="15">
        <f t="shared" si="7"/>
        <v>-17.98</v>
      </c>
      <c r="N211" s="21">
        <f t="shared" si="6"/>
        <v>0.39991103202846973</v>
      </c>
    </row>
    <row r="212" spans="1:14" x14ac:dyDescent="0.25">
      <c r="A212" s="13">
        <v>211</v>
      </c>
      <c r="B212" s="14">
        <v>45916</v>
      </c>
      <c r="C212" s="15">
        <v>3.5</v>
      </c>
      <c r="D212" s="15">
        <v>0</v>
      </c>
      <c r="E212" s="15">
        <v>0</v>
      </c>
      <c r="F212" s="15">
        <v>0</v>
      </c>
      <c r="G212" s="15">
        <v>0</v>
      </c>
      <c r="H212" s="15">
        <v>0</v>
      </c>
      <c r="I212" s="15">
        <v>0</v>
      </c>
      <c r="J212" s="15">
        <v>34.32</v>
      </c>
      <c r="K212" s="15">
        <v>41.51</v>
      </c>
      <c r="L212" s="15">
        <v>7.57</v>
      </c>
      <c r="M212" s="15">
        <f t="shared" si="7"/>
        <v>3.8800000000000026</v>
      </c>
      <c r="N212" s="21">
        <f t="shared" si="6"/>
        <v>0.11431938715380091</v>
      </c>
    </row>
    <row r="213" spans="1:14" x14ac:dyDescent="0.25">
      <c r="A213" s="13">
        <v>212</v>
      </c>
      <c r="B213" s="14">
        <v>45917</v>
      </c>
      <c r="C213" s="15">
        <v>1.75</v>
      </c>
      <c r="D213" s="15">
        <v>0</v>
      </c>
      <c r="E213" s="15">
        <v>0</v>
      </c>
      <c r="F213" s="15">
        <v>2.9</v>
      </c>
      <c r="G213" s="15">
        <v>0</v>
      </c>
      <c r="H213" s="15">
        <v>0</v>
      </c>
      <c r="I213" s="15">
        <v>0</v>
      </c>
      <c r="J213" s="15">
        <v>8.91</v>
      </c>
      <c r="K213" s="15">
        <v>15.24</v>
      </c>
      <c r="L213" s="15">
        <v>4.5</v>
      </c>
      <c r="M213" s="15">
        <f t="shared" si="7"/>
        <v>2.8200000000000003</v>
      </c>
      <c r="N213" s="21">
        <f t="shared" si="6"/>
        <v>0.26256983240223464</v>
      </c>
    </row>
    <row r="214" spans="1:14" x14ac:dyDescent="0.25">
      <c r="A214" s="13">
        <v>213</v>
      </c>
      <c r="B214" s="14">
        <v>45917</v>
      </c>
      <c r="C214" s="15">
        <v>0</v>
      </c>
      <c r="D214" s="15">
        <v>0</v>
      </c>
      <c r="E214" s="15">
        <v>0</v>
      </c>
      <c r="F214" s="15">
        <v>0</v>
      </c>
      <c r="G214" s="15">
        <v>0</v>
      </c>
      <c r="H214" s="15">
        <v>0</v>
      </c>
      <c r="I214" s="15">
        <v>0</v>
      </c>
      <c r="J214" s="15">
        <v>6.99</v>
      </c>
      <c r="K214" s="15">
        <v>8.36</v>
      </c>
      <c r="L214" s="15">
        <v>0.38</v>
      </c>
      <c r="M214" s="15">
        <f t="shared" si="7"/>
        <v>-0.98999999999999932</v>
      </c>
      <c r="N214" s="21">
        <f t="shared" si="6"/>
        <v>0.12406015037593977</v>
      </c>
    </row>
    <row r="215" spans="1:14" x14ac:dyDescent="0.25">
      <c r="A215" s="13">
        <v>214</v>
      </c>
      <c r="B215" s="14">
        <v>45917</v>
      </c>
      <c r="C215" s="15">
        <v>0</v>
      </c>
      <c r="D215" s="15">
        <v>0</v>
      </c>
      <c r="E215" s="15">
        <v>0</v>
      </c>
      <c r="F215" s="15">
        <v>0</v>
      </c>
      <c r="G215" s="15">
        <v>1.61</v>
      </c>
      <c r="H215" s="15">
        <v>0</v>
      </c>
      <c r="I215" s="15">
        <v>0</v>
      </c>
      <c r="J215" s="15">
        <v>6.99</v>
      </c>
      <c r="K215" s="15">
        <v>11.79</v>
      </c>
      <c r="L215" s="15">
        <v>0</v>
      </c>
      <c r="M215" s="15">
        <f t="shared" si="7"/>
        <v>-3.1899999999999995</v>
      </c>
      <c r="N215" s="21">
        <f t="shared" si="6"/>
        <v>0.27056827820186596</v>
      </c>
    </row>
    <row r="216" spans="1:14" x14ac:dyDescent="0.25">
      <c r="A216" s="13">
        <v>215</v>
      </c>
      <c r="B216" s="14">
        <v>45917</v>
      </c>
      <c r="C216" s="15">
        <v>0</v>
      </c>
      <c r="D216" s="15">
        <v>0</v>
      </c>
      <c r="E216" s="15">
        <v>0</v>
      </c>
      <c r="F216" s="15">
        <v>0</v>
      </c>
      <c r="G216" s="15">
        <v>0</v>
      </c>
      <c r="H216" s="15">
        <v>0</v>
      </c>
      <c r="I216" s="15">
        <v>0</v>
      </c>
      <c r="J216" s="15">
        <v>6.99</v>
      </c>
      <c r="K216" s="15">
        <v>8.3699999999999992</v>
      </c>
      <c r="L216" s="15">
        <v>0.41</v>
      </c>
      <c r="M216" s="15">
        <f t="shared" si="7"/>
        <v>-0.96999999999999886</v>
      </c>
      <c r="N216" s="21">
        <f t="shared" si="6"/>
        <v>0.12185929648241194</v>
      </c>
    </row>
    <row r="217" spans="1:14" x14ac:dyDescent="0.25">
      <c r="A217" s="13">
        <v>216</v>
      </c>
      <c r="B217" s="14">
        <v>45917</v>
      </c>
      <c r="C217" s="15">
        <v>0</v>
      </c>
      <c r="D217" s="15">
        <v>0</v>
      </c>
      <c r="E217" s="15">
        <v>0</v>
      </c>
      <c r="F217" s="15">
        <v>0</v>
      </c>
      <c r="G217" s="15">
        <v>0</v>
      </c>
      <c r="H217" s="15">
        <v>0</v>
      </c>
      <c r="I217" s="15">
        <v>0</v>
      </c>
      <c r="J217" s="15">
        <v>7.12</v>
      </c>
      <c r="K217" s="15">
        <v>9.94</v>
      </c>
      <c r="L217" s="15">
        <v>0</v>
      </c>
      <c r="M217" s="15">
        <f t="shared" si="7"/>
        <v>-2.8199999999999994</v>
      </c>
      <c r="N217" s="21">
        <f t="shared" si="6"/>
        <v>0.28370221327967804</v>
      </c>
    </row>
    <row r="218" spans="1:14" x14ac:dyDescent="0.25">
      <c r="A218" s="13">
        <v>217</v>
      </c>
      <c r="B218" s="14">
        <v>45919</v>
      </c>
      <c r="C218" s="15">
        <v>0</v>
      </c>
      <c r="D218" s="15">
        <v>0</v>
      </c>
      <c r="E218" s="15">
        <v>0</v>
      </c>
      <c r="F218" s="15">
        <v>0</v>
      </c>
      <c r="G218" s="15">
        <v>0</v>
      </c>
      <c r="H218" s="15">
        <v>0</v>
      </c>
      <c r="I218" s="15">
        <v>0</v>
      </c>
      <c r="J218" s="15">
        <v>6.99</v>
      </c>
      <c r="K218" s="15">
        <v>8.36</v>
      </c>
      <c r="L218" s="15">
        <v>0.43</v>
      </c>
      <c r="M218" s="15">
        <f t="shared" si="7"/>
        <v>-0.9399999999999995</v>
      </c>
      <c r="N218" s="21">
        <f t="shared" si="6"/>
        <v>0.11853720050441356</v>
      </c>
    </row>
    <row r="219" spans="1:14" x14ac:dyDescent="0.25">
      <c r="A219" s="13">
        <v>218</v>
      </c>
      <c r="B219" s="14">
        <v>45919</v>
      </c>
      <c r="C219" s="15">
        <v>1.5</v>
      </c>
      <c r="D219" s="15">
        <v>0</v>
      </c>
      <c r="E219" s="15">
        <v>0</v>
      </c>
      <c r="F219" s="15">
        <v>2.9</v>
      </c>
      <c r="G219" s="15">
        <v>0</v>
      </c>
      <c r="H219" s="15">
        <v>0</v>
      </c>
      <c r="I219" s="15">
        <v>0</v>
      </c>
      <c r="J219" s="15">
        <v>7.08</v>
      </c>
      <c r="K219" s="15">
        <v>13.38</v>
      </c>
      <c r="L219" s="15">
        <v>0</v>
      </c>
      <c r="M219" s="15">
        <f t="shared" si="7"/>
        <v>-1.9000000000000004</v>
      </c>
      <c r="N219" s="21">
        <f t="shared" si="6"/>
        <v>0.14200298953662185</v>
      </c>
    </row>
    <row r="220" spans="1:14" x14ac:dyDescent="0.25">
      <c r="A220" s="13">
        <v>219</v>
      </c>
      <c r="B220" s="14">
        <v>45919</v>
      </c>
      <c r="C220" s="15">
        <v>0</v>
      </c>
      <c r="D220" s="15">
        <v>0</v>
      </c>
      <c r="E220" s="15">
        <v>0</v>
      </c>
      <c r="F220" s="15">
        <v>0</v>
      </c>
      <c r="G220" s="15">
        <v>0</v>
      </c>
      <c r="H220" s="15">
        <v>0</v>
      </c>
      <c r="I220" s="15">
        <v>0</v>
      </c>
      <c r="J220" s="15">
        <v>15.21</v>
      </c>
      <c r="K220" s="15">
        <v>17.18</v>
      </c>
      <c r="L220" s="15">
        <v>1.23</v>
      </c>
      <c r="M220" s="15">
        <f t="shared" si="7"/>
        <v>-0.73999999999999844</v>
      </c>
      <c r="N220" s="21">
        <f t="shared" si="6"/>
        <v>4.6394984326018712E-2</v>
      </c>
    </row>
    <row r="221" spans="1:14" x14ac:dyDescent="0.25">
      <c r="A221" s="13">
        <v>220</v>
      </c>
      <c r="B221" s="14">
        <v>45919</v>
      </c>
      <c r="C221" s="15">
        <v>3.25</v>
      </c>
      <c r="D221" s="15">
        <v>0</v>
      </c>
      <c r="E221" s="15">
        <v>0</v>
      </c>
      <c r="F221" s="15">
        <v>0</v>
      </c>
      <c r="G221" s="15">
        <v>0.87</v>
      </c>
      <c r="H221" s="15">
        <v>0</v>
      </c>
      <c r="I221" s="15">
        <v>0</v>
      </c>
      <c r="J221" s="15">
        <v>22.6</v>
      </c>
      <c r="K221" s="15">
        <v>29.66</v>
      </c>
      <c r="L221" s="15">
        <v>13.98</v>
      </c>
      <c r="M221" s="15">
        <f t="shared" si="7"/>
        <v>11.040000000000003</v>
      </c>
      <c r="N221" s="21">
        <f t="shared" si="6"/>
        <v>0.70408163265306145</v>
      </c>
    </row>
    <row r="222" spans="1:14" x14ac:dyDescent="0.25">
      <c r="A222" s="13">
        <v>221</v>
      </c>
      <c r="B222" s="14">
        <v>45919</v>
      </c>
      <c r="C222" s="15">
        <v>1</v>
      </c>
      <c r="D222" s="15">
        <v>0</v>
      </c>
      <c r="E222" s="15">
        <v>0</v>
      </c>
      <c r="F222" s="15">
        <v>0</v>
      </c>
      <c r="G222" s="15">
        <v>0</v>
      </c>
      <c r="H222" s="15">
        <v>0</v>
      </c>
      <c r="I222" s="15">
        <v>0</v>
      </c>
      <c r="J222" s="15">
        <v>6.99</v>
      </c>
      <c r="K222" s="15">
        <v>10.93</v>
      </c>
      <c r="L222" s="15">
        <v>0</v>
      </c>
      <c r="M222" s="15">
        <f t="shared" si="7"/>
        <v>-2.9399999999999995</v>
      </c>
      <c r="N222" s="21">
        <f t="shared" si="6"/>
        <v>0.26898444647758457</v>
      </c>
    </row>
    <row r="223" spans="1:14" x14ac:dyDescent="0.25">
      <c r="A223" s="13">
        <v>222</v>
      </c>
      <c r="B223" s="14">
        <v>45919</v>
      </c>
      <c r="C223" s="15">
        <v>6</v>
      </c>
      <c r="D223" s="15">
        <v>0</v>
      </c>
      <c r="E223" s="15">
        <v>0</v>
      </c>
      <c r="F223" s="15">
        <v>0</v>
      </c>
      <c r="G223" s="15">
        <v>0</v>
      </c>
      <c r="H223" s="15">
        <v>0</v>
      </c>
      <c r="I223" s="15">
        <v>0</v>
      </c>
      <c r="J223" s="15">
        <v>9.07</v>
      </c>
      <c r="K223" s="15">
        <v>16.87</v>
      </c>
      <c r="L223" s="15">
        <v>4.92</v>
      </c>
      <c r="M223" s="15">
        <f t="shared" si="7"/>
        <v>3.1199999999999992</v>
      </c>
      <c r="N223" s="21">
        <f t="shared" si="6"/>
        <v>0.26108786610878654</v>
      </c>
    </row>
    <row r="224" spans="1:14" x14ac:dyDescent="0.25">
      <c r="A224" s="13">
        <v>223</v>
      </c>
      <c r="B224" s="14">
        <v>45919</v>
      </c>
      <c r="C224" s="15">
        <v>11</v>
      </c>
      <c r="D224" s="15">
        <v>0</v>
      </c>
      <c r="E224" s="15">
        <v>0</v>
      </c>
      <c r="F224" s="15">
        <v>0</v>
      </c>
      <c r="G224" s="15">
        <v>0.11</v>
      </c>
      <c r="H224" s="15">
        <v>0</v>
      </c>
      <c r="I224" s="15">
        <v>0</v>
      </c>
      <c r="J224" s="15">
        <v>14.57</v>
      </c>
      <c r="K224" s="15">
        <v>27.41</v>
      </c>
      <c r="L224" s="15">
        <v>15.34</v>
      </c>
      <c r="M224" s="15">
        <f t="shared" si="7"/>
        <v>13.61</v>
      </c>
      <c r="N224" s="21">
        <f t="shared" si="6"/>
        <v>1.1275890637945318</v>
      </c>
    </row>
    <row r="225" spans="1:14" x14ac:dyDescent="0.25">
      <c r="A225" s="13">
        <v>224</v>
      </c>
      <c r="B225" s="14">
        <v>45919</v>
      </c>
      <c r="C225" s="15">
        <v>3</v>
      </c>
      <c r="D225" s="15">
        <v>0</v>
      </c>
      <c r="E225" s="15">
        <v>0</v>
      </c>
      <c r="F225" s="15">
        <v>0</v>
      </c>
      <c r="G225" s="15">
        <v>0</v>
      </c>
      <c r="H225" s="15">
        <v>0</v>
      </c>
      <c r="I225" s="15">
        <v>0</v>
      </c>
      <c r="J225" s="15">
        <v>14.68</v>
      </c>
      <c r="K225" s="15">
        <v>19.489999999999998</v>
      </c>
      <c r="L225" s="15">
        <v>4.3899999999999997</v>
      </c>
      <c r="M225" s="15">
        <f t="shared" si="7"/>
        <v>2.5800000000000018</v>
      </c>
      <c r="N225" s="21">
        <f t="shared" si="6"/>
        <v>0.17086092715231802</v>
      </c>
    </row>
    <row r="226" spans="1:14" x14ac:dyDescent="0.25">
      <c r="A226" s="13">
        <v>225</v>
      </c>
      <c r="B226" s="14">
        <v>45921</v>
      </c>
      <c r="C226" s="15">
        <v>4.75</v>
      </c>
      <c r="D226" s="15">
        <v>0</v>
      </c>
      <c r="E226" s="15">
        <v>0</v>
      </c>
      <c r="F226" s="15">
        <v>0</v>
      </c>
      <c r="G226" s="15">
        <v>0</v>
      </c>
      <c r="H226" s="15">
        <v>0</v>
      </c>
      <c r="I226" s="15">
        <v>0</v>
      </c>
      <c r="J226" s="15">
        <v>6.99</v>
      </c>
      <c r="K226" s="15">
        <v>13.44</v>
      </c>
      <c r="L226" s="15">
        <v>0.47</v>
      </c>
      <c r="M226" s="15">
        <f t="shared" si="7"/>
        <v>-1.2299999999999986</v>
      </c>
      <c r="N226" s="21">
        <f t="shared" si="6"/>
        <v>9.4834232845026886E-2</v>
      </c>
    </row>
    <row r="227" spans="1:14" x14ac:dyDescent="0.25">
      <c r="A227" s="13">
        <v>226</v>
      </c>
      <c r="B227" s="14">
        <v>45921</v>
      </c>
      <c r="C227" s="15">
        <v>6</v>
      </c>
      <c r="D227" s="15">
        <v>0</v>
      </c>
      <c r="E227" s="15">
        <v>0</v>
      </c>
      <c r="F227" s="15">
        <v>0</v>
      </c>
      <c r="G227" s="15">
        <v>0.33</v>
      </c>
      <c r="H227" s="15">
        <v>0</v>
      </c>
      <c r="I227" s="15">
        <v>0</v>
      </c>
      <c r="J227" s="15">
        <v>6.99</v>
      </c>
      <c r="K227" s="15">
        <v>15.09</v>
      </c>
      <c r="L227" s="15">
        <v>2.79</v>
      </c>
      <c r="M227" s="15">
        <f t="shared" si="7"/>
        <v>1.0199999999999996</v>
      </c>
      <c r="N227" s="21">
        <f t="shared" si="6"/>
        <v>8.2926829268292646E-2</v>
      </c>
    </row>
    <row r="228" spans="1:14" x14ac:dyDescent="0.25">
      <c r="A228" s="13">
        <v>227</v>
      </c>
      <c r="B228" s="14">
        <v>45921</v>
      </c>
      <c r="C228" s="15">
        <v>14</v>
      </c>
      <c r="D228" s="15">
        <v>0</v>
      </c>
      <c r="E228" s="15">
        <v>0</v>
      </c>
      <c r="F228" s="15">
        <v>0</v>
      </c>
      <c r="G228" s="15">
        <v>0</v>
      </c>
      <c r="H228" s="15">
        <v>0</v>
      </c>
      <c r="I228" s="15">
        <v>0</v>
      </c>
      <c r="J228" s="15">
        <v>8.02</v>
      </c>
      <c r="K228" s="15">
        <v>27.91</v>
      </c>
      <c r="L228" s="15">
        <v>0</v>
      </c>
      <c r="M228" s="15">
        <f t="shared" si="7"/>
        <v>-5.8900000000000006</v>
      </c>
      <c r="N228" s="21">
        <f t="shared" si="6"/>
        <v>0.21103547115729132</v>
      </c>
    </row>
    <row r="229" spans="1:14" x14ac:dyDescent="0.25">
      <c r="A229" s="13">
        <v>228</v>
      </c>
      <c r="B229" s="14">
        <v>45921</v>
      </c>
      <c r="C229" s="15">
        <v>17</v>
      </c>
      <c r="D229" s="15">
        <v>0</v>
      </c>
      <c r="E229" s="15">
        <v>0</v>
      </c>
      <c r="F229" s="15">
        <v>0</v>
      </c>
      <c r="G229" s="15">
        <v>0.6</v>
      </c>
      <c r="H229" s="15">
        <v>0</v>
      </c>
      <c r="I229" s="15">
        <v>0</v>
      </c>
      <c r="J229" s="15">
        <v>12.94</v>
      </c>
      <c r="K229" s="15">
        <v>33.36</v>
      </c>
      <c r="L229" s="15">
        <v>9.99</v>
      </c>
      <c r="M229" s="15">
        <f t="shared" si="7"/>
        <v>7.1700000000000017</v>
      </c>
      <c r="N229" s="21">
        <f t="shared" si="6"/>
        <v>0.3068035943517331</v>
      </c>
    </row>
    <row r="230" spans="1:14" x14ac:dyDescent="0.25">
      <c r="A230" s="13">
        <v>229</v>
      </c>
      <c r="B230" s="14">
        <v>45921</v>
      </c>
      <c r="C230" s="15">
        <v>4.5</v>
      </c>
      <c r="D230" s="15">
        <v>0</v>
      </c>
      <c r="E230" s="15">
        <v>0</v>
      </c>
      <c r="F230" s="15">
        <v>0</v>
      </c>
      <c r="G230" s="15">
        <v>0</v>
      </c>
      <c r="H230" s="15">
        <v>0</v>
      </c>
      <c r="I230" s="15">
        <v>0</v>
      </c>
      <c r="J230" s="15">
        <v>6.99</v>
      </c>
      <c r="K230" s="15">
        <v>17.899999999999999</v>
      </c>
      <c r="L230" s="15">
        <v>0</v>
      </c>
      <c r="M230" s="15">
        <f t="shared" si="7"/>
        <v>-6.4099999999999984</v>
      </c>
      <c r="N230" s="21">
        <f t="shared" si="6"/>
        <v>0.3581005586592178</v>
      </c>
    </row>
    <row r="231" spans="1:14" x14ac:dyDescent="0.25">
      <c r="A231" s="13">
        <v>230</v>
      </c>
      <c r="B231" s="14">
        <v>45921</v>
      </c>
      <c r="C231" s="15">
        <v>7.5</v>
      </c>
      <c r="D231" s="15">
        <v>0</v>
      </c>
      <c r="E231" s="15">
        <v>0</v>
      </c>
      <c r="F231" s="15">
        <v>0</v>
      </c>
      <c r="G231" s="15">
        <v>0</v>
      </c>
      <c r="H231" s="15">
        <v>0</v>
      </c>
      <c r="I231" s="15">
        <v>0</v>
      </c>
      <c r="J231" s="15">
        <v>24.02</v>
      </c>
      <c r="K231" s="15">
        <v>35.340000000000003</v>
      </c>
      <c r="L231" s="15">
        <v>2.13</v>
      </c>
      <c r="M231" s="15">
        <f t="shared" si="7"/>
        <v>-1.6900000000000013</v>
      </c>
      <c r="N231" s="21">
        <f t="shared" si="6"/>
        <v>5.0888286660644419E-2</v>
      </c>
    </row>
    <row r="232" spans="1:14" x14ac:dyDescent="0.25">
      <c r="A232" s="13">
        <v>231</v>
      </c>
      <c r="B232" s="14">
        <v>45921</v>
      </c>
      <c r="C232" s="15">
        <v>10</v>
      </c>
      <c r="D232" s="15">
        <v>0</v>
      </c>
      <c r="E232" s="15">
        <v>0</v>
      </c>
      <c r="F232" s="15">
        <v>2.9</v>
      </c>
      <c r="G232" s="15">
        <v>0</v>
      </c>
      <c r="H232" s="15">
        <v>0</v>
      </c>
      <c r="I232" s="15">
        <v>0</v>
      </c>
      <c r="J232" s="15">
        <v>14.7</v>
      </c>
      <c r="K232" s="15">
        <v>39.409999999999997</v>
      </c>
      <c r="L232" s="15">
        <v>0</v>
      </c>
      <c r="M232" s="15">
        <f t="shared" si="7"/>
        <v>-11.809999999999995</v>
      </c>
      <c r="N232" s="21">
        <f t="shared" si="6"/>
        <v>0.2996701344836335</v>
      </c>
    </row>
    <row r="233" spans="1:14" x14ac:dyDescent="0.25">
      <c r="A233" s="13">
        <v>232</v>
      </c>
      <c r="B233" s="14">
        <v>45921</v>
      </c>
      <c r="C233" s="15">
        <v>11</v>
      </c>
      <c r="D233" s="15">
        <v>0</v>
      </c>
      <c r="E233" s="15">
        <v>0</v>
      </c>
      <c r="F233" s="15">
        <v>0</v>
      </c>
      <c r="G233" s="15">
        <v>1.83</v>
      </c>
      <c r="H233" s="15">
        <v>0</v>
      </c>
      <c r="I233" s="15">
        <v>0</v>
      </c>
      <c r="J233" s="15">
        <v>10.27</v>
      </c>
      <c r="K233" s="15">
        <v>25.28</v>
      </c>
      <c r="L233" s="15">
        <v>9.3000000000000007</v>
      </c>
      <c r="M233" s="15">
        <f t="shared" si="7"/>
        <v>7.120000000000001</v>
      </c>
      <c r="N233" s="21">
        <f t="shared" si="6"/>
        <v>0.44555694618272845</v>
      </c>
    </row>
    <row r="234" spans="1:14" x14ac:dyDescent="0.25">
      <c r="A234" s="13">
        <v>233</v>
      </c>
      <c r="B234" s="14">
        <v>45921</v>
      </c>
      <c r="C234" s="15">
        <v>6.5</v>
      </c>
      <c r="D234" s="15">
        <v>0</v>
      </c>
      <c r="E234" s="15">
        <v>0</v>
      </c>
      <c r="F234" s="15">
        <v>0</v>
      </c>
      <c r="G234" s="15">
        <v>0</v>
      </c>
      <c r="H234" s="15">
        <v>0</v>
      </c>
      <c r="I234" s="15">
        <v>0</v>
      </c>
      <c r="J234" s="15">
        <v>18</v>
      </c>
      <c r="K234" s="15">
        <v>27.48</v>
      </c>
      <c r="L234" s="15">
        <v>2.54</v>
      </c>
      <c r="M234" s="15">
        <f t="shared" si="7"/>
        <v>-0.44000000000000128</v>
      </c>
      <c r="N234" s="21">
        <f t="shared" si="6"/>
        <v>1.7642341619887782E-2</v>
      </c>
    </row>
    <row r="235" spans="1:14" x14ac:dyDescent="0.25">
      <c r="A235" s="13">
        <v>234</v>
      </c>
      <c r="B235" s="14">
        <v>45921</v>
      </c>
      <c r="C235" s="15">
        <v>5.5</v>
      </c>
      <c r="D235" s="15">
        <v>0</v>
      </c>
      <c r="E235" s="15">
        <v>0</v>
      </c>
      <c r="F235" s="15">
        <v>0</v>
      </c>
      <c r="G235" s="15">
        <v>0</v>
      </c>
      <c r="H235" s="15">
        <v>0</v>
      </c>
      <c r="I235" s="15">
        <v>0</v>
      </c>
      <c r="J235" s="15">
        <v>16</v>
      </c>
      <c r="K235" s="15">
        <v>24.08</v>
      </c>
      <c r="L235" s="15">
        <v>2.11</v>
      </c>
      <c r="M235" s="15">
        <f t="shared" si="7"/>
        <v>-0.46999999999999886</v>
      </c>
      <c r="N235" s="21">
        <f t="shared" si="6"/>
        <v>2.1392808375056846E-2</v>
      </c>
    </row>
    <row r="236" spans="1:14" x14ac:dyDescent="0.25">
      <c r="A236" s="13">
        <v>235</v>
      </c>
      <c r="B236" s="14">
        <v>45921</v>
      </c>
      <c r="C236" s="15">
        <v>3.75</v>
      </c>
      <c r="D236" s="15">
        <v>0</v>
      </c>
      <c r="E236" s="15">
        <v>0</v>
      </c>
      <c r="F236" s="15">
        <v>0</v>
      </c>
      <c r="G236" s="15">
        <v>0</v>
      </c>
      <c r="H236" s="15">
        <v>0</v>
      </c>
      <c r="I236" s="15">
        <v>0</v>
      </c>
      <c r="J236" s="15">
        <v>13.83</v>
      </c>
      <c r="K236" s="15">
        <v>19.850000000000001</v>
      </c>
      <c r="L236" s="15">
        <v>1.88</v>
      </c>
      <c r="M236" s="15">
        <f t="shared" si="7"/>
        <v>-0.39000000000000412</v>
      </c>
      <c r="N236" s="21">
        <f t="shared" si="6"/>
        <v>2.1702838063439291E-2</v>
      </c>
    </row>
    <row r="237" spans="1:14" x14ac:dyDescent="0.25">
      <c r="A237" s="13">
        <v>236</v>
      </c>
      <c r="B237" s="14">
        <v>45921</v>
      </c>
      <c r="C237" s="15">
        <v>3</v>
      </c>
      <c r="D237" s="15">
        <v>0</v>
      </c>
      <c r="E237" s="15">
        <v>0</v>
      </c>
      <c r="F237" s="15">
        <v>0</v>
      </c>
      <c r="G237" s="15">
        <v>0</v>
      </c>
      <c r="H237" s="15">
        <v>0</v>
      </c>
      <c r="I237" s="15">
        <v>0</v>
      </c>
      <c r="J237" s="15">
        <v>6.99</v>
      </c>
      <c r="K237" s="15">
        <v>11.95</v>
      </c>
      <c r="L237" s="15">
        <v>0</v>
      </c>
      <c r="M237" s="15">
        <f t="shared" si="7"/>
        <v>-1.9599999999999991</v>
      </c>
      <c r="N237" s="21">
        <f t="shared" si="6"/>
        <v>0.16401673640167358</v>
      </c>
    </row>
    <row r="238" spans="1:14" x14ac:dyDescent="0.25">
      <c r="A238" s="13">
        <v>237</v>
      </c>
      <c r="B238" s="14">
        <v>45921</v>
      </c>
      <c r="C238" s="15">
        <v>12</v>
      </c>
      <c r="D238" s="15">
        <v>0</v>
      </c>
      <c r="E238" s="15">
        <v>0</v>
      </c>
      <c r="F238" s="15">
        <v>0</v>
      </c>
      <c r="G238" s="15">
        <v>0</v>
      </c>
      <c r="H238" s="15">
        <v>0</v>
      </c>
      <c r="I238" s="15">
        <v>0</v>
      </c>
      <c r="J238" s="15">
        <v>6.99</v>
      </c>
      <c r="K238" s="15">
        <v>21.1</v>
      </c>
      <c r="L238" s="15">
        <v>5.19</v>
      </c>
      <c r="M238" s="15">
        <f t="shared" si="7"/>
        <v>3.0800000000000018</v>
      </c>
      <c r="N238" s="21">
        <f t="shared" si="6"/>
        <v>0.1935889377749844</v>
      </c>
    </row>
    <row r="239" spans="1:14" x14ac:dyDescent="0.25">
      <c r="A239" s="13">
        <v>238</v>
      </c>
      <c r="B239" s="14">
        <v>45921</v>
      </c>
      <c r="C239" s="15">
        <v>17</v>
      </c>
      <c r="D239" s="15">
        <v>0</v>
      </c>
      <c r="E239" s="15">
        <v>0</v>
      </c>
      <c r="F239" s="15">
        <v>0</v>
      </c>
      <c r="G239" s="15">
        <v>0</v>
      </c>
      <c r="H239" s="15">
        <v>0</v>
      </c>
      <c r="I239" s="15">
        <v>0</v>
      </c>
      <c r="J239" s="15">
        <v>20.69</v>
      </c>
      <c r="K239" s="15">
        <v>41.71</v>
      </c>
      <c r="L239" s="15">
        <v>3.78</v>
      </c>
      <c r="M239" s="15">
        <f t="shared" si="7"/>
        <v>-0.24000000000000199</v>
      </c>
      <c r="N239" s="21">
        <f t="shared" si="6"/>
        <v>6.3274452939626148E-3</v>
      </c>
    </row>
    <row r="240" spans="1:14" x14ac:dyDescent="0.25">
      <c r="A240" s="13">
        <v>239</v>
      </c>
      <c r="B240" s="14">
        <v>45921</v>
      </c>
      <c r="C240" s="15">
        <v>11</v>
      </c>
      <c r="D240" s="15">
        <v>0</v>
      </c>
      <c r="E240" s="15">
        <v>0</v>
      </c>
      <c r="F240" s="15">
        <v>0</v>
      </c>
      <c r="G240" s="15">
        <v>0</v>
      </c>
      <c r="H240" s="15">
        <v>0</v>
      </c>
      <c r="I240" s="15">
        <v>0</v>
      </c>
      <c r="J240" s="15">
        <v>7.48</v>
      </c>
      <c r="K240" s="15">
        <v>20.329999999999998</v>
      </c>
      <c r="L240" s="15">
        <v>7.35</v>
      </c>
      <c r="M240" s="15">
        <f t="shared" si="7"/>
        <v>5.5000000000000018</v>
      </c>
      <c r="N240" s="21">
        <f t="shared" si="6"/>
        <v>0.42372881355932224</v>
      </c>
    </row>
    <row r="241" spans="1:14" x14ac:dyDescent="0.25">
      <c r="A241" s="13">
        <v>240</v>
      </c>
      <c r="B241" s="14">
        <v>45927</v>
      </c>
      <c r="C241" s="15">
        <v>0</v>
      </c>
      <c r="D241" s="15">
        <v>0</v>
      </c>
      <c r="E241" s="15">
        <v>0</v>
      </c>
      <c r="F241" s="15">
        <v>0</v>
      </c>
      <c r="G241" s="15">
        <v>0</v>
      </c>
      <c r="H241" s="15">
        <v>0</v>
      </c>
      <c r="I241" s="15">
        <v>0</v>
      </c>
      <c r="J241" s="15">
        <v>13.03</v>
      </c>
      <c r="K241" s="15">
        <v>19.96</v>
      </c>
      <c r="L241" s="15">
        <v>4.99</v>
      </c>
      <c r="M241" s="15">
        <f t="shared" si="7"/>
        <v>-1.9400000000000013</v>
      </c>
      <c r="N241" s="21">
        <f t="shared" si="6"/>
        <v>0.12959251837007357</v>
      </c>
    </row>
    <row r="242" spans="1:14" x14ac:dyDescent="0.25">
      <c r="A242" s="13">
        <v>241</v>
      </c>
      <c r="B242" s="14">
        <v>45927</v>
      </c>
      <c r="C242" s="15">
        <v>0</v>
      </c>
      <c r="D242" s="15">
        <v>0</v>
      </c>
      <c r="E242" s="15">
        <v>0</v>
      </c>
      <c r="F242" s="15">
        <v>0</v>
      </c>
      <c r="G242" s="15">
        <v>0</v>
      </c>
      <c r="H242" s="15">
        <v>0</v>
      </c>
      <c r="I242" s="15">
        <v>0</v>
      </c>
      <c r="J242" s="15">
        <v>16.350000000000001</v>
      </c>
      <c r="K242" s="15">
        <v>18.97</v>
      </c>
      <c r="L242" s="15">
        <v>1.55</v>
      </c>
      <c r="M242" s="15">
        <f t="shared" si="7"/>
        <v>-1.0699999999999967</v>
      </c>
      <c r="N242" s="21">
        <f t="shared" si="6"/>
        <v>6.1423650975889602E-2</v>
      </c>
    </row>
    <row r="243" spans="1:14" x14ac:dyDescent="0.25">
      <c r="A243" s="13">
        <v>242</v>
      </c>
      <c r="B243" s="14">
        <v>45927</v>
      </c>
      <c r="C243" s="15">
        <v>2.25</v>
      </c>
      <c r="D243" s="15">
        <v>0</v>
      </c>
      <c r="E243" s="15">
        <v>0</v>
      </c>
      <c r="F243" s="15">
        <v>0</v>
      </c>
      <c r="G243" s="15">
        <v>0</v>
      </c>
      <c r="H243" s="15">
        <v>0</v>
      </c>
      <c r="I243" s="15">
        <v>0</v>
      </c>
      <c r="J243" s="15">
        <v>6.99</v>
      </c>
      <c r="K243" s="15">
        <v>13.93</v>
      </c>
      <c r="L243" s="15">
        <v>0</v>
      </c>
      <c r="M243" s="15">
        <f t="shared" si="7"/>
        <v>-4.6899999999999995</v>
      </c>
      <c r="N243" s="21">
        <f t="shared" si="6"/>
        <v>0.33668341708542709</v>
      </c>
    </row>
    <row r="244" spans="1:14" x14ac:dyDescent="0.25">
      <c r="A244" s="13">
        <v>243</v>
      </c>
      <c r="B244" s="14">
        <v>45927</v>
      </c>
      <c r="C244" s="15">
        <v>0</v>
      </c>
      <c r="D244" s="15">
        <v>0</v>
      </c>
      <c r="E244" s="15">
        <v>0</v>
      </c>
      <c r="F244" s="15">
        <v>2.9</v>
      </c>
      <c r="G244" s="15">
        <v>0</v>
      </c>
      <c r="H244" s="15">
        <v>0</v>
      </c>
      <c r="I244" s="15">
        <v>0</v>
      </c>
      <c r="J244" s="15">
        <v>8.01</v>
      </c>
      <c r="K244" s="15">
        <v>13.18</v>
      </c>
      <c r="L244" s="15">
        <v>0</v>
      </c>
      <c r="M244" s="15">
        <f t="shared" si="7"/>
        <v>-2.2699999999999996</v>
      </c>
      <c r="N244" s="21">
        <f t="shared" si="6"/>
        <v>0.1722306525037936</v>
      </c>
    </row>
    <row r="245" spans="1:14" x14ac:dyDescent="0.25">
      <c r="A245" s="13">
        <v>244</v>
      </c>
      <c r="B245" s="14">
        <v>45927</v>
      </c>
      <c r="C245" s="15">
        <v>3.5</v>
      </c>
      <c r="D245" s="15">
        <v>0</v>
      </c>
      <c r="E245" s="15">
        <v>0</v>
      </c>
      <c r="F245" s="15">
        <v>0</v>
      </c>
      <c r="G245" s="15">
        <v>0</v>
      </c>
      <c r="H245" s="15">
        <v>0</v>
      </c>
      <c r="I245" s="15">
        <v>0</v>
      </c>
      <c r="J245" s="15">
        <v>6.99</v>
      </c>
      <c r="K245" s="15">
        <v>12</v>
      </c>
      <c r="L245" s="15">
        <v>2.08</v>
      </c>
      <c r="M245" s="15">
        <f t="shared" si="7"/>
        <v>0.57000000000000028</v>
      </c>
      <c r="N245" s="21">
        <f t="shared" si="6"/>
        <v>5.7459677419354871E-2</v>
      </c>
    </row>
    <row r="246" spans="1:14" x14ac:dyDescent="0.25">
      <c r="A246" s="13">
        <v>245</v>
      </c>
      <c r="B246" s="14">
        <v>45927</v>
      </c>
      <c r="C246" s="15">
        <v>1.25</v>
      </c>
      <c r="D246" s="15">
        <v>0</v>
      </c>
      <c r="E246" s="15">
        <v>0</v>
      </c>
      <c r="F246" s="15">
        <v>0</v>
      </c>
      <c r="G246" s="15">
        <v>0</v>
      </c>
      <c r="H246" s="15">
        <v>0</v>
      </c>
      <c r="I246" s="15">
        <v>0</v>
      </c>
      <c r="J246" s="15">
        <v>6.99</v>
      </c>
      <c r="K246" s="15">
        <v>9.9</v>
      </c>
      <c r="L246" s="15">
        <v>0</v>
      </c>
      <c r="M246" s="15">
        <f t="shared" si="7"/>
        <v>-1.6600000000000001</v>
      </c>
      <c r="N246" s="21">
        <f t="shared" si="6"/>
        <v>0.16767676767676767</v>
      </c>
    </row>
    <row r="247" spans="1:14" x14ac:dyDescent="0.25">
      <c r="A247" s="13">
        <v>246</v>
      </c>
      <c r="B247" s="14">
        <v>45927</v>
      </c>
      <c r="C247" s="15">
        <v>3</v>
      </c>
      <c r="D247" s="15">
        <v>0</v>
      </c>
      <c r="E247" s="15">
        <v>0</v>
      </c>
      <c r="F247" s="15">
        <v>0</v>
      </c>
      <c r="G247" s="15">
        <v>0</v>
      </c>
      <c r="H247" s="15">
        <v>0</v>
      </c>
      <c r="I247" s="15">
        <v>0</v>
      </c>
      <c r="J247" s="15">
        <v>11.11</v>
      </c>
      <c r="K247" s="15">
        <v>16.02</v>
      </c>
      <c r="L247" s="15">
        <v>7.0000000000000007E-2</v>
      </c>
      <c r="M247" s="15">
        <f t="shared" si="7"/>
        <v>-1.8399999999999999</v>
      </c>
      <c r="N247" s="21">
        <f t="shared" si="6"/>
        <v>0.11536050156739812</v>
      </c>
    </row>
    <row r="248" spans="1:14" x14ac:dyDescent="0.25">
      <c r="A248" s="13">
        <v>247</v>
      </c>
      <c r="B248" s="14">
        <v>45927</v>
      </c>
      <c r="C248" s="15">
        <v>3.25</v>
      </c>
      <c r="D248" s="15">
        <v>0</v>
      </c>
      <c r="E248" s="15">
        <v>0</v>
      </c>
      <c r="F248" s="15">
        <v>0</v>
      </c>
      <c r="G248" s="15">
        <v>0</v>
      </c>
      <c r="H248" s="15">
        <v>0</v>
      </c>
      <c r="I248" s="15">
        <v>0</v>
      </c>
      <c r="J248" s="15">
        <v>8.6199999999999992</v>
      </c>
      <c r="K248" s="15">
        <v>13.91</v>
      </c>
      <c r="L248" s="15">
        <v>1.06</v>
      </c>
      <c r="M248" s="15">
        <f t="shared" si="7"/>
        <v>-0.98000000000000043</v>
      </c>
      <c r="N248" s="21">
        <f t="shared" si="6"/>
        <v>7.626459143968875E-2</v>
      </c>
    </row>
    <row r="249" spans="1:14" x14ac:dyDescent="0.25">
      <c r="A249" s="13">
        <v>248</v>
      </c>
      <c r="B249" s="14">
        <v>45927</v>
      </c>
      <c r="C249" s="15">
        <v>0</v>
      </c>
      <c r="D249" s="15">
        <v>0</v>
      </c>
      <c r="E249" s="15">
        <v>0</v>
      </c>
      <c r="F249" s="15">
        <v>0</v>
      </c>
      <c r="G249" s="15">
        <v>0</v>
      </c>
      <c r="H249" s="15">
        <v>0</v>
      </c>
      <c r="I249" s="15">
        <v>0</v>
      </c>
      <c r="J249" s="15">
        <v>15.36</v>
      </c>
      <c r="K249" s="15">
        <v>22.96</v>
      </c>
      <c r="L249" s="15">
        <v>0</v>
      </c>
      <c r="M249" s="15">
        <f t="shared" si="7"/>
        <v>-7.6000000000000014</v>
      </c>
      <c r="N249" s="21">
        <f t="shared" si="6"/>
        <v>0.33101045296167253</v>
      </c>
    </row>
    <row r="250" spans="1:14" x14ac:dyDescent="0.25">
      <c r="A250" s="13">
        <v>249</v>
      </c>
      <c r="B250" s="14">
        <v>45927</v>
      </c>
      <c r="C250" s="15">
        <v>1</v>
      </c>
      <c r="D250" s="15">
        <v>0</v>
      </c>
      <c r="E250" s="15">
        <v>0</v>
      </c>
      <c r="F250" s="15">
        <v>0</v>
      </c>
      <c r="G250" s="15">
        <v>0</v>
      </c>
      <c r="H250" s="15">
        <v>0</v>
      </c>
      <c r="I250" s="15">
        <v>0</v>
      </c>
      <c r="J250" s="15">
        <v>8.7899999999999991</v>
      </c>
      <c r="K250" s="15">
        <v>12.91</v>
      </c>
      <c r="L250" s="15">
        <v>0</v>
      </c>
      <c r="M250" s="15">
        <f t="shared" si="7"/>
        <v>-3.120000000000001</v>
      </c>
      <c r="N250" s="21">
        <f t="shared" si="6"/>
        <v>0.24167312161115423</v>
      </c>
    </row>
    <row r="251" spans="1:14" x14ac:dyDescent="0.25">
      <c r="A251" s="13">
        <v>250</v>
      </c>
      <c r="B251" s="14">
        <v>45927</v>
      </c>
      <c r="C251" s="15">
        <v>0</v>
      </c>
      <c r="D251" s="15">
        <v>0</v>
      </c>
      <c r="E251" s="15">
        <v>0</v>
      </c>
      <c r="F251" s="15">
        <v>0</v>
      </c>
      <c r="G251" s="15">
        <v>0</v>
      </c>
      <c r="H251" s="15">
        <v>0</v>
      </c>
      <c r="I251" s="15">
        <v>0</v>
      </c>
      <c r="J251" s="15">
        <v>6.99</v>
      </c>
      <c r="K251" s="15">
        <v>9.9700000000000006</v>
      </c>
      <c r="L251" s="15">
        <v>0</v>
      </c>
      <c r="M251" s="15">
        <f t="shared" si="7"/>
        <v>-2.9800000000000004</v>
      </c>
      <c r="N251" s="21">
        <f t="shared" si="6"/>
        <v>0.29889669007021064</v>
      </c>
    </row>
    <row r="252" spans="1:14" x14ac:dyDescent="0.25">
      <c r="A252" s="13">
        <v>251</v>
      </c>
      <c r="B252" s="14">
        <v>45927</v>
      </c>
      <c r="C252" s="15">
        <v>3.25</v>
      </c>
      <c r="D252" s="15">
        <v>0</v>
      </c>
      <c r="E252" s="15">
        <v>0</v>
      </c>
      <c r="F252" s="15">
        <v>0</v>
      </c>
      <c r="G252" s="15">
        <v>0</v>
      </c>
      <c r="H252" s="15">
        <v>0</v>
      </c>
      <c r="I252" s="15">
        <v>0</v>
      </c>
      <c r="J252" s="15">
        <v>21.21</v>
      </c>
      <c r="K252" s="15">
        <v>27.31</v>
      </c>
      <c r="L252" s="15">
        <v>2.35</v>
      </c>
      <c r="M252" s="15">
        <f t="shared" si="7"/>
        <v>-0.49999999999999645</v>
      </c>
      <c r="N252" s="21">
        <f t="shared" si="6"/>
        <v>2.0032051282051141E-2</v>
      </c>
    </row>
    <row r="253" spans="1:14" x14ac:dyDescent="0.25">
      <c r="A253" s="13">
        <v>252</v>
      </c>
      <c r="B253" s="14">
        <v>45927</v>
      </c>
      <c r="C253" s="15">
        <v>0</v>
      </c>
      <c r="D253" s="15">
        <v>0</v>
      </c>
      <c r="E253" s="15">
        <v>0</v>
      </c>
      <c r="F253" s="15">
        <v>0</v>
      </c>
      <c r="G253" s="15">
        <v>0</v>
      </c>
      <c r="H253" s="15">
        <v>0</v>
      </c>
      <c r="I253" s="15">
        <v>0</v>
      </c>
      <c r="J253" s="15">
        <v>30.5</v>
      </c>
      <c r="K253" s="15">
        <v>34.03</v>
      </c>
      <c r="L253" s="15">
        <v>2.0499999999999998</v>
      </c>
      <c r="M253" s="15">
        <f t="shared" si="7"/>
        <v>-1.4800000000000004</v>
      </c>
      <c r="N253" s="21">
        <f t="shared" si="6"/>
        <v>4.6278924327704828E-2</v>
      </c>
    </row>
    <row r="254" spans="1:14" x14ac:dyDescent="0.25">
      <c r="A254" s="13">
        <v>253</v>
      </c>
      <c r="B254" s="14">
        <v>45927</v>
      </c>
      <c r="C254" s="15">
        <v>14</v>
      </c>
      <c r="D254" s="15">
        <v>0</v>
      </c>
      <c r="E254" s="15">
        <v>0</v>
      </c>
      <c r="F254" s="15">
        <v>0</v>
      </c>
      <c r="G254" s="15">
        <v>0</v>
      </c>
      <c r="H254" s="15">
        <v>0</v>
      </c>
      <c r="I254" s="15">
        <v>0</v>
      </c>
      <c r="J254" s="15">
        <v>19.559999999999999</v>
      </c>
      <c r="K254" s="15">
        <v>37.340000000000003</v>
      </c>
      <c r="L254" s="15">
        <v>13.56</v>
      </c>
      <c r="M254" s="15">
        <f t="shared" si="7"/>
        <v>9.7800000000000011</v>
      </c>
      <c r="N254" s="21">
        <f t="shared" si="6"/>
        <v>0.41126997476871324</v>
      </c>
    </row>
    <row r="255" spans="1:14" x14ac:dyDescent="0.25">
      <c r="A255" s="13">
        <v>254</v>
      </c>
      <c r="B255" s="14">
        <v>45927</v>
      </c>
      <c r="C255" s="15">
        <v>9.5</v>
      </c>
      <c r="D255" s="15">
        <v>0</v>
      </c>
      <c r="E255" s="15">
        <v>0</v>
      </c>
      <c r="F255" s="15">
        <v>0</v>
      </c>
      <c r="G255" s="15">
        <v>0.03</v>
      </c>
      <c r="H255" s="15">
        <v>0</v>
      </c>
      <c r="I255" s="15">
        <v>0</v>
      </c>
      <c r="J255" s="15">
        <v>11.56</v>
      </c>
      <c r="K255" s="15">
        <v>23.04</v>
      </c>
      <c r="L255" s="15">
        <v>9.51</v>
      </c>
      <c r="M255" s="15">
        <f t="shared" si="7"/>
        <v>7.5600000000000005</v>
      </c>
      <c r="N255" s="21">
        <f t="shared" si="6"/>
        <v>0.5587583148558759</v>
      </c>
    </row>
    <row r="256" spans="1:14" x14ac:dyDescent="0.25">
      <c r="A256" s="13">
        <v>255</v>
      </c>
      <c r="B256" s="14">
        <v>45927</v>
      </c>
      <c r="C256" s="15">
        <v>0</v>
      </c>
      <c r="D256" s="15">
        <v>0</v>
      </c>
      <c r="E256" s="15">
        <v>0</v>
      </c>
      <c r="F256" s="15">
        <v>0</v>
      </c>
      <c r="G256" s="15">
        <v>0</v>
      </c>
      <c r="H256" s="15">
        <v>0</v>
      </c>
      <c r="I256" s="15">
        <v>0</v>
      </c>
      <c r="J256" s="15">
        <v>13.21</v>
      </c>
      <c r="K256" s="15">
        <v>15.03</v>
      </c>
      <c r="L256" s="15">
        <v>2.09</v>
      </c>
      <c r="M256" s="15">
        <f t="shared" si="7"/>
        <v>0.27000000000000135</v>
      </c>
      <c r="N256" s="21">
        <f t="shared" si="6"/>
        <v>2.0865533230293769E-2</v>
      </c>
    </row>
    <row r="257" spans="1:14" x14ac:dyDescent="0.25">
      <c r="A257" s="13">
        <v>256</v>
      </c>
      <c r="B257" s="14">
        <v>45927</v>
      </c>
      <c r="C257" s="15">
        <v>1.25</v>
      </c>
      <c r="D257" s="15">
        <v>0</v>
      </c>
      <c r="E257" s="15">
        <v>0</v>
      </c>
      <c r="F257" s="15">
        <v>0</v>
      </c>
      <c r="G257" s="15">
        <v>0</v>
      </c>
      <c r="H257" s="15">
        <v>0</v>
      </c>
      <c r="I257" s="15">
        <v>0</v>
      </c>
      <c r="J257" s="15">
        <v>6.99</v>
      </c>
      <c r="K257" s="15">
        <v>9.9700000000000006</v>
      </c>
      <c r="L257" s="15">
        <v>0</v>
      </c>
      <c r="M257" s="15">
        <f t="shared" si="7"/>
        <v>-1.7300000000000004</v>
      </c>
      <c r="N257" s="21">
        <f t="shared" si="6"/>
        <v>0.1735205616850552</v>
      </c>
    </row>
    <row r="258" spans="1:14" x14ac:dyDescent="0.25">
      <c r="A258" s="13">
        <v>257</v>
      </c>
      <c r="B258" s="14">
        <v>45928</v>
      </c>
      <c r="C258" s="15">
        <v>3.5</v>
      </c>
      <c r="D258" s="15">
        <v>0</v>
      </c>
      <c r="E258" s="15">
        <v>0</v>
      </c>
      <c r="F258" s="15">
        <v>0</v>
      </c>
      <c r="G258" s="15">
        <v>0</v>
      </c>
      <c r="H258" s="15">
        <v>0</v>
      </c>
      <c r="I258" s="15">
        <v>0</v>
      </c>
      <c r="J258" s="15">
        <v>28.17</v>
      </c>
      <c r="K258" s="15">
        <v>37.9</v>
      </c>
      <c r="L258" s="15">
        <v>0</v>
      </c>
      <c r="M258" s="15">
        <f t="shared" si="7"/>
        <v>-6.2299999999999969</v>
      </c>
      <c r="N258" s="21">
        <f t="shared" si="6"/>
        <v>0.16437994722955138</v>
      </c>
    </row>
    <row r="259" spans="1:14" x14ac:dyDescent="0.25">
      <c r="A259" s="13">
        <v>258</v>
      </c>
      <c r="B259" s="14">
        <v>45928</v>
      </c>
      <c r="C259" s="15">
        <v>5.25</v>
      </c>
      <c r="D259" s="15">
        <v>0</v>
      </c>
      <c r="E259" s="15">
        <v>0</v>
      </c>
      <c r="F259" s="15">
        <v>0</v>
      </c>
      <c r="G259" s="15">
        <v>1.04</v>
      </c>
      <c r="H259" s="15">
        <v>0</v>
      </c>
      <c r="I259" s="15">
        <v>0</v>
      </c>
      <c r="J259" s="15">
        <v>30.65</v>
      </c>
      <c r="K259" s="15">
        <v>40.79</v>
      </c>
      <c r="L259" s="15">
        <v>4.4000000000000004</v>
      </c>
      <c r="M259" s="15">
        <f t="shared" ref="M259:M322" si="8">((C259+D259+E259+F259+G259+H259+J259)-(K259-L259))</f>
        <v>0.54999999999999716</v>
      </c>
      <c r="N259" s="21">
        <f t="shared" si="6"/>
        <v>1.5114042319318417E-2</v>
      </c>
    </row>
    <row r="260" spans="1:14" x14ac:dyDescent="0.25">
      <c r="A260" s="13">
        <v>259</v>
      </c>
      <c r="B260" s="14">
        <v>45929</v>
      </c>
      <c r="C260" s="15">
        <v>0</v>
      </c>
      <c r="D260" s="15">
        <v>0</v>
      </c>
      <c r="E260" s="15">
        <v>0</v>
      </c>
      <c r="F260" s="15">
        <v>0</v>
      </c>
      <c r="G260" s="15">
        <v>0</v>
      </c>
      <c r="H260" s="15">
        <v>0</v>
      </c>
      <c r="I260" s="15">
        <v>0</v>
      </c>
      <c r="J260" s="15">
        <v>8.92</v>
      </c>
      <c r="K260" s="15">
        <v>10.51</v>
      </c>
      <c r="L260" s="15">
        <v>0.56999999999999995</v>
      </c>
      <c r="M260" s="15">
        <f t="shared" si="8"/>
        <v>-1.0199999999999996</v>
      </c>
      <c r="N260" s="21">
        <f t="shared" si="6"/>
        <v>0.1026156941649899</v>
      </c>
    </row>
    <row r="261" spans="1:14" x14ac:dyDescent="0.25">
      <c r="A261" s="13">
        <v>260</v>
      </c>
      <c r="B261" s="14">
        <v>45929</v>
      </c>
      <c r="C261" s="15">
        <v>0</v>
      </c>
      <c r="D261" s="15">
        <v>0</v>
      </c>
      <c r="E261" s="15">
        <v>0</v>
      </c>
      <c r="F261" s="15">
        <v>0</v>
      </c>
      <c r="G261" s="15">
        <v>0</v>
      </c>
      <c r="H261" s="15">
        <v>0</v>
      </c>
      <c r="I261" s="15">
        <v>0</v>
      </c>
      <c r="J261" s="15">
        <v>30.88</v>
      </c>
      <c r="K261" s="15">
        <v>41.95</v>
      </c>
      <c r="L261" s="15">
        <v>5.93</v>
      </c>
      <c r="M261" s="15">
        <f t="shared" si="8"/>
        <v>-5.1400000000000041</v>
      </c>
      <c r="N261" s="21">
        <f t="shared" si="6"/>
        <v>0.14269850083287072</v>
      </c>
    </row>
    <row r="262" spans="1:14" x14ac:dyDescent="0.25">
      <c r="A262" s="13">
        <v>261</v>
      </c>
      <c r="B262" s="14">
        <v>45929</v>
      </c>
      <c r="C262" s="15">
        <v>0</v>
      </c>
      <c r="D262" s="15">
        <v>0</v>
      </c>
      <c r="E262" s="15">
        <v>0</v>
      </c>
      <c r="F262" s="15">
        <v>0</v>
      </c>
      <c r="G262" s="15">
        <v>0</v>
      </c>
      <c r="H262" s="15">
        <v>0</v>
      </c>
      <c r="I262" s="15">
        <v>0</v>
      </c>
      <c r="J262" s="15">
        <v>20.97</v>
      </c>
      <c r="K262" s="15">
        <v>28.92</v>
      </c>
      <c r="L262" s="15">
        <v>0</v>
      </c>
      <c r="M262" s="15">
        <f t="shared" si="8"/>
        <v>-7.9500000000000028</v>
      </c>
      <c r="N262" s="21">
        <f t="shared" si="6"/>
        <v>0.27489626556016605</v>
      </c>
    </row>
    <row r="263" spans="1:14" x14ac:dyDescent="0.25">
      <c r="A263" s="13">
        <v>262</v>
      </c>
      <c r="B263" s="14">
        <v>45929</v>
      </c>
      <c r="C263" s="15">
        <v>1.25</v>
      </c>
      <c r="D263" s="15">
        <v>0</v>
      </c>
      <c r="E263" s="15">
        <v>0</v>
      </c>
      <c r="F263" s="15">
        <v>0</v>
      </c>
      <c r="G263" s="15">
        <v>0</v>
      </c>
      <c r="H263" s="15">
        <v>0</v>
      </c>
      <c r="I263" s="15">
        <v>0</v>
      </c>
      <c r="J263" s="15">
        <v>11.72</v>
      </c>
      <c r="K263" s="15">
        <v>18.920000000000002</v>
      </c>
      <c r="L263" s="15">
        <v>0</v>
      </c>
      <c r="M263" s="15">
        <f t="shared" si="8"/>
        <v>-5.9500000000000011</v>
      </c>
      <c r="N263" s="21">
        <f t="shared" si="6"/>
        <v>0.31448202959830868</v>
      </c>
    </row>
    <row r="264" spans="1:14" x14ac:dyDescent="0.25">
      <c r="A264" s="13">
        <v>263</v>
      </c>
      <c r="B264" s="14">
        <v>45929</v>
      </c>
      <c r="C264" s="15">
        <v>0</v>
      </c>
      <c r="D264" s="15">
        <v>0</v>
      </c>
      <c r="E264" s="15">
        <v>0</v>
      </c>
      <c r="F264" s="15">
        <v>0</v>
      </c>
      <c r="G264" s="15">
        <v>0.16</v>
      </c>
      <c r="H264" s="15">
        <v>0</v>
      </c>
      <c r="I264" s="15">
        <v>0</v>
      </c>
      <c r="J264" s="15">
        <v>6.99</v>
      </c>
      <c r="K264" s="15">
        <v>10.17</v>
      </c>
      <c r="L264" s="15">
        <v>0</v>
      </c>
      <c r="M264" s="15">
        <f t="shared" si="8"/>
        <v>-3.0199999999999996</v>
      </c>
      <c r="N264" s="21">
        <f t="shared" si="6"/>
        <v>0.29695181907571283</v>
      </c>
    </row>
    <row r="265" spans="1:14" x14ac:dyDescent="0.25">
      <c r="A265" s="13">
        <v>264</v>
      </c>
      <c r="B265" s="14">
        <v>45929</v>
      </c>
      <c r="C265" s="15">
        <v>0</v>
      </c>
      <c r="D265" s="15">
        <v>0</v>
      </c>
      <c r="E265" s="15">
        <v>0</v>
      </c>
      <c r="F265" s="15">
        <v>0</v>
      </c>
      <c r="G265" s="15">
        <v>0</v>
      </c>
      <c r="H265" s="15">
        <v>0</v>
      </c>
      <c r="I265" s="15">
        <v>0</v>
      </c>
      <c r="J265" s="15">
        <v>6.99</v>
      </c>
      <c r="K265" s="15">
        <v>8.94</v>
      </c>
      <c r="L265" s="15">
        <v>0</v>
      </c>
      <c r="M265" s="15">
        <f t="shared" si="8"/>
        <v>-1.9499999999999993</v>
      </c>
      <c r="N265" s="21">
        <f t="shared" si="6"/>
        <v>0.21812080536912745</v>
      </c>
    </row>
    <row r="266" spans="1:14" x14ac:dyDescent="0.25">
      <c r="A266" s="13">
        <v>265</v>
      </c>
      <c r="B266" s="14">
        <v>45929</v>
      </c>
      <c r="C266" s="15">
        <v>0</v>
      </c>
      <c r="D266" s="15">
        <v>0</v>
      </c>
      <c r="E266" s="15">
        <v>0</v>
      </c>
      <c r="F266" s="15">
        <v>0</v>
      </c>
      <c r="G266" s="15">
        <v>0</v>
      </c>
      <c r="H266" s="15">
        <v>0</v>
      </c>
      <c r="I266" s="15">
        <v>0</v>
      </c>
      <c r="J266" s="15">
        <v>14.36</v>
      </c>
      <c r="K266" s="15">
        <v>23.93</v>
      </c>
      <c r="L266" s="15">
        <v>0</v>
      </c>
      <c r="M266" s="15">
        <f t="shared" si="8"/>
        <v>-9.57</v>
      </c>
      <c r="N266" s="21">
        <f t="shared" si="6"/>
        <v>0.39991642290012536</v>
      </c>
    </row>
    <row r="267" spans="1:14" x14ac:dyDescent="0.25">
      <c r="A267" s="13">
        <v>266</v>
      </c>
      <c r="B267" s="14">
        <v>45929</v>
      </c>
      <c r="C267" s="15">
        <v>2.75</v>
      </c>
      <c r="D267" s="15">
        <v>0</v>
      </c>
      <c r="E267" s="15">
        <v>0</v>
      </c>
      <c r="F267" s="15">
        <v>0</v>
      </c>
      <c r="G267" s="15">
        <v>0</v>
      </c>
      <c r="H267" s="15">
        <v>0</v>
      </c>
      <c r="I267" s="15">
        <v>0</v>
      </c>
      <c r="J267" s="15">
        <v>9.77</v>
      </c>
      <c r="K267" s="15">
        <v>14.24</v>
      </c>
      <c r="L267" s="15">
        <v>4.3099999999999996</v>
      </c>
      <c r="M267" s="15">
        <f t="shared" si="8"/>
        <v>2.59</v>
      </c>
      <c r="N267" s="21">
        <f t="shared" si="6"/>
        <v>0.26082578046324267</v>
      </c>
    </row>
    <row r="268" spans="1:14" x14ac:dyDescent="0.25">
      <c r="A268" s="13">
        <v>267</v>
      </c>
      <c r="B268" s="14">
        <v>45929</v>
      </c>
      <c r="C268" s="15">
        <v>3.25</v>
      </c>
      <c r="D268" s="15">
        <v>0</v>
      </c>
      <c r="E268" s="15">
        <v>0</v>
      </c>
      <c r="F268" s="15">
        <v>0</v>
      </c>
      <c r="G268" s="15">
        <v>0</v>
      </c>
      <c r="H268" s="15">
        <v>0</v>
      </c>
      <c r="I268" s="15">
        <v>0</v>
      </c>
      <c r="J268" s="15">
        <v>7.54</v>
      </c>
      <c r="K268" s="15">
        <v>17.989999999999998</v>
      </c>
      <c r="L268" s="15">
        <v>0</v>
      </c>
      <c r="M268" s="15">
        <f t="shared" si="8"/>
        <v>-7.1999999999999993</v>
      </c>
      <c r="N268" s="21">
        <f t="shared" si="6"/>
        <v>0.4002223457476376</v>
      </c>
    </row>
    <row r="269" spans="1:14" x14ac:dyDescent="0.25">
      <c r="A269" s="13">
        <v>268</v>
      </c>
      <c r="B269" s="14">
        <v>45929</v>
      </c>
      <c r="C269" s="15">
        <v>2.5</v>
      </c>
      <c r="D269" s="15">
        <v>0</v>
      </c>
      <c r="E269" s="15">
        <v>0</v>
      </c>
      <c r="F269" s="15">
        <v>0</v>
      </c>
      <c r="G269" s="15">
        <v>0</v>
      </c>
      <c r="H269" s="15">
        <v>0</v>
      </c>
      <c r="I269" s="15">
        <v>0</v>
      </c>
      <c r="J269" s="15">
        <v>19.05</v>
      </c>
      <c r="K269" s="15">
        <v>35.909999999999997</v>
      </c>
      <c r="L269" s="15">
        <v>0</v>
      </c>
      <c r="M269" s="15">
        <f t="shared" si="8"/>
        <v>-14.359999999999996</v>
      </c>
      <c r="N269" s="21">
        <f t="shared" si="6"/>
        <v>0.39988861041492613</v>
      </c>
    </row>
    <row r="270" spans="1:14" x14ac:dyDescent="0.25">
      <c r="A270" s="13">
        <v>269</v>
      </c>
      <c r="B270" s="14">
        <v>45929</v>
      </c>
      <c r="C270" s="15">
        <v>0</v>
      </c>
      <c r="D270" s="15">
        <v>0</v>
      </c>
      <c r="E270" s="15">
        <v>0</v>
      </c>
      <c r="F270" s="15">
        <v>0</v>
      </c>
      <c r="G270" s="15">
        <v>0.61</v>
      </c>
      <c r="H270" s="15">
        <v>0</v>
      </c>
      <c r="I270" s="15">
        <v>0</v>
      </c>
      <c r="J270" s="15">
        <v>54.78</v>
      </c>
      <c r="K270" s="15">
        <v>70.66</v>
      </c>
      <c r="L270" s="15">
        <v>0.65</v>
      </c>
      <c r="M270" s="15">
        <f t="shared" si="8"/>
        <v>-14.61999999999999</v>
      </c>
      <c r="N270" s="21">
        <f t="shared" si="6"/>
        <v>0.20882731038423072</v>
      </c>
    </row>
    <row r="271" spans="1:14" x14ac:dyDescent="0.25">
      <c r="A271" s="13">
        <v>270</v>
      </c>
      <c r="B271" s="14">
        <v>45929</v>
      </c>
      <c r="C271" s="15">
        <v>0</v>
      </c>
      <c r="D271" s="15">
        <v>0</v>
      </c>
      <c r="E271" s="15">
        <v>0</v>
      </c>
      <c r="F271" s="15">
        <v>0</v>
      </c>
      <c r="G271" s="15">
        <v>0</v>
      </c>
      <c r="H271" s="15">
        <v>0</v>
      </c>
      <c r="I271" s="15">
        <v>0</v>
      </c>
      <c r="J271" s="15">
        <v>10.55</v>
      </c>
      <c r="K271" s="15">
        <v>15.97</v>
      </c>
      <c r="L271" s="15">
        <v>0</v>
      </c>
      <c r="M271" s="15">
        <f t="shared" si="8"/>
        <v>-5.42</v>
      </c>
      <c r="N271" s="21">
        <f t="shared" si="6"/>
        <v>0.33938634940513462</v>
      </c>
    </row>
    <row r="272" spans="1:14" x14ac:dyDescent="0.25">
      <c r="A272" s="13">
        <v>271</v>
      </c>
      <c r="B272" s="14">
        <v>45929</v>
      </c>
      <c r="C272" s="15">
        <v>0</v>
      </c>
      <c r="D272" s="15">
        <v>0</v>
      </c>
      <c r="E272" s="15">
        <v>0</v>
      </c>
      <c r="F272" s="15">
        <v>0</v>
      </c>
      <c r="G272" s="15">
        <v>0</v>
      </c>
      <c r="H272" s="15">
        <v>0</v>
      </c>
      <c r="I272" s="15">
        <v>0</v>
      </c>
      <c r="J272" s="15">
        <v>6.99</v>
      </c>
      <c r="K272" s="15">
        <v>8.36</v>
      </c>
      <c r="L272" s="15">
        <v>0.43</v>
      </c>
      <c r="M272" s="15">
        <f t="shared" si="8"/>
        <v>-0.9399999999999995</v>
      </c>
      <c r="N272" s="21">
        <f t="shared" si="6"/>
        <v>0.11853720050441356</v>
      </c>
    </row>
    <row r="273" spans="1:14" x14ac:dyDescent="0.25">
      <c r="A273" s="13">
        <v>272</v>
      </c>
      <c r="B273" s="14">
        <v>45929</v>
      </c>
      <c r="C273" s="15">
        <v>0</v>
      </c>
      <c r="D273" s="15">
        <v>0</v>
      </c>
      <c r="E273" s="15">
        <v>0</v>
      </c>
      <c r="F273" s="15">
        <v>0</v>
      </c>
      <c r="G273" s="15">
        <v>0</v>
      </c>
      <c r="H273" s="15">
        <v>0</v>
      </c>
      <c r="I273" s="15">
        <v>0</v>
      </c>
      <c r="J273" s="15">
        <v>34.270000000000003</v>
      </c>
      <c r="K273" s="15">
        <v>46.92</v>
      </c>
      <c r="L273" s="15">
        <v>0</v>
      </c>
      <c r="M273" s="15">
        <f t="shared" si="8"/>
        <v>-12.649999999999999</v>
      </c>
      <c r="N273" s="21">
        <f t="shared" si="6"/>
        <v>0.26960784313725489</v>
      </c>
    </row>
    <row r="274" spans="1:14" x14ac:dyDescent="0.25">
      <c r="A274" s="13">
        <v>273</v>
      </c>
      <c r="B274" s="14">
        <v>45929</v>
      </c>
      <c r="C274" s="15">
        <v>0</v>
      </c>
      <c r="D274" s="15">
        <v>0</v>
      </c>
      <c r="E274" s="15">
        <v>0</v>
      </c>
      <c r="F274" s="15">
        <v>0</v>
      </c>
      <c r="G274" s="15">
        <v>0</v>
      </c>
      <c r="H274" s="15">
        <v>0</v>
      </c>
      <c r="I274" s="15">
        <v>0</v>
      </c>
      <c r="J274" s="15">
        <v>34.17</v>
      </c>
      <c r="K274" s="15">
        <v>38.630000000000003</v>
      </c>
      <c r="L274" s="15">
        <v>7.2</v>
      </c>
      <c r="M274" s="15">
        <f t="shared" si="8"/>
        <v>2.7399999999999984</v>
      </c>
      <c r="N274" s="21">
        <f t="shared" si="6"/>
        <v>8.7177855552020303E-2</v>
      </c>
    </row>
    <row r="275" spans="1:14" x14ac:dyDescent="0.25">
      <c r="A275" s="13">
        <v>274</v>
      </c>
      <c r="B275" s="14">
        <v>45929</v>
      </c>
      <c r="C275" s="15">
        <v>2.25</v>
      </c>
      <c r="D275" s="15">
        <v>0</v>
      </c>
      <c r="E275" s="15">
        <v>0</v>
      </c>
      <c r="F275" s="15">
        <v>0</v>
      </c>
      <c r="G275" s="15">
        <v>0</v>
      </c>
      <c r="H275" s="15">
        <v>0</v>
      </c>
      <c r="I275" s="15">
        <v>0</v>
      </c>
      <c r="J275" s="15">
        <v>11.95</v>
      </c>
      <c r="K275" s="15">
        <v>16.3</v>
      </c>
      <c r="L275" s="15">
        <v>3.09</v>
      </c>
      <c r="M275" s="15">
        <f t="shared" si="8"/>
        <v>0.98999999999999844</v>
      </c>
      <c r="N275" s="21">
        <f t="shared" si="6"/>
        <v>7.494322482967436E-2</v>
      </c>
    </row>
    <row r="276" spans="1:14" x14ac:dyDescent="0.25">
      <c r="A276" s="13">
        <v>275</v>
      </c>
      <c r="B276" s="14">
        <v>45932</v>
      </c>
      <c r="C276" s="15">
        <v>0</v>
      </c>
      <c r="D276" s="15">
        <v>0</v>
      </c>
      <c r="E276" s="15">
        <v>0</v>
      </c>
      <c r="F276" s="15">
        <v>0</v>
      </c>
      <c r="G276" s="15">
        <v>0</v>
      </c>
      <c r="H276" s="15">
        <v>0</v>
      </c>
      <c r="I276" s="15">
        <v>0</v>
      </c>
      <c r="J276" s="15">
        <v>6.99</v>
      </c>
      <c r="K276" s="15">
        <v>8.9499999999999993</v>
      </c>
      <c r="L276" s="15">
        <v>0</v>
      </c>
      <c r="M276" s="15">
        <f t="shared" si="8"/>
        <v>-1.9599999999999991</v>
      </c>
      <c r="N276" s="21">
        <f t="shared" si="6"/>
        <v>0.21899441340782114</v>
      </c>
    </row>
    <row r="277" spans="1:14" x14ac:dyDescent="0.25">
      <c r="A277" s="13">
        <v>276</v>
      </c>
      <c r="B277" s="14">
        <v>45932</v>
      </c>
      <c r="C277" s="15">
        <v>1.25</v>
      </c>
      <c r="D277" s="15">
        <v>0</v>
      </c>
      <c r="E277" s="15">
        <v>0</v>
      </c>
      <c r="F277" s="15">
        <v>0</v>
      </c>
      <c r="G277" s="15">
        <v>0</v>
      </c>
      <c r="H277" s="15">
        <v>0</v>
      </c>
      <c r="I277" s="15">
        <v>0</v>
      </c>
      <c r="J277" s="15">
        <v>6.99</v>
      </c>
      <c r="K277" s="15">
        <v>10.93</v>
      </c>
      <c r="L277" s="15">
        <v>0</v>
      </c>
      <c r="M277" s="15">
        <f t="shared" si="8"/>
        <v>-2.6899999999999995</v>
      </c>
      <c r="N277" s="21">
        <f t="shared" si="6"/>
        <v>0.24611161939615733</v>
      </c>
    </row>
    <row r="278" spans="1:14" x14ac:dyDescent="0.25">
      <c r="A278" s="13">
        <v>277</v>
      </c>
      <c r="B278" s="14">
        <v>45932</v>
      </c>
      <c r="C278" s="15">
        <v>0</v>
      </c>
      <c r="D278" s="15">
        <v>0</v>
      </c>
      <c r="E278" s="15">
        <v>0</v>
      </c>
      <c r="F278" s="15">
        <v>0</v>
      </c>
      <c r="G278" s="15">
        <v>0</v>
      </c>
      <c r="H278" s="15">
        <v>0</v>
      </c>
      <c r="I278" s="15">
        <v>0</v>
      </c>
      <c r="J278" s="15">
        <v>6.99</v>
      </c>
      <c r="K278" s="15">
        <v>9.94</v>
      </c>
      <c r="L278" s="15">
        <v>0</v>
      </c>
      <c r="M278" s="15">
        <f t="shared" si="8"/>
        <v>-2.9499999999999993</v>
      </c>
      <c r="N278" s="21">
        <f t="shared" si="6"/>
        <v>0.29678068410462771</v>
      </c>
    </row>
    <row r="279" spans="1:14" x14ac:dyDescent="0.25">
      <c r="A279" s="13">
        <v>278</v>
      </c>
      <c r="B279" s="14">
        <v>45932</v>
      </c>
      <c r="C279" s="15">
        <v>0</v>
      </c>
      <c r="D279" s="15">
        <v>0</v>
      </c>
      <c r="E279" s="15">
        <v>0</v>
      </c>
      <c r="F279" s="15">
        <v>0</v>
      </c>
      <c r="G279" s="15">
        <v>0</v>
      </c>
      <c r="H279" s="15">
        <v>0</v>
      </c>
      <c r="I279" s="15">
        <v>0</v>
      </c>
      <c r="J279" s="15">
        <v>6.99</v>
      </c>
      <c r="K279" s="15">
        <v>8.36</v>
      </c>
      <c r="L279" s="15">
        <v>0.38</v>
      </c>
      <c r="M279" s="15">
        <f t="shared" si="8"/>
        <v>-0.98999999999999932</v>
      </c>
      <c r="N279" s="21">
        <f t="shared" si="6"/>
        <v>0.12406015037593977</v>
      </c>
    </row>
    <row r="280" spans="1:14" x14ac:dyDescent="0.25">
      <c r="A280" s="13">
        <v>279</v>
      </c>
      <c r="B280" s="14">
        <v>45932</v>
      </c>
      <c r="C280" s="15">
        <v>0</v>
      </c>
      <c r="D280" s="15">
        <v>0</v>
      </c>
      <c r="E280" s="15">
        <v>0</v>
      </c>
      <c r="F280" s="15">
        <v>0</v>
      </c>
      <c r="G280" s="15">
        <v>0</v>
      </c>
      <c r="H280" s="15">
        <v>0</v>
      </c>
      <c r="I280" s="15">
        <v>0</v>
      </c>
      <c r="J280" s="15">
        <v>19.690000000000001</v>
      </c>
      <c r="K280" s="15">
        <v>22.01</v>
      </c>
      <c r="L280" s="15">
        <v>3.09</v>
      </c>
      <c r="M280" s="15">
        <f t="shared" si="8"/>
        <v>0.76999999999999957</v>
      </c>
      <c r="N280" s="21">
        <f t="shared" si="6"/>
        <v>4.0697674418604626E-2</v>
      </c>
    </row>
    <row r="281" spans="1:14" x14ac:dyDescent="0.25">
      <c r="A281" s="13">
        <v>280</v>
      </c>
      <c r="B281" s="14">
        <v>45933</v>
      </c>
      <c r="C281" s="15">
        <v>0</v>
      </c>
      <c r="D281" s="15">
        <v>0</v>
      </c>
      <c r="E281" s="15">
        <v>0</v>
      </c>
      <c r="F281" s="15">
        <v>0</v>
      </c>
      <c r="G281" s="15">
        <v>0</v>
      </c>
      <c r="H281" s="15">
        <v>0</v>
      </c>
      <c r="I281" s="15">
        <v>0</v>
      </c>
      <c r="J281" s="15">
        <v>6.99</v>
      </c>
      <c r="K281" s="15">
        <v>8.92</v>
      </c>
      <c r="L281" s="15">
        <v>0</v>
      </c>
      <c r="M281" s="15">
        <f t="shared" si="8"/>
        <v>-1.9299999999999997</v>
      </c>
      <c r="N281" s="21">
        <f t="shared" si="6"/>
        <v>0.21636771300448426</v>
      </c>
    </row>
    <row r="282" spans="1:14" x14ac:dyDescent="0.25">
      <c r="A282" s="13">
        <v>281</v>
      </c>
      <c r="B282" s="14">
        <v>45933</v>
      </c>
      <c r="C282" s="15">
        <v>5.5</v>
      </c>
      <c r="D282" s="15">
        <v>0</v>
      </c>
      <c r="E282" s="15">
        <v>0</v>
      </c>
      <c r="F282" s="15">
        <v>0</v>
      </c>
      <c r="G282" s="15">
        <v>0</v>
      </c>
      <c r="H282" s="15">
        <v>0</v>
      </c>
      <c r="I282" s="15">
        <v>0</v>
      </c>
      <c r="J282" s="15">
        <v>32.130000000000003</v>
      </c>
      <c r="K282" s="15">
        <v>41.34</v>
      </c>
      <c r="L282" s="15">
        <v>1.43</v>
      </c>
      <c r="M282" s="15">
        <f t="shared" si="8"/>
        <v>-2.2800000000000011</v>
      </c>
      <c r="N282" s="21">
        <f t="shared" si="6"/>
        <v>5.7128539213229787E-2</v>
      </c>
    </row>
    <row r="283" spans="1:14" x14ac:dyDescent="0.25">
      <c r="A283" s="13">
        <v>282</v>
      </c>
      <c r="B283" s="14">
        <v>45933</v>
      </c>
      <c r="C283" s="15">
        <v>2.75</v>
      </c>
      <c r="D283" s="15">
        <v>0</v>
      </c>
      <c r="E283" s="15">
        <v>0</v>
      </c>
      <c r="F283" s="15">
        <v>2.9</v>
      </c>
      <c r="G283" s="15">
        <v>0.85</v>
      </c>
      <c r="H283" s="15">
        <v>0</v>
      </c>
      <c r="I283" s="15">
        <v>0</v>
      </c>
      <c r="J283" s="15">
        <v>13.33</v>
      </c>
      <c r="K283" s="15">
        <v>35.47</v>
      </c>
      <c r="L283" s="15">
        <v>5.3</v>
      </c>
      <c r="M283" s="15">
        <f t="shared" si="8"/>
        <v>-10.34</v>
      </c>
      <c r="N283" s="21">
        <f t="shared" si="6"/>
        <v>0.34272456082200864</v>
      </c>
    </row>
    <row r="284" spans="1:14" x14ac:dyDescent="0.25">
      <c r="A284" s="13">
        <v>283</v>
      </c>
      <c r="B284" s="14">
        <v>45933</v>
      </c>
      <c r="C284" s="15">
        <v>1.5</v>
      </c>
      <c r="D284" s="15">
        <v>0</v>
      </c>
      <c r="E284" s="15">
        <v>0</v>
      </c>
      <c r="F284" s="15">
        <v>0</v>
      </c>
      <c r="G284" s="15">
        <v>0</v>
      </c>
      <c r="H284" s="15">
        <v>0</v>
      </c>
      <c r="I284" s="15">
        <v>0</v>
      </c>
      <c r="J284" s="15">
        <v>12.45</v>
      </c>
      <c r="K284" s="15">
        <v>18.940000000000001</v>
      </c>
      <c r="L284" s="15">
        <v>0</v>
      </c>
      <c r="M284" s="15">
        <f t="shared" si="8"/>
        <v>-4.990000000000002</v>
      </c>
      <c r="N284" s="21">
        <f t="shared" si="6"/>
        <v>0.26346356916578678</v>
      </c>
    </row>
    <row r="285" spans="1:14" x14ac:dyDescent="0.25">
      <c r="A285" s="13">
        <v>284</v>
      </c>
      <c r="B285" s="14">
        <v>45933</v>
      </c>
      <c r="C285" s="15">
        <v>1.75</v>
      </c>
      <c r="D285" s="15">
        <v>0</v>
      </c>
      <c r="E285" s="15">
        <v>0</v>
      </c>
      <c r="F285" s="15">
        <v>0</v>
      </c>
      <c r="G285" s="15">
        <v>0.26</v>
      </c>
      <c r="H285" s="15">
        <v>0</v>
      </c>
      <c r="I285" s="15">
        <v>0</v>
      </c>
      <c r="J285" s="15">
        <v>12.73</v>
      </c>
      <c r="K285" s="15">
        <v>21.22</v>
      </c>
      <c r="L285" s="15">
        <v>1.44</v>
      </c>
      <c r="M285" s="15">
        <f t="shared" si="8"/>
        <v>-5.0399999999999974</v>
      </c>
      <c r="N285" s="21">
        <f t="shared" si="6"/>
        <v>0.25480283114256813</v>
      </c>
    </row>
    <row r="286" spans="1:14" x14ac:dyDescent="0.25">
      <c r="A286" s="13">
        <v>285</v>
      </c>
      <c r="B286" s="14">
        <v>45933</v>
      </c>
      <c r="C286" s="15">
        <v>0</v>
      </c>
      <c r="D286" s="15">
        <v>0</v>
      </c>
      <c r="E286" s="15">
        <v>0</v>
      </c>
      <c r="F286" s="15">
        <v>0</v>
      </c>
      <c r="G286" s="15">
        <v>0</v>
      </c>
      <c r="H286" s="15">
        <v>0</v>
      </c>
      <c r="I286" s="15">
        <v>0</v>
      </c>
      <c r="J286" s="15">
        <v>10.62</v>
      </c>
      <c r="K286" s="15">
        <v>12.33</v>
      </c>
      <c r="L286" s="15">
        <v>0.41</v>
      </c>
      <c r="M286" s="15">
        <f t="shared" si="8"/>
        <v>-1.3000000000000007</v>
      </c>
      <c r="N286" s="21">
        <f t="shared" si="6"/>
        <v>0.10906040268456382</v>
      </c>
    </row>
    <row r="287" spans="1:14" x14ac:dyDescent="0.25">
      <c r="A287" s="13">
        <v>286</v>
      </c>
      <c r="B287" s="14">
        <v>45933</v>
      </c>
      <c r="C287" s="15">
        <v>0</v>
      </c>
      <c r="D287" s="15">
        <v>0</v>
      </c>
      <c r="E287" s="15">
        <v>0</v>
      </c>
      <c r="F287" s="15">
        <v>0</v>
      </c>
      <c r="G287" s="15">
        <v>0</v>
      </c>
      <c r="H287" s="15">
        <v>0</v>
      </c>
      <c r="I287" s="15">
        <v>0</v>
      </c>
      <c r="J287" s="15">
        <v>10.59</v>
      </c>
      <c r="K287" s="15">
        <v>12.99</v>
      </c>
      <c r="L287" s="15">
        <v>0</v>
      </c>
      <c r="M287" s="15">
        <f t="shared" si="8"/>
        <v>-2.4000000000000004</v>
      </c>
      <c r="N287" s="21">
        <f t="shared" si="6"/>
        <v>0.18475750577367209</v>
      </c>
    </row>
    <row r="288" spans="1:14" x14ac:dyDescent="0.25">
      <c r="A288" s="13">
        <v>287</v>
      </c>
      <c r="B288" s="14">
        <v>45936</v>
      </c>
      <c r="C288" s="15">
        <v>0</v>
      </c>
      <c r="D288" s="15">
        <v>0</v>
      </c>
      <c r="E288" s="15">
        <v>0</v>
      </c>
      <c r="F288" s="15">
        <v>0</v>
      </c>
      <c r="G288" s="15">
        <v>0</v>
      </c>
      <c r="H288" s="15">
        <v>0</v>
      </c>
      <c r="I288" s="15">
        <v>0</v>
      </c>
      <c r="J288" s="15">
        <v>6.99</v>
      </c>
      <c r="K288" s="15">
        <v>9.9499999999999993</v>
      </c>
      <c r="L288" s="15">
        <v>0</v>
      </c>
      <c r="M288" s="15">
        <f t="shared" si="8"/>
        <v>-2.9599999999999991</v>
      </c>
      <c r="N288" s="21">
        <f t="shared" si="6"/>
        <v>0.29748743718592957</v>
      </c>
    </row>
    <row r="289" spans="1:14" x14ac:dyDescent="0.25">
      <c r="A289" s="13">
        <v>288</v>
      </c>
      <c r="B289" s="14">
        <v>45936</v>
      </c>
      <c r="C289" s="15">
        <v>0</v>
      </c>
      <c r="D289" s="15">
        <v>0</v>
      </c>
      <c r="E289" s="15">
        <v>0</v>
      </c>
      <c r="F289" s="15">
        <v>0</v>
      </c>
      <c r="G289" s="15">
        <v>0</v>
      </c>
      <c r="H289" s="15">
        <v>0</v>
      </c>
      <c r="I289" s="15">
        <v>0</v>
      </c>
      <c r="J289" s="15">
        <v>16.100000000000001</v>
      </c>
      <c r="K289" s="15">
        <v>19.91</v>
      </c>
      <c r="L289" s="15">
        <v>0</v>
      </c>
      <c r="M289" s="15">
        <f t="shared" si="8"/>
        <v>-3.8099999999999987</v>
      </c>
      <c r="N289" s="21">
        <f t="shared" si="6"/>
        <v>0.19136112506278247</v>
      </c>
    </row>
    <row r="290" spans="1:14" x14ac:dyDescent="0.25">
      <c r="A290" s="13">
        <v>289</v>
      </c>
      <c r="B290" s="14">
        <v>45936</v>
      </c>
      <c r="C290" s="15">
        <v>0</v>
      </c>
      <c r="D290" s="15">
        <v>0</v>
      </c>
      <c r="E290" s="15">
        <v>0</v>
      </c>
      <c r="F290" s="15">
        <v>0</v>
      </c>
      <c r="G290" s="15">
        <v>0</v>
      </c>
      <c r="H290" s="15">
        <v>0</v>
      </c>
      <c r="I290" s="15">
        <v>0</v>
      </c>
      <c r="J290" s="15">
        <v>20.28</v>
      </c>
      <c r="K290" s="15">
        <v>23.95</v>
      </c>
      <c r="L290" s="15">
        <v>0</v>
      </c>
      <c r="M290" s="15">
        <f t="shared" si="8"/>
        <v>-3.6699999999999982</v>
      </c>
      <c r="N290" s="21">
        <f t="shared" si="6"/>
        <v>0.15323590814196236</v>
      </c>
    </row>
    <row r="291" spans="1:14" x14ac:dyDescent="0.25">
      <c r="A291" s="13">
        <v>290</v>
      </c>
      <c r="B291" s="14">
        <v>45936</v>
      </c>
      <c r="C291" s="15">
        <v>1.75</v>
      </c>
      <c r="D291" s="15">
        <v>0</v>
      </c>
      <c r="E291" s="15">
        <v>0</v>
      </c>
      <c r="F291" s="15">
        <v>0</v>
      </c>
      <c r="G291" s="15">
        <v>0</v>
      </c>
      <c r="H291" s="15">
        <v>0</v>
      </c>
      <c r="I291" s="15">
        <v>0</v>
      </c>
      <c r="J291" s="15">
        <v>22.19</v>
      </c>
      <c r="K291" s="15">
        <v>36.979999999999997</v>
      </c>
      <c r="L291" s="15">
        <v>0</v>
      </c>
      <c r="M291" s="15">
        <f t="shared" si="8"/>
        <v>-13.039999999999996</v>
      </c>
      <c r="N291" s="21">
        <f t="shared" si="6"/>
        <v>0.35262303948080037</v>
      </c>
    </row>
    <row r="292" spans="1:14" x14ac:dyDescent="0.25">
      <c r="A292" s="13">
        <v>291</v>
      </c>
      <c r="B292" s="14">
        <v>45936</v>
      </c>
      <c r="C292" s="15">
        <v>3.5</v>
      </c>
      <c r="D292" s="15">
        <v>0</v>
      </c>
      <c r="E292" s="15">
        <v>0</v>
      </c>
      <c r="F292" s="15">
        <v>0</v>
      </c>
      <c r="G292" s="15">
        <v>0</v>
      </c>
      <c r="H292" s="15">
        <v>0</v>
      </c>
      <c r="I292" s="15">
        <v>0</v>
      </c>
      <c r="J292" s="15">
        <v>6.99</v>
      </c>
      <c r="K292" s="15">
        <v>16.989999999999998</v>
      </c>
      <c r="L292" s="15">
        <v>4.08</v>
      </c>
      <c r="M292" s="15">
        <f t="shared" si="8"/>
        <v>-2.4199999999999982</v>
      </c>
      <c r="N292" s="21">
        <f t="shared" si="6"/>
        <v>0.18745158791634381</v>
      </c>
    </row>
    <row r="293" spans="1:14" x14ac:dyDescent="0.25">
      <c r="A293" s="13">
        <v>292</v>
      </c>
      <c r="B293" s="14">
        <v>45936</v>
      </c>
      <c r="C293" s="15">
        <v>9.25</v>
      </c>
      <c r="D293" s="15">
        <v>0</v>
      </c>
      <c r="E293" s="15">
        <v>0</v>
      </c>
      <c r="F293" s="15">
        <v>0</v>
      </c>
      <c r="G293" s="15">
        <v>0</v>
      </c>
      <c r="H293" s="15">
        <v>0</v>
      </c>
      <c r="I293" s="15">
        <v>0</v>
      </c>
      <c r="J293" s="15">
        <v>12.11</v>
      </c>
      <c r="K293" s="15">
        <v>23.7</v>
      </c>
      <c r="L293" s="15">
        <v>3.5</v>
      </c>
      <c r="M293" s="15">
        <f t="shared" si="8"/>
        <v>1.1600000000000001</v>
      </c>
      <c r="N293" s="21">
        <f t="shared" si="6"/>
        <v>5.7425742574257435E-2</v>
      </c>
    </row>
    <row r="294" spans="1:14" x14ac:dyDescent="0.25">
      <c r="A294" s="13">
        <v>293</v>
      </c>
      <c r="B294" s="14">
        <v>45936</v>
      </c>
      <c r="C294" s="15">
        <v>6.75</v>
      </c>
      <c r="D294" s="15">
        <v>0</v>
      </c>
      <c r="E294" s="15">
        <v>0</v>
      </c>
      <c r="F294" s="15">
        <v>0</v>
      </c>
      <c r="G294" s="15">
        <v>0</v>
      </c>
      <c r="H294" s="15">
        <v>0</v>
      </c>
      <c r="I294" s="15">
        <v>0</v>
      </c>
      <c r="J294" s="15">
        <v>14.24</v>
      </c>
      <c r="K294" s="15">
        <v>34.99</v>
      </c>
      <c r="L294" s="15">
        <v>0</v>
      </c>
      <c r="M294" s="15">
        <f t="shared" si="8"/>
        <v>-14</v>
      </c>
      <c r="N294" s="21">
        <f t="shared" si="6"/>
        <v>0.40011431837667905</v>
      </c>
    </row>
    <row r="295" spans="1:14" x14ac:dyDescent="0.25">
      <c r="A295" s="13">
        <v>294</v>
      </c>
      <c r="B295" s="14">
        <v>45936</v>
      </c>
      <c r="C295" s="15">
        <v>2</v>
      </c>
      <c r="D295" s="15">
        <v>0</v>
      </c>
      <c r="E295" s="15">
        <v>0</v>
      </c>
      <c r="F295" s="15">
        <v>0</v>
      </c>
      <c r="G295" s="15">
        <v>0</v>
      </c>
      <c r="H295" s="15">
        <v>0</v>
      </c>
      <c r="I295" s="15">
        <v>0</v>
      </c>
      <c r="J295" s="15">
        <v>6.99</v>
      </c>
      <c r="K295" s="15">
        <v>10.45</v>
      </c>
      <c r="L295" s="15">
        <v>1.26</v>
      </c>
      <c r="M295" s="15">
        <f t="shared" si="8"/>
        <v>-0.19999999999999929</v>
      </c>
      <c r="N295" s="21">
        <f t="shared" si="6"/>
        <v>2.1762785636561404E-2</v>
      </c>
    </row>
    <row r="296" spans="1:14" x14ac:dyDescent="0.25">
      <c r="A296" s="13">
        <v>295</v>
      </c>
      <c r="B296" s="14">
        <v>45936</v>
      </c>
      <c r="C296" s="15">
        <v>2.5</v>
      </c>
      <c r="D296" s="15">
        <v>0</v>
      </c>
      <c r="E296" s="15">
        <v>0</v>
      </c>
      <c r="F296" s="15">
        <v>0</v>
      </c>
      <c r="G296" s="15">
        <v>0</v>
      </c>
      <c r="H296" s="15">
        <v>0</v>
      </c>
      <c r="I296" s="15">
        <v>0</v>
      </c>
      <c r="J296" s="15">
        <v>7.63</v>
      </c>
      <c r="K296" s="15">
        <v>11.92</v>
      </c>
      <c r="L296" s="15">
        <v>0</v>
      </c>
      <c r="M296" s="15">
        <f t="shared" si="8"/>
        <v>-1.7900000000000009</v>
      </c>
      <c r="N296" s="21">
        <f t="shared" si="6"/>
        <v>0.1501677852348994</v>
      </c>
    </row>
    <row r="297" spans="1:14" x14ac:dyDescent="0.25">
      <c r="A297" s="13">
        <v>296</v>
      </c>
      <c r="B297" s="14">
        <v>45936</v>
      </c>
      <c r="C297" s="15">
        <v>0</v>
      </c>
      <c r="D297" s="15">
        <v>0</v>
      </c>
      <c r="E297" s="15">
        <v>0</v>
      </c>
      <c r="F297" s="15">
        <v>0</v>
      </c>
      <c r="G297" s="15">
        <v>0</v>
      </c>
      <c r="H297" s="15">
        <v>0</v>
      </c>
      <c r="I297" s="15">
        <v>0</v>
      </c>
      <c r="J297" s="15">
        <v>12.71</v>
      </c>
      <c r="K297" s="15">
        <v>18.95</v>
      </c>
      <c r="L297" s="15">
        <v>0</v>
      </c>
      <c r="M297" s="15">
        <f t="shared" si="8"/>
        <v>-6.2399999999999984</v>
      </c>
      <c r="N297" s="21">
        <f t="shared" si="6"/>
        <v>0.32928759894459098</v>
      </c>
    </row>
    <row r="298" spans="1:14" x14ac:dyDescent="0.25">
      <c r="A298" s="13">
        <v>297</v>
      </c>
      <c r="B298" s="14">
        <v>45936</v>
      </c>
      <c r="C298" s="15">
        <v>3</v>
      </c>
      <c r="D298" s="15">
        <v>0</v>
      </c>
      <c r="E298" s="15">
        <v>0</v>
      </c>
      <c r="F298" s="15">
        <v>0</v>
      </c>
      <c r="G298" s="15">
        <v>0</v>
      </c>
      <c r="H298" s="15">
        <v>0</v>
      </c>
      <c r="I298" s="15">
        <v>0</v>
      </c>
      <c r="J298" s="15">
        <v>6.99</v>
      </c>
      <c r="K298" s="15">
        <v>11.37</v>
      </c>
      <c r="L298" s="15">
        <v>2.4</v>
      </c>
      <c r="M298" s="15">
        <f t="shared" si="8"/>
        <v>1.0200000000000014</v>
      </c>
      <c r="N298" s="21">
        <f t="shared" si="6"/>
        <v>0.11371237458193996</v>
      </c>
    </row>
    <row r="299" spans="1:14" x14ac:dyDescent="0.25">
      <c r="A299" s="13">
        <v>298</v>
      </c>
      <c r="B299" s="14">
        <v>45936</v>
      </c>
      <c r="C299" s="15">
        <v>3</v>
      </c>
      <c r="D299" s="15">
        <v>0</v>
      </c>
      <c r="E299" s="15">
        <v>0</v>
      </c>
      <c r="F299" s="15">
        <v>0</v>
      </c>
      <c r="G299" s="15">
        <v>4.3099999999999996</v>
      </c>
      <c r="H299" s="15">
        <v>0</v>
      </c>
      <c r="I299" s="15">
        <v>0</v>
      </c>
      <c r="J299" s="15">
        <v>6.99</v>
      </c>
      <c r="K299" s="15">
        <v>16.29</v>
      </c>
      <c r="L299" s="15">
        <v>5.13</v>
      </c>
      <c r="M299" s="15">
        <f t="shared" si="8"/>
        <v>3.1400000000000006</v>
      </c>
      <c r="N299" s="21">
        <f t="shared" si="6"/>
        <v>0.28136200716845883</v>
      </c>
    </row>
    <row r="300" spans="1:14" x14ac:dyDescent="0.25">
      <c r="A300" s="13">
        <v>299</v>
      </c>
      <c r="B300" s="14">
        <v>45936</v>
      </c>
      <c r="C300" s="15">
        <v>5.5</v>
      </c>
      <c r="D300" s="15">
        <v>0</v>
      </c>
      <c r="E300" s="15">
        <v>0</v>
      </c>
      <c r="F300" s="15">
        <v>4.54</v>
      </c>
      <c r="G300" s="15">
        <v>0</v>
      </c>
      <c r="H300" s="15">
        <v>0</v>
      </c>
      <c r="I300" s="15">
        <v>0</v>
      </c>
      <c r="J300" s="15">
        <v>28.46</v>
      </c>
      <c r="K300" s="15">
        <v>50.12</v>
      </c>
      <c r="L300" s="15">
        <v>0</v>
      </c>
      <c r="M300" s="15">
        <f t="shared" si="8"/>
        <v>-11.619999999999997</v>
      </c>
      <c r="N300" s="21">
        <f t="shared" si="6"/>
        <v>0.23184357541899436</v>
      </c>
    </row>
    <row r="301" spans="1:14" x14ac:dyDescent="0.25">
      <c r="A301" s="13">
        <v>300</v>
      </c>
      <c r="B301" s="14">
        <v>45936</v>
      </c>
      <c r="C301" s="15">
        <v>5.5</v>
      </c>
      <c r="D301" s="15">
        <v>0</v>
      </c>
      <c r="E301" s="15">
        <v>0</v>
      </c>
      <c r="F301" s="15">
        <v>0</v>
      </c>
      <c r="G301" s="15">
        <v>0</v>
      </c>
      <c r="H301" s="15">
        <v>0</v>
      </c>
      <c r="I301" s="15">
        <v>0</v>
      </c>
      <c r="J301" s="15">
        <v>9.39</v>
      </c>
      <c r="K301" s="15">
        <v>16.670000000000002</v>
      </c>
      <c r="L301" s="15">
        <v>1.71</v>
      </c>
      <c r="M301" s="15">
        <f t="shared" si="8"/>
        <v>-7.0000000000000284E-2</v>
      </c>
      <c r="N301" s="21">
        <f t="shared" si="6"/>
        <v>4.6791443850267567E-3</v>
      </c>
    </row>
    <row r="302" spans="1:14" x14ac:dyDescent="0.25">
      <c r="A302" s="13">
        <v>301</v>
      </c>
      <c r="B302" s="14">
        <v>45936</v>
      </c>
      <c r="C302" s="15">
        <v>0</v>
      </c>
      <c r="D302" s="15">
        <v>0</v>
      </c>
      <c r="E302" s="15">
        <v>0</v>
      </c>
      <c r="F302" s="15">
        <v>0</v>
      </c>
      <c r="G302" s="15">
        <v>0.56000000000000005</v>
      </c>
      <c r="H302" s="15">
        <v>0</v>
      </c>
      <c r="I302" s="15">
        <v>0</v>
      </c>
      <c r="J302" s="15">
        <v>6.99</v>
      </c>
      <c r="K302" s="15">
        <v>9.61</v>
      </c>
      <c r="L302" s="15">
        <v>0.48</v>
      </c>
      <c r="M302" s="15">
        <f t="shared" si="8"/>
        <v>-1.5799999999999983</v>
      </c>
      <c r="N302" s="21">
        <f t="shared" si="6"/>
        <v>0.1730558598028476</v>
      </c>
    </row>
    <row r="303" spans="1:14" x14ac:dyDescent="0.25">
      <c r="A303" s="13">
        <v>302</v>
      </c>
      <c r="B303" s="14">
        <v>45936</v>
      </c>
      <c r="C303" s="15">
        <v>3.75</v>
      </c>
      <c r="D303" s="15">
        <v>0</v>
      </c>
      <c r="E303" s="15">
        <v>0</v>
      </c>
      <c r="F303" s="15">
        <v>0</v>
      </c>
      <c r="G303" s="15">
        <v>0</v>
      </c>
      <c r="H303" s="15">
        <v>0</v>
      </c>
      <c r="I303" s="15">
        <v>0</v>
      </c>
      <c r="J303" s="15">
        <v>19.71</v>
      </c>
      <c r="K303" s="15">
        <v>36.96</v>
      </c>
      <c r="L303" s="15">
        <v>0.77500000000000002</v>
      </c>
      <c r="M303" s="15">
        <f t="shared" si="8"/>
        <v>-12.725000000000001</v>
      </c>
      <c r="N303" s="21">
        <f t="shared" si="6"/>
        <v>0.35166505458062736</v>
      </c>
    </row>
    <row r="304" spans="1:14" x14ac:dyDescent="0.25">
      <c r="A304" s="13">
        <v>303</v>
      </c>
      <c r="B304" s="14">
        <v>45936</v>
      </c>
      <c r="C304" s="15">
        <v>3.75</v>
      </c>
      <c r="D304" s="15">
        <v>0</v>
      </c>
      <c r="E304" s="15">
        <v>0</v>
      </c>
      <c r="F304" s="15">
        <v>0</v>
      </c>
      <c r="G304" s="15">
        <v>0</v>
      </c>
      <c r="H304" s="15">
        <v>0</v>
      </c>
      <c r="I304" s="15">
        <v>0</v>
      </c>
      <c r="J304" s="15">
        <v>11.95</v>
      </c>
      <c r="K304" s="15">
        <v>21.91</v>
      </c>
      <c r="L304" s="15">
        <v>0</v>
      </c>
      <c r="M304" s="15">
        <f t="shared" si="8"/>
        <v>-6.2100000000000009</v>
      </c>
      <c r="N304" s="21">
        <f t="shared" si="6"/>
        <v>0.28343222272934737</v>
      </c>
    </row>
    <row r="305" spans="1:14" x14ac:dyDescent="0.25">
      <c r="A305" s="13">
        <v>304</v>
      </c>
      <c r="B305" s="14">
        <v>45936</v>
      </c>
      <c r="C305" s="15">
        <v>15</v>
      </c>
      <c r="D305" s="15">
        <v>0</v>
      </c>
      <c r="E305" s="15">
        <v>0</v>
      </c>
      <c r="F305" s="15">
        <v>0</v>
      </c>
      <c r="G305" s="15">
        <v>0</v>
      </c>
      <c r="H305" s="15">
        <v>0</v>
      </c>
      <c r="I305" s="15">
        <v>0</v>
      </c>
      <c r="J305" s="15">
        <v>16.899999999999999</v>
      </c>
      <c r="K305" s="15">
        <v>34.74</v>
      </c>
      <c r="L305" s="15">
        <v>8.81</v>
      </c>
      <c r="M305" s="15">
        <f t="shared" si="8"/>
        <v>5.9699999999999989</v>
      </c>
      <c r="N305" s="21">
        <f t="shared" si="6"/>
        <v>0.23023524874662549</v>
      </c>
    </row>
    <row r="306" spans="1:14" x14ac:dyDescent="0.25">
      <c r="A306" s="13">
        <v>305</v>
      </c>
      <c r="B306" s="14">
        <v>45937</v>
      </c>
      <c r="C306" s="15">
        <v>0</v>
      </c>
      <c r="D306" s="15">
        <v>0</v>
      </c>
      <c r="E306" s="15">
        <v>0</v>
      </c>
      <c r="F306" s="15">
        <v>0</v>
      </c>
      <c r="G306" s="15">
        <v>0</v>
      </c>
      <c r="H306" s="15">
        <v>0</v>
      </c>
      <c r="I306" s="15">
        <v>0</v>
      </c>
      <c r="J306" s="15">
        <v>10.01</v>
      </c>
      <c r="K306" s="15">
        <v>11.71</v>
      </c>
      <c r="L306" s="15">
        <v>0.81</v>
      </c>
      <c r="M306" s="15">
        <f t="shared" si="8"/>
        <v>-0.89000000000000057</v>
      </c>
      <c r="N306" s="21">
        <f t="shared" si="6"/>
        <v>8.1651376146789037E-2</v>
      </c>
    </row>
    <row r="307" spans="1:14" x14ac:dyDescent="0.25">
      <c r="A307" s="13">
        <v>306</v>
      </c>
      <c r="B307" s="14">
        <v>45937</v>
      </c>
      <c r="C307" s="15">
        <v>1.75</v>
      </c>
      <c r="D307" s="15">
        <v>0</v>
      </c>
      <c r="E307" s="15">
        <v>0</v>
      </c>
      <c r="F307" s="15">
        <v>2.9</v>
      </c>
      <c r="G307" s="15">
        <v>0</v>
      </c>
      <c r="H307" s="15">
        <v>0</v>
      </c>
      <c r="I307" s="15">
        <v>0</v>
      </c>
      <c r="J307" s="15">
        <v>7.05</v>
      </c>
      <c r="K307" s="15">
        <v>17.55</v>
      </c>
      <c r="L307" s="15">
        <v>0</v>
      </c>
      <c r="M307" s="15">
        <f t="shared" si="8"/>
        <v>-5.8500000000000014</v>
      </c>
      <c r="N307" s="21">
        <f t="shared" si="6"/>
        <v>0.33333333333333343</v>
      </c>
    </row>
    <row r="308" spans="1:14" x14ac:dyDescent="0.25">
      <c r="A308" s="13">
        <v>307</v>
      </c>
      <c r="B308" s="14">
        <v>45937</v>
      </c>
      <c r="C308" s="15">
        <v>2.75</v>
      </c>
      <c r="D308" s="15">
        <v>0</v>
      </c>
      <c r="E308" s="15">
        <v>0</v>
      </c>
      <c r="F308" s="15">
        <v>0</v>
      </c>
      <c r="G308" s="15">
        <v>0.24</v>
      </c>
      <c r="H308" s="15">
        <v>0</v>
      </c>
      <c r="I308" s="15">
        <v>0</v>
      </c>
      <c r="J308" s="15">
        <v>13.82</v>
      </c>
      <c r="K308" s="15">
        <v>22.18</v>
      </c>
      <c r="L308" s="15">
        <v>0</v>
      </c>
      <c r="M308" s="15">
        <f t="shared" si="8"/>
        <v>-5.3699999999999974</v>
      </c>
      <c r="N308" s="21">
        <f t="shared" si="6"/>
        <v>0.24211000901713245</v>
      </c>
    </row>
    <row r="309" spans="1:14" x14ac:dyDescent="0.25">
      <c r="A309" s="13">
        <v>308</v>
      </c>
      <c r="B309" s="14">
        <v>45937</v>
      </c>
      <c r="C309" s="15">
        <v>4.5</v>
      </c>
      <c r="D309" s="15">
        <v>0</v>
      </c>
      <c r="E309" s="15">
        <v>0</v>
      </c>
      <c r="F309" s="15">
        <v>0</v>
      </c>
      <c r="G309" s="15">
        <v>0</v>
      </c>
      <c r="H309" s="15">
        <v>0</v>
      </c>
      <c r="I309" s="15">
        <v>0</v>
      </c>
      <c r="J309" s="15">
        <v>12.28</v>
      </c>
      <c r="K309" s="15">
        <v>27.96</v>
      </c>
      <c r="L309" s="15">
        <v>0</v>
      </c>
      <c r="M309" s="15">
        <f t="shared" si="8"/>
        <v>-11.18</v>
      </c>
      <c r="N309" s="21">
        <f t="shared" si="6"/>
        <v>0.39985693848354792</v>
      </c>
    </row>
    <row r="310" spans="1:14" x14ac:dyDescent="0.25">
      <c r="A310" s="13">
        <v>309</v>
      </c>
      <c r="B310" s="14">
        <v>45938</v>
      </c>
      <c r="C310" s="15">
        <v>0</v>
      </c>
      <c r="D310" s="15">
        <v>0</v>
      </c>
      <c r="E310" s="15">
        <v>0</v>
      </c>
      <c r="F310" s="15">
        <v>0</v>
      </c>
      <c r="G310" s="15">
        <v>0</v>
      </c>
      <c r="H310" s="15">
        <v>0</v>
      </c>
      <c r="I310" s="15">
        <v>0</v>
      </c>
      <c r="J310" s="15">
        <v>6.99</v>
      </c>
      <c r="K310" s="15">
        <v>9.9499999999999993</v>
      </c>
      <c r="L310" s="15">
        <v>0</v>
      </c>
      <c r="M310" s="15">
        <f t="shared" si="8"/>
        <v>-2.9599999999999991</v>
      </c>
      <c r="N310" s="21">
        <f t="shared" si="6"/>
        <v>0.29748743718592957</v>
      </c>
    </row>
    <row r="311" spans="1:14" x14ac:dyDescent="0.25">
      <c r="A311" s="13">
        <v>310</v>
      </c>
      <c r="B311" s="14">
        <v>45938</v>
      </c>
      <c r="C311" s="15">
        <v>0</v>
      </c>
      <c r="D311" s="15">
        <v>0</v>
      </c>
      <c r="E311" s="15">
        <v>0</v>
      </c>
      <c r="F311" s="15">
        <v>0</v>
      </c>
      <c r="G311" s="15">
        <v>0</v>
      </c>
      <c r="H311" s="15">
        <v>0</v>
      </c>
      <c r="I311" s="15">
        <v>0</v>
      </c>
      <c r="J311" s="15">
        <v>6.99</v>
      </c>
      <c r="K311" s="15">
        <v>9.94</v>
      </c>
      <c r="L311" s="15">
        <v>0</v>
      </c>
      <c r="M311" s="15">
        <f t="shared" si="8"/>
        <v>-2.9499999999999993</v>
      </c>
      <c r="N311" s="21">
        <f t="shared" si="6"/>
        <v>0.29678068410462771</v>
      </c>
    </row>
    <row r="312" spans="1:14" x14ac:dyDescent="0.25">
      <c r="A312" s="13">
        <v>311</v>
      </c>
      <c r="B312" s="14">
        <v>45938</v>
      </c>
      <c r="C312" s="15">
        <v>0</v>
      </c>
      <c r="D312" s="15">
        <v>0</v>
      </c>
      <c r="E312" s="15">
        <v>0</v>
      </c>
      <c r="F312" s="15">
        <v>2.9</v>
      </c>
      <c r="G312" s="15">
        <v>0</v>
      </c>
      <c r="H312" s="15">
        <v>0</v>
      </c>
      <c r="I312" s="15">
        <v>0</v>
      </c>
      <c r="J312" s="15">
        <v>13.5</v>
      </c>
      <c r="K312" s="15">
        <v>18.62</v>
      </c>
      <c r="L312" s="15">
        <v>1.28</v>
      </c>
      <c r="M312" s="15">
        <f t="shared" si="8"/>
        <v>-0.94000000000000128</v>
      </c>
      <c r="N312" s="21">
        <f t="shared" si="6"/>
        <v>5.4209919261822448E-2</v>
      </c>
    </row>
    <row r="313" spans="1:14" x14ac:dyDescent="0.25">
      <c r="A313" s="13">
        <v>312</v>
      </c>
      <c r="B313" s="14">
        <v>45938</v>
      </c>
      <c r="C313" s="15">
        <v>0</v>
      </c>
      <c r="D313" s="15">
        <v>0</v>
      </c>
      <c r="E313" s="15">
        <v>0</v>
      </c>
      <c r="F313" s="15">
        <v>0</v>
      </c>
      <c r="G313" s="15">
        <v>0</v>
      </c>
      <c r="H313" s="15">
        <v>0</v>
      </c>
      <c r="I313" s="15">
        <v>0</v>
      </c>
      <c r="J313" s="15">
        <v>26.16</v>
      </c>
      <c r="K313" s="15">
        <v>34.67</v>
      </c>
      <c r="L313" s="15">
        <v>0</v>
      </c>
      <c r="M313" s="15">
        <f t="shared" si="8"/>
        <v>-8.5100000000000016</v>
      </c>
      <c r="N313" s="21">
        <f t="shared" si="6"/>
        <v>0.24545716758004041</v>
      </c>
    </row>
    <row r="314" spans="1:14" x14ac:dyDescent="0.25">
      <c r="A314" s="13">
        <v>313</v>
      </c>
      <c r="B314" s="14">
        <v>45938</v>
      </c>
      <c r="C314" s="15">
        <v>11</v>
      </c>
      <c r="D314" s="15">
        <v>0</v>
      </c>
      <c r="E314" s="15">
        <v>0</v>
      </c>
      <c r="F314" s="15">
        <v>0</v>
      </c>
      <c r="G314" s="15">
        <v>0</v>
      </c>
      <c r="H314" s="15">
        <v>0</v>
      </c>
      <c r="I314" s="15">
        <v>0</v>
      </c>
      <c r="J314" s="15">
        <v>9.65</v>
      </c>
      <c r="K314" s="15">
        <v>31.93</v>
      </c>
      <c r="L314" s="15">
        <v>0</v>
      </c>
      <c r="M314" s="15">
        <f t="shared" si="8"/>
        <v>-11.280000000000001</v>
      </c>
      <c r="N314" s="21">
        <f t="shared" si="6"/>
        <v>0.35327278421547137</v>
      </c>
    </row>
    <row r="315" spans="1:14" x14ac:dyDescent="0.25">
      <c r="A315" s="13">
        <v>314</v>
      </c>
      <c r="B315" s="14">
        <v>45938</v>
      </c>
      <c r="C315" s="15">
        <v>11</v>
      </c>
      <c r="D315" s="15">
        <v>0</v>
      </c>
      <c r="E315" s="15">
        <v>0</v>
      </c>
      <c r="F315" s="15">
        <v>0</v>
      </c>
      <c r="G315" s="15">
        <v>0</v>
      </c>
      <c r="H315" s="15">
        <v>0</v>
      </c>
      <c r="I315" s="15">
        <v>0</v>
      </c>
      <c r="J315" s="15">
        <v>14.18</v>
      </c>
      <c r="K315" s="15">
        <v>41.97</v>
      </c>
      <c r="L315" s="15">
        <v>0</v>
      </c>
      <c r="M315" s="15">
        <f t="shared" si="8"/>
        <v>-16.79</v>
      </c>
      <c r="N315" s="21">
        <f t="shared" si="6"/>
        <v>0.4000476530855373</v>
      </c>
    </row>
    <row r="316" spans="1:14" x14ac:dyDescent="0.25">
      <c r="A316" s="13">
        <v>315</v>
      </c>
      <c r="B316" s="14">
        <v>45938</v>
      </c>
      <c r="C316" s="15">
        <v>13</v>
      </c>
      <c r="D316" s="15">
        <v>0</v>
      </c>
      <c r="E316" s="15">
        <v>0</v>
      </c>
      <c r="F316" s="15">
        <v>0</v>
      </c>
      <c r="G316" s="15">
        <v>0</v>
      </c>
      <c r="H316" s="15">
        <v>0</v>
      </c>
      <c r="I316" s="15">
        <v>0</v>
      </c>
      <c r="J316" s="15">
        <v>8.51</v>
      </c>
      <c r="K316" s="15">
        <v>23.4</v>
      </c>
      <c r="L316" s="15">
        <v>13.02</v>
      </c>
      <c r="M316" s="15">
        <f t="shared" si="8"/>
        <v>11.129999999999999</v>
      </c>
      <c r="N316" s="21">
        <f t="shared" si="6"/>
        <v>1.0722543352601157</v>
      </c>
    </row>
    <row r="317" spans="1:14" x14ac:dyDescent="0.25">
      <c r="A317" s="13">
        <v>316</v>
      </c>
      <c r="B317" s="14">
        <v>45938</v>
      </c>
      <c r="C317" s="15">
        <v>6.75</v>
      </c>
      <c r="D317" s="15">
        <v>0</v>
      </c>
      <c r="E317" s="15">
        <v>0</v>
      </c>
      <c r="F317" s="15">
        <v>0</v>
      </c>
      <c r="G317" s="15">
        <v>0</v>
      </c>
      <c r="H317" s="15">
        <v>0</v>
      </c>
      <c r="I317" s="15">
        <v>0</v>
      </c>
      <c r="J317" s="15">
        <v>27.2</v>
      </c>
      <c r="K317" s="15">
        <v>50.93</v>
      </c>
      <c r="L317" s="15">
        <v>3.51</v>
      </c>
      <c r="M317" s="15">
        <f t="shared" si="8"/>
        <v>-13.469999999999999</v>
      </c>
      <c r="N317" s="21">
        <f t="shared" si="6"/>
        <v>0.28405735976381269</v>
      </c>
    </row>
    <row r="318" spans="1:14" x14ac:dyDescent="0.25">
      <c r="A318" s="13">
        <v>317</v>
      </c>
      <c r="B318" s="14">
        <v>45938</v>
      </c>
      <c r="C318" s="15">
        <v>2.75</v>
      </c>
      <c r="D318" s="15">
        <v>0</v>
      </c>
      <c r="E318" s="15">
        <v>0</v>
      </c>
      <c r="F318" s="15">
        <v>0</v>
      </c>
      <c r="G318" s="15">
        <v>0</v>
      </c>
      <c r="H318" s="15">
        <v>0</v>
      </c>
      <c r="I318" s="15">
        <v>0</v>
      </c>
      <c r="J318" s="15">
        <v>12.48</v>
      </c>
      <c r="K318" s="15">
        <v>16.98</v>
      </c>
      <c r="L318" s="15">
        <v>8.64</v>
      </c>
      <c r="M318" s="15">
        <f t="shared" si="8"/>
        <v>6.8900000000000006</v>
      </c>
      <c r="N318" s="21">
        <f t="shared" si="6"/>
        <v>0.82613908872901687</v>
      </c>
    </row>
    <row r="319" spans="1:14" x14ac:dyDescent="0.25">
      <c r="A319" s="13">
        <v>318</v>
      </c>
      <c r="B319" s="14">
        <v>45938</v>
      </c>
      <c r="C319" s="15">
        <v>0</v>
      </c>
      <c r="D319" s="15">
        <v>0</v>
      </c>
      <c r="E319" s="15">
        <v>0</v>
      </c>
      <c r="F319" s="15">
        <v>0</v>
      </c>
      <c r="G319" s="15">
        <v>0</v>
      </c>
      <c r="H319" s="15">
        <v>0</v>
      </c>
      <c r="I319" s="15">
        <v>0</v>
      </c>
      <c r="J319" s="15">
        <v>44.14</v>
      </c>
      <c r="K319" s="15">
        <v>51.8</v>
      </c>
      <c r="L319" s="15">
        <v>0</v>
      </c>
      <c r="M319" s="15">
        <f t="shared" si="8"/>
        <v>-7.6599999999999966</v>
      </c>
      <c r="N319" s="21">
        <f t="shared" si="6"/>
        <v>0.14787644787644783</v>
      </c>
    </row>
    <row r="320" spans="1:14" x14ac:dyDescent="0.25">
      <c r="A320" s="13">
        <v>319</v>
      </c>
      <c r="B320" s="14">
        <v>45938</v>
      </c>
      <c r="C320" s="15">
        <v>3.75</v>
      </c>
      <c r="D320" s="15">
        <v>0</v>
      </c>
      <c r="E320" s="15">
        <v>0</v>
      </c>
      <c r="F320" s="15">
        <v>0</v>
      </c>
      <c r="G320" s="15">
        <v>0</v>
      </c>
      <c r="H320" s="15">
        <v>0</v>
      </c>
      <c r="I320" s="15">
        <v>0</v>
      </c>
      <c r="J320" s="15">
        <v>25</v>
      </c>
      <c r="K320" s="15">
        <v>37.950000000000003</v>
      </c>
      <c r="L320" s="15">
        <v>2.04</v>
      </c>
      <c r="M320" s="15">
        <f t="shared" si="8"/>
        <v>-7.1600000000000037</v>
      </c>
      <c r="N320" s="21">
        <f t="shared" si="6"/>
        <v>0.1993873572820942</v>
      </c>
    </row>
    <row r="321" spans="1:14" x14ac:dyDescent="0.25">
      <c r="A321" s="13">
        <v>320</v>
      </c>
      <c r="B321" s="14">
        <v>45944</v>
      </c>
      <c r="C321" s="15">
        <v>2.5</v>
      </c>
      <c r="D321" s="15">
        <v>0</v>
      </c>
      <c r="E321" s="15">
        <v>0</v>
      </c>
      <c r="F321" s="15">
        <v>2.9</v>
      </c>
      <c r="G321" s="15">
        <v>0</v>
      </c>
      <c r="H321" s="15">
        <v>0</v>
      </c>
      <c r="I321" s="15">
        <v>0</v>
      </c>
      <c r="J321" s="15">
        <v>9.5299999999999994</v>
      </c>
      <c r="K321" s="15">
        <v>16.829999999999998</v>
      </c>
      <c r="L321" s="15">
        <v>0.09</v>
      </c>
      <c r="M321" s="15">
        <f t="shared" si="8"/>
        <v>-1.8099999999999987</v>
      </c>
      <c r="N321" s="21">
        <f t="shared" si="6"/>
        <v>0.10812425328554354</v>
      </c>
    </row>
    <row r="322" spans="1:14" x14ac:dyDescent="0.25">
      <c r="A322" s="13">
        <v>321</v>
      </c>
      <c r="B322" s="14">
        <v>45944</v>
      </c>
      <c r="C322" s="15">
        <v>2.5</v>
      </c>
      <c r="D322" s="15">
        <v>0</v>
      </c>
      <c r="E322" s="15">
        <v>0</v>
      </c>
      <c r="F322" s="15">
        <v>0</v>
      </c>
      <c r="G322" s="15">
        <v>0</v>
      </c>
      <c r="H322" s="15">
        <v>0</v>
      </c>
      <c r="I322" s="15">
        <v>0</v>
      </c>
      <c r="J322" s="15">
        <v>19.3</v>
      </c>
      <c r="K322" s="15">
        <v>27.91</v>
      </c>
      <c r="L322" s="15">
        <v>0</v>
      </c>
      <c r="M322" s="15">
        <f t="shared" si="8"/>
        <v>-6.1099999999999994</v>
      </c>
      <c r="N322" s="21">
        <f t="shared" si="6"/>
        <v>0.21891795055535648</v>
      </c>
    </row>
    <row r="323" spans="1:14" x14ac:dyDescent="0.25">
      <c r="A323" s="13">
        <v>322</v>
      </c>
      <c r="B323" s="14">
        <v>45944</v>
      </c>
      <c r="C323" s="15">
        <v>0</v>
      </c>
      <c r="D323" s="15">
        <v>0</v>
      </c>
      <c r="E323" s="15">
        <v>0</v>
      </c>
      <c r="F323" s="15">
        <v>0</v>
      </c>
      <c r="G323" s="15">
        <v>0</v>
      </c>
      <c r="H323" s="15">
        <v>0</v>
      </c>
      <c r="I323" s="15">
        <v>0</v>
      </c>
      <c r="J323" s="15">
        <v>6.99</v>
      </c>
      <c r="K323" s="15">
        <v>8.92</v>
      </c>
      <c r="L323" s="15">
        <v>0</v>
      </c>
      <c r="M323" s="15">
        <f t="shared" ref="M323:M430" si="9">((C323+D323+E323+F323+G323+H323+J323)-(K323-L323))</f>
        <v>-1.9299999999999997</v>
      </c>
      <c r="N323" s="21">
        <f t="shared" si="6"/>
        <v>0.21636771300448426</v>
      </c>
    </row>
    <row r="324" spans="1:14" x14ac:dyDescent="0.25">
      <c r="A324" s="13">
        <v>323</v>
      </c>
      <c r="B324" s="14">
        <v>45944</v>
      </c>
      <c r="C324" s="15">
        <v>2</v>
      </c>
      <c r="D324" s="15">
        <v>0</v>
      </c>
      <c r="E324" s="15">
        <v>0</v>
      </c>
      <c r="F324" s="15">
        <v>0</v>
      </c>
      <c r="G324" s="15">
        <v>0.14000000000000001</v>
      </c>
      <c r="H324" s="15">
        <v>0</v>
      </c>
      <c r="I324" s="15">
        <v>0</v>
      </c>
      <c r="J324" s="15">
        <v>8.4499999999999993</v>
      </c>
      <c r="K324" s="15">
        <v>14.13</v>
      </c>
      <c r="L324" s="15">
        <v>0</v>
      </c>
      <c r="M324" s="15">
        <f t="shared" si="9"/>
        <v>-3.5400000000000009</v>
      </c>
      <c r="N324" s="21">
        <f t="shared" si="6"/>
        <v>0.25053078556263275</v>
      </c>
    </row>
    <row r="325" spans="1:14" x14ac:dyDescent="0.25">
      <c r="A325" s="13">
        <v>324</v>
      </c>
      <c r="B325" s="14">
        <v>45944</v>
      </c>
      <c r="C325" s="15">
        <v>0</v>
      </c>
      <c r="D325" s="15">
        <v>0</v>
      </c>
      <c r="E325" s="15">
        <v>0</v>
      </c>
      <c r="F325" s="15">
        <v>0</v>
      </c>
      <c r="G325" s="15">
        <v>0</v>
      </c>
      <c r="H325" s="15">
        <v>0</v>
      </c>
      <c r="I325" s="15">
        <v>0</v>
      </c>
      <c r="J325" s="15">
        <v>7.17</v>
      </c>
      <c r="K325" s="15">
        <v>11.95</v>
      </c>
      <c r="L325" s="15">
        <v>0</v>
      </c>
      <c r="M325" s="15">
        <f t="shared" si="9"/>
        <v>-4.7799999999999994</v>
      </c>
      <c r="N325" s="21">
        <f t="shared" si="6"/>
        <v>0.39999999999999997</v>
      </c>
    </row>
    <row r="326" spans="1:14" x14ac:dyDescent="0.25">
      <c r="A326" s="13">
        <v>325</v>
      </c>
      <c r="B326" s="14">
        <v>45944</v>
      </c>
      <c r="C326" s="15">
        <v>0</v>
      </c>
      <c r="D326" s="15">
        <v>0</v>
      </c>
      <c r="E326" s="15">
        <v>0</v>
      </c>
      <c r="F326" s="15">
        <v>0</v>
      </c>
      <c r="G326" s="15">
        <v>0</v>
      </c>
      <c r="H326" s="15">
        <v>0</v>
      </c>
      <c r="I326" s="15">
        <v>0</v>
      </c>
      <c r="J326" s="15">
        <v>12.79</v>
      </c>
      <c r="K326" s="15">
        <v>15.92</v>
      </c>
      <c r="L326" s="15">
        <v>0</v>
      </c>
      <c r="M326" s="15">
        <f t="shared" si="9"/>
        <v>-3.1300000000000008</v>
      </c>
      <c r="N326" s="21">
        <f t="shared" si="6"/>
        <v>0.19660804020100509</v>
      </c>
    </row>
    <row r="327" spans="1:14" x14ac:dyDescent="0.25">
      <c r="A327" s="13">
        <v>326</v>
      </c>
      <c r="B327" s="14">
        <v>45944</v>
      </c>
      <c r="C327" s="15">
        <v>3</v>
      </c>
      <c r="D327" s="15">
        <v>0</v>
      </c>
      <c r="E327" s="15">
        <v>0</v>
      </c>
      <c r="F327" s="15">
        <v>0</v>
      </c>
      <c r="G327" s="15">
        <v>0</v>
      </c>
      <c r="H327" s="15">
        <v>0</v>
      </c>
      <c r="I327" s="15">
        <v>0</v>
      </c>
      <c r="J327" s="15">
        <v>6.99</v>
      </c>
      <c r="K327" s="15">
        <v>14.9</v>
      </c>
      <c r="L327" s="15">
        <v>0</v>
      </c>
      <c r="M327" s="15">
        <f t="shared" si="9"/>
        <v>-4.91</v>
      </c>
      <c r="N327" s="21">
        <f t="shared" si="6"/>
        <v>0.32953020134228189</v>
      </c>
    </row>
    <row r="328" spans="1:14" x14ac:dyDescent="0.25">
      <c r="A328" s="13">
        <v>327</v>
      </c>
      <c r="B328" s="14">
        <v>45944</v>
      </c>
      <c r="C328" s="15">
        <v>0</v>
      </c>
      <c r="D328" s="15">
        <v>0</v>
      </c>
      <c r="E328" s="15">
        <v>0</v>
      </c>
      <c r="F328" s="15">
        <v>0</v>
      </c>
      <c r="G328" s="15">
        <v>0</v>
      </c>
      <c r="H328" s="15">
        <v>0</v>
      </c>
      <c r="I328" s="15">
        <v>0</v>
      </c>
      <c r="J328" s="15">
        <v>9.5</v>
      </c>
      <c r="K328" s="15">
        <v>11.22</v>
      </c>
      <c r="L328" s="15">
        <v>1.26</v>
      </c>
      <c r="M328" s="15">
        <f t="shared" si="9"/>
        <v>-0.46000000000000085</v>
      </c>
      <c r="N328" s="21">
        <f t="shared" si="6"/>
        <v>4.6184738955823375E-2</v>
      </c>
    </row>
    <row r="329" spans="1:14" x14ac:dyDescent="0.25">
      <c r="A329" s="13">
        <v>328</v>
      </c>
      <c r="B329" s="14">
        <v>45945</v>
      </c>
      <c r="C329" s="15">
        <v>0</v>
      </c>
      <c r="D329" s="15">
        <v>0</v>
      </c>
      <c r="E329" s="15">
        <v>0</v>
      </c>
      <c r="F329" s="15">
        <v>0</v>
      </c>
      <c r="G329" s="15">
        <v>0</v>
      </c>
      <c r="H329" s="15">
        <v>0</v>
      </c>
      <c r="I329" s="15">
        <v>0</v>
      </c>
      <c r="J329" s="15">
        <v>7.04</v>
      </c>
      <c r="K329" s="15">
        <v>9.9600000000000009</v>
      </c>
      <c r="L329" s="15">
        <v>0</v>
      </c>
      <c r="M329" s="15">
        <f t="shared" si="9"/>
        <v>-2.9200000000000008</v>
      </c>
      <c r="N329" s="21">
        <f t="shared" si="6"/>
        <v>0.29317269076305225</v>
      </c>
    </row>
    <row r="330" spans="1:14" x14ac:dyDescent="0.25">
      <c r="A330" s="13">
        <v>329</v>
      </c>
      <c r="B330" s="14">
        <v>45945</v>
      </c>
      <c r="C330" s="15">
        <v>0</v>
      </c>
      <c r="D330" s="15">
        <v>0</v>
      </c>
      <c r="E330" s="15">
        <v>0</v>
      </c>
      <c r="F330" s="15">
        <v>0</v>
      </c>
      <c r="G330" s="15">
        <v>0</v>
      </c>
      <c r="H330" s="15">
        <v>0</v>
      </c>
      <c r="I330" s="15">
        <v>0</v>
      </c>
      <c r="J330" s="15">
        <v>16.53</v>
      </c>
      <c r="K330" s="15">
        <v>21.92</v>
      </c>
      <c r="L330" s="15">
        <v>0</v>
      </c>
      <c r="M330" s="15">
        <f t="shared" si="9"/>
        <v>-5.3900000000000006</v>
      </c>
      <c r="N330" s="21">
        <f t="shared" si="6"/>
        <v>0.24589416058394162</v>
      </c>
    </row>
    <row r="331" spans="1:14" x14ac:dyDescent="0.25">
      <c r="A331" s="13">
        <v>330</v>
      </c>
      <c r="B331" s="14">
        <v>45945</v>
      </c>
      <c r="C331" s="15">
        <v>0</v>
      </c>
      <c r="D331" s="15">
        <v>0</v>
      </c>
      <c r="E331" s="15">
        <v>0</v>
      </c>
      <c r="F331" s="15">
        <v>0</v>
      </c>
      <c r="G331" s="15">
        <v>0</v>
      </c>
      <c r="H331" s="15">
        <v>0</v>
      </c>
      <c r="I331" s="15">
        <v>0</v>
      </c>
      <c r="J331" s="15">
        <v>12.16</v>
      </c>
      <c r="K331" s="15">
        <v>15.93</v>
      </c>
      <c r="L331" s="15">
        <v>3.98</v>
      </c>
      <c r="M331" s="15">
        <f t="shared" si="9"/>
        <v>0.21000000000000085</v>
      </c>
      <c r="N331" s="21">
        <f t="shared" si="6"/>
        <v>1.7573221757322247E-2</v>
      </c>
    </row>
    <row r="332" spans="1:14" x14ac:dyDescent="0.25">
      <c r="A332" s="13">
        <v>331</v>
      </c>
      <c r="B332" s="14">
        <v>45945</v>
      </c>
      <c r="C332" s="15">
        <v>0</v>
      </c>
      <c r="D332" s="15">
        <v>0</v>
      </c>
      <c r="E332" s="15">
        <v>0</v>
      </c>
      <c r="F332" s="15">
        <v>0</v>
      </c>
      <c r="G332" s="15">
        <v>0</v>
      </c>
      <c r="H332" s="15">
        <v>0</v>
      </c>
      <c r="I332" s="15">
        <v>0</v>
      </c>
      <c r="J332" s="15">
        <v>14.95</v>
      </c>
      <c r="K332" s="15">
        <v>24.92</v>
      </c>
      <c r="L332" s="15">
        <v>0</v>
      </c>
      <c r="M332" s="15">
        <f t="shared" si="9"/>
        <v>-9.9700000000000024</v>
      </c>
      <c r="N332" s="21">
        <f t="shared" si="6"/>
        <v>0.4000802568218299</v>
      </c>
    </row>
    <row r="333" spans="1:14" x14ac:dyDescent="0.25">
      <c r="A333" s="13">
        <v>332</v>
      </c>
      <c r="B333" s="14">
        <v>45945</v>
      </c>
      <c r="C333" s="15">
        <v>0</v>
      </c>
      <c r="D333" s="15">
        <v>0</v>
      </c>
      <c r="E333" s="15">
        <v>0</v>
      </c>
      <c r="F333" s="15">
        <v>0</v>
      </c>
      <c r="G333" s="15">
        <v>0</v>
      </c>
      <c r="H333" s="15">
        <v>0</v>
      </c>
      <c r="I333" s="15">
        <v>0</v>
      </c>
      <c r="J333" s="15">
        <v>7.17</v>
      </c>
      <c r="K333" s="15">
        <v>11.95</v>
      </c>
      <c r="L333" s="15">
        <v>0</v>
      </c>
      <c r="M333" s="15">
        <f t="shared" si="9"/>
        <v>-4.7799999999999994</v>
      </c>
      <c r="N333" s="21">
        <f t="shared" si="6"/>
        <v>0.39999999999999997</v>
      </c>
    </row>
    <row r="334" spans="1:14" x14ac:dyDescent="0.25">
      <c r="A334" s="13">
        <v>333</v>
      </c>
      <c r="B334" s="14">
        <v>45945</v>
      </c>
      <c r="C334" s="15">
        <v>3.5</v>
      </c>
      <c r="D334" s="15">
        <v>0</v>
      </c>
      <c r="E334" s="15">
        <v>0</v>
      </c>
      <c r="F334" s="15">
        <v>0</v>
      </c>
      <c r="G334" s="15">
        <v>0.46</v>
      </c>
      <c r="H334" s="15">
        <v>0</v>
      </c>
      <c r="I334" s="15">
        <v>0</v>
      </c>
      <c r="J334" s="15">
        <v>17.23</v>
      </c>
      <c r="K334" s="15">
        <v>31.5</v>
      </c>
      <c r="L334" s="15">
        <v>7.88</v>
      </c>
      <c r="M334" s="15">
        <f t="shared" si="9"/>
        <v>-2.4299999999999997</v>
      </c>
      <c r="N334" s="21">
        <f t="shared" si="6"/>
        <v>0.10287891617273495</v>
      </c>
    </row>
    <row r="335" spans="1:14" x14ac:dyDescent="0.25">
      <c r="A335" s="13">
        <v>334</v>
      </c>
      <c r="B335" s="14">
        <v>45945</v>
      </c>
      <c r="C335" s="15">
        <v>9</v>
      </c>
      <c r="D335" s="15">
        <v>0</v>
      </c>
      <c r="E335" s="15">
        <v>0</v>
      </c>
      <c r="F335" s="15">
        <v>0</v>
      </c>
      <c r="G335" s="15">
        <v>0</v>
      </c>
      <c r="H335" s="15">
        <v>0</v>
      </c>
      <c r="I335" s="15">
        <v>0</v>
      </c>
      <c r="J335" s="15">
        <v>19.23</v>
      </c>
      <c r="K335" s="15">
        <v>31.62</v>
      </c>
      <c r="L335" s="15">
        <v>0.68</v>
      </c>
      <c r="M335" s="15">
        <f t="shared" si="9"/>
        <v>-2.7100000000000009</v>
      </c>
      <c r="N335" s="21">
        <f t="shared" si="6"/>
        <v>8.7588881706528787E-2</v>
      </c>
    </row>
    <row r="336" spans="1:14" x14ac:dyDescent="0.25">
      <c r="A336" s="13">
        <v>335</v>
      </c>
      <c r="B336" s="14">
        <v>45946</v>
      </c>
      <c r="C336" s="15">
        <v>0</v>
      </c>
      <c r="D336" s="15">
        <v>0</v>
      </c>
      <c r="E336" s="15">
        <v>0</v>
      </c>
      <c r="F336" s="15">
        <v>0</v>
      </c>
      <c r="G336" s="15">
        <v>0</v>
      </c>
      <c r="H336" s="15">
        <v>0</v>
      </c>
      <c r="I336" s="15">
        <v>0</v>
      </c>
      <c r="J336" s="15">
        <v>14.85</v>
      </c>
      <c r="K336" s="15">
        <v>17.940000000000001</v>
      </c>
      <c r="L336" s="15">
        <v>0</v>
      </c>
      <c r="M336" s="15">
        <f t="shared" si="9"/>
        <v>-3.0900000000000016</v>
      </c>
      <c r="N336" s="21">
        <f t="shared" si="6"/>
        <v>0.17224080267558536</v>
      </c>
    </row>
    <row r="337" spans="1:14" x14ac:dyDescent="0.25">
      <c r="A337" s="13">
        <v>336</v>
      </c>
      <c r="B337" s="14">
        <v>45946</v>
      </c>
      <c r="C337" s="15">
        <v>0</v>
      </c>
      <c r="D337" s="15">
        <v>0</v>
      </c>
      <c r="E337" s="15">
        <v>0</v>
      </c>
      <c r="F337" s="15">
        <v>2.9</v>
      </c>
      <c r="G337" s="15">
        <v>0.38</v>
      </c>
      <c r="H337" s="15">
        <v>0</v>
      </c>
      <c r="I337" s="15">
        <v>0</v>
      </c>
      <c r="J337" s="15">
        <v>10.1</v>
      </c>
      <c r="K337" s="15">
        <v>15.95</v>
      </c>
      <c r="L337" s="15">
        <v>0</v>
      </c>
      <c r="M337" s="15">
        <f t="shared" si="9"/>
        <v>-2.5700000000000003</v>
      </c>
      <c r="N337" s="21">
        <f t="shared" si="6"/>
        <v>0.16112852664576804</v>
      </c>
    </row>
    <row r="338" spans="1:14" x14ac:dyDescent="0.25">
      <c r="A338" s="13">
        <v>337</v>
      </c>
      <c r="B338" s="14">
        <v>45946</v>
      </c>
      <c r="C338" s="15">
        <v>0</v>
      </c>
      <c r="D338" s="15">
        <v>0</v>
      </c>
      <c r="E338" s="15">
        <v>0</v>
      </c>
      <c r="F338" s="15">
        <v>0</v>
      </c>
      <c r="G338" s="15">
        <v>0.73</v>
      </c>
      <c r="H338" s="15">
        <v>0</v>
      </c>
      <c r="I338" s="15">
        <v>0</v>
      </c>
      <c r="J338" s="15">
        <v>8.27</v>
      </c>
      <c r="K338" s="15">
        <v>13.77</v>
      </c>
      <c r="L338" s="15">
        <v>2.72</v>
      </c>
      <c r="M338" s="15">
        <f t="shared" si="9"/>
        <v>-2.0499999999999989</v>
      </c>
      <c r="N338" s="21">
        <f t="shared" si="6"/>
        <v>0.18552036199095015</v>
      </c>
    </row>
    <row r="339" spans="1:14" x14ac:dyDescent="0.25">
      <c r="A339" s="13">
        <v>338</v>
      </c>
      <c r="B339" s="14">
        <v>45946</v>
      </c>
      <c r="C339" s="15">
        <v>2</v>
      </c>
      <c r="D339" s="15">
        <v>0</v>
      </c>
      <c r="E339" s="15">
        <v>0</v>
      </c>
      <c r="F339" s="15">
        <v>0</v>
      </c>
      <c r="G339" s="15">
        <v>0</v>
      </c>
      <c r="H339" s="15">
        <v>0</v>
      </c>
      <c r="I339" s="15">
        <v>0</v>
      </c>
      <c r="J339" s="15">
        <v>18.96</v>
      </c>
      <c r="K339" s="15">
        <v>34.93</v>
      </c>
      <c r="L339" s="15">
        <v>0</v>
      </c>
      <c r="M339" s="15">
        <f t="shared" si="9"/>
        <v>-13.969999999999999</v>
      </c>
      <c r="N339" s="21">
        <f t="shared" si="6"/>
        <v>0.39994274262811336</v>
      </c>
    </row>
    <row r="340" spans="1:14" x14ac:dyDescent="0.25">
      <c r="A340" s="13">
        <v>339</v>
      </c>
      <c r="B340" s="14">
        <v>45946</v>
      </c>
      <c r="C340" s="15">
        <v>8</v>
      </c>
      <c r="D340" s="15">
        <v>0</v>
      </c>
      <c r="E340" s="15">
        <v>0</v>
      </c>
      <c r="F340" s="15">
        <v>0</v>
      </c>
      <c r="G340" s="15">
        <v>0</v>
      </c>
      <c r="H340" s="15">
        <v>0</v>
      </c>
      <c r="I340" s="15">
        <v>0</v>
      </c>
      <c r="J340" s="15">
        <v>16.45</v>
      </c>
      <c r="K340" s="15">
        <v>27</v>
      </c>
      <c r="L340" s="15">
        <v>9.8000000000000007</v>
      </c>
      <c r="M340" s="15">
        <f t="shared" si="9"/>
        <v>7.25</v>
      </c>
      <c r="N340" s="21">
        <f t="shared" si="6"/>
        <v>0.42151162790697677</v>
      </c>
    </row>
    <row r="341" spans="1:14" x14ac:dyDescent="0.25">
      <c r="A341" s="13">
        <v>340</v>
      </c>
      <c r="B341" s="14">
        <v>45947</v>
      </c>
      <c r="C341" s="15">
        <v>0</v>
      </c>
      <c r="D341" s="15">
        <v>0</v>
      </c>
      <c r="E341" s="15">
        <v>0</v>
      </c>
      <c r="F341" s="15">
        <v>0</v>
      </c>
      <c r="G341" s="15">
        <v>0</v>
      </c>
      <c r="H341" s="15">
        <v>0</v>
      </c>
      <c r="I341" s="15">
        <v>0</v>
      </c>
      <c r="J341" s="15">
        <v>10.5</v>
      </c>
      <c r="K341" s="15">
        <v>12.24</v>
      </c>
      <c r="L341" s="15">
        <v>0.28000000000000003</v>
      </c>
      <c r="M341" s="15">
        <f t="shared" si="9"/>
        <v>-1.4600000000000009</v>
      </c>
      <c r="N341" s="21">
        <f t="shared" si="6"/>
        <v>0.12207357859531778</v>
      </c>
    </row>
    <row r="342" spans="1:14" x14ac:dyDescent="0.25">
      <c r="A342" s="13">
        <v>341</v>
      </c>
      <c r="B342" s="14">
        <v>45947</v>
      </c>
      <c r="C342" s="15">
        <v>0</v>
      </c>
      <c r="D342" s="15">
        <v>0</v>
      </c>
      <c r="E342" s="15">
        <v>0</v>
      </c>
      <c r="F342" s="15">
        <v>0</v>
      </c>
      <c r="G342" s="15">
        <v>0</v>
      </c>
      <c r="H342" s="15">
        <v>0</v>
      </c>
      <c r="I342" s="15">
        <v>0</v>
      </c>
      <c r="J342" s="15">
        <v>13.65</v>
      </c>
      <c r="K342" s="15">
        <v>16.95</v>
      </c>
      <c r="L342" s="15">
        <v>0.92</v>
      </c>
      <c r="M342" s="15">
        <f t="shared" si="9"/>
        <v>-2.3799999999999972</v>
      </c>
      <c r="N342" s="21">
        <f t="shared" si="6"/>
        <v>0.14847161572052386</v>
      </c>
    </row>
    <row r="343" spans="1:14" x14ac:dyDescent="0.25">
      <c r="A343" s="13">
        <v>342</v>
      </c>
      <c r="B343" s="14">
        <v>45947</v>
      </c>
      <c r="C343" s="15">
        <v>0</v>
      </c>
      <c r="D343" s="15">
        <v>0</v>
      </c>
      <c r="E343" s="15">
        <v>0</v>
      </c>
      <c r="F343" s="15">
        <v>0</v>
      </c>
      <c r="G343" s="15">
        <v>0.12</v>
      </c>
      <c r="H343" s="15">
        <v>0</v>
      </c>
      <c r="I343" s="15">
        <v>0</v>
      </c>
      <c r="J343" s="15">
        <v>9.27</v>
      </c>
      <c r="K343" s="15">
        <v>15.07</v>
      </c>
      <c r="L343" s="15">
        <v>0</v>
      </c>
      <c r="M343" s="15">
        <f t="shared" si="9"/>
        <v>-5.6800000000000015</v>
      </c>
      <c r="N343" s="21">
        <f t="shared" si="6"/>
        <v>0.37690776376907775</v>
      </c>
    </row>
    <row r="344" spans="1:14" x14ac:dyDescent="0.25">
      <c r="A344" s="13">
        <v>343</v>
      </c>
      <c r="B344" s="14">
        <v>45947</v>
      </c>
      <c r="C344" s="15">
        <v>0</v>
      </c>
      <c r="D344" s="15">
        <v>0</v>
      </c>
      <c r="E344" s="15">
        <v>0</v>
      </c>
      <c r="F344" s="15">
        <v>0</v>
      </c>
      <c r="G344" s="15">
        <v>0</v>
      </c>
      <c r="H344" s="15">
        <v>0</v>
      </c>
      <c r="I344" s="15">
        <v>0</v>
      </c>
      <c r="J344" s="15">
        <v>15.23</v>
      </c>
      <c r="K344" s="15">
        <v>24.93</v>
      </c>
      <c r="L344" s="15">
        <v>2.4700000000000002</v>
      </c>
      <c r="M344" s="15">
        <f t="shared" si="9"/>
        <v>-7.23</v>
      </c>
      <c r="N344" s="21">
        <f t="shared" si="6"/>
        <v>0.32190560997328582</v>
      </c>
    </row>
    <row r="345" spans="1:14" x14ac:dyDescent="0.25">
      <c r="A345" s="13">
        <v>344</v>
      </c>
      <c r="B345" s="14">
        <v>45947</v>
      </c>
      <c r="C345" s="15">
        <v>2.5</v>
      </c>
      <c r="D345" s="15">
        <v>0</v>
      </c>
      <c r="E345" s="15">
        <v>0</v>
      </c>
      <c r="F345" s="15">
        <v>0</v>
      </c>
      <c r="G345" s="15">
        <v>0</v>
      </c>
      <c r="H345" s="15">
        <v>0</v>
      </c>
      <c r="I345" s="15">
        <v>0</v>
      </c>
      <c r="J345" s="15">
        <v>8.3699999999999992</v>
      </c>
      <c r="K345" s="15">
        <v>12.95</v>
      </c>
      <c r="L345" s="15">
        <v>1.1399999999999999</v>
      </c>
      <c r="M345" s="15">
        <f t="shared" si="9"/>
        <v>-0.9399999999999995</v>
      </c>
      <c r="N345" s="21">
        <f t="shared" si="6"/>
        <v>7.9593564775613856E-2</v>
      </c>
    </row>
    <row r="346" spans="1:14" x14ac:dyDescent="0.25">
      <c r="A346" s="13">
        <v>345</v>
      </c>
      <c r="B346" s="14">
        <v>45947</v>
      </c>
      <c r="C346" s="15">
        <v>1.5</v>
      </c>
      <c r="D346" s="15">
        <v>0</v>
      </c>
      <c r="E346" s="15">
        <v>0</v>
      </c>
      <c r="F346" s="15">
        <v>0</v>
      </c>
      <c r="G346" s="15">
        <v>0</v>
      </c>
      <c r="H346" s="15">
        <v>0</v>
      </c>
      <c r="I346" s="15">
        <v>0</v>
      </c>
      <c r="J346" s="15">
        <v>6.99</v>
      </c>
      <c r="K346" s="15">
        <v>10.93</v>
      </c>
      <c r="L346" s="15">
        <v>0.9</v>
      </c>
      <c r="M346" s="15">
        <f t="shared" si="9"/>
        <v>-1.5399999999999991</v>
      </c>
      <c r="N346" s="21">
        <f t="shared" si="6"/>
        <v>0.15353938185443661</v>
      </c>
    </row>
    <row r="347" spans="1:14" x14ac:dyDescent="0.25">
      <c r="A347" s="13">
        <v>346</v>
      </c>
      <c r="B347" s="14">
        <v>45947</v>
      </c>
      <c r="C347" s="15">
        <v>0</v>
      </c>
      <c r="D347" s="15">
        <v>0</v>
      </c>
      <c r="E347" s="15">
        <v>0</v>
      </c>
      <c r="F347" s="15">
        <v>0</v>
      </c>
      <c r="G347" s="15">
        <v>0</v>
      </c>
      <c r="H347" s="15">
        <v>0</v>
      </c>
      <c r="I347" s="15">
        <v>0</v>
      </c>
      <c r="J347" s="15">
        <v>6.99</v>
      </c>
      <c r="K347" s="15">
        <v>10.94</v>
      </c>
      <c r="L347" s="15">
        <v>0</v>
      </c>
      <c r="M347" s="15">
        <f t="shared" si="9"/>
        <v>-3.9499999999999993</v>
      </c>
      <c r="N347" s="21">
        <f t="shared" si="6"/>
        <v>0.36106032906764163</v>
      </c>
    </row>
    <row r="348" spans="1:14" x14ac:dyDescent="0.25">
      <c r="A348" s="13">
        <v>347</v>
      </c>
      <c r="B348" s="14">
        <v>45947</v>
      </c>
      <c r="C348" s="15">
        <v>2.25</v>
      </c>
      <c r="D348" s="15">
        <v>0</v>
      </c>
      <c r="E348" s="15">
        <v>0</v>
      </c>
      <c r="F348" s="15">
        <v>0</v>
      </c>
      <c r="G348" s="15">
        <v>0</v>
      </c>
      <c r="H348" s="15">
        <v>0</v>
      </c>
      <c r="I348" s="15">
        <v>0</v>
      </c>
      <c r="J348" s="15">
        <v>15.94</v>
      </c>
      <c r="K348" s="15">
        <v>29.94</v>
      </c>
      <c r="L348" s="15">
        <v>0</v>
      </c>
      <c r="M348" s="15">
        <f t="shared" si="9"/>
        <v>-11.750000000000004</v>
      </c>
      <c r="N348" s="21">
        <f t="shared" si="6"/>
        <v>0.39245156980627932</v>
      </c>
    </row>
    <row r="349" spans="1:14" x14ac:dyDescent="0.25">
      <c r="A349" s="13">
        <v>348</v>
      </c>
      <c r="B349" s="14">
        <v>45947</v>
      </c>
      <c r="C349" s="15">
        <v>0</v>
      </c>
      <c r="D349" s="15">
        <v>0</v>
      </c>
      <c r="E349" s="15">
        <v>0</v>
      </c>
      <c r="F349" s="15">
        <v>0</v>
      </c>
      <c r="G349" s="15">
        <v>0</v>
      </c>
      <c r="H349" s="15">
        <v>0</v>
      </c>
      <c r="I349" s="15">
        <v>0</v>
      </c>
      <c r="J349" s="15">
        <v>6.99</v>
      </c>
      <c r="K349" s="15">
        <v>9.94</v>
      </c>
      <c r="L349" s="15">
        <v>0</v>
      </c>
      <c r="M349" s="15">
        <f t="shared" si="9"/>
        <v>-2.9499999999999993</v>
      </c>
      <c r="N349" s="21">
        <f t="shared" si="6"/>
        <v>0.29678068410462771</v>
      </c>
    </row>
    <row r="350" spans="1:14" x14ac:dyDescent="0.25">
      <c r="A350" s="13">
        <v>349</v>
      </c>
      <c r="B350" s="14">
        <v>45947</v>
      </c>
      <c r="C350" s="15">
        <v>0</v>
      </c>
      <c r="D350" s="15">
        <v>0</v>
      </c>
      <c r="E350" s="15">
        <v>0</v>
      </c>
      <c r="F350" s="15">
        <v>0</v>
      </c>
      <c r="G350" s="15">
        <v>0</v>
      </c>
      <c r="H350" s="15">
        <v>0</v>
      </c>
      <c r="I350" s="15">
        <v>0</v>
      </c>
      <c r="J350" s="15">
        <v>6.99</v>
      </c>
      <c r="K350" s="15">
        <v>8.3699999999999992</v>
      </c>
      <c r="L350" s="15">
        <v>0.42</v>
      </c>
      <c r="M350" s="15">
        <f t="shared" si="9"/>
        <v>-0.95999999999999908</v>
      </c>
      <c r="N350" s="21">
        <f t="shared" si="6"/>
        <v>0.12075471698113197</v>
      </c>
    </row>
    <row r="351" spans="1:14" x14ac:dyDescent="0.25">
      <c r="A351" s="13">
        <v>350</v>
      </c>
      <c r="B351" s="14">
        <v>45947</v>
      </c>
      <c r="C351" s="15">
        <v>1.5</v>
      </c>
      <c r="D351" s="15">
        <v>0</v>
      </c>
      <c r="E351" s="15">
        <v>0</v>
      </c>
      <c r="F351" s="15">
        <v>0</v>
      </c>
      <c r="G351" s="15">
        <v>0</v>
      </c>
      <c r="H351" s="15">
        <v>0</v>
      </c>
      <c r="I351" s="15">
        <v>0</v>
      </c>
      <c r="J351" s="15">
        <v>10.52</v>
      </c>
      <c r="K351" s="15">
        <v>13.95</v>
      </c>
      <c r="L351" s="15">
        <v>0</v>
      </c>
      <c r="M351" s="15">
        <f t="shared" si="9"/>
        <v>-1.9299999999999997</v>
      </c>
      <c r="N351" s="21">
        <f t="shared" si="6"/>
        <v>0.13835125448028673</v>
      </c>
    </row>
    <row r="352" spans="1:14" x14ac:dyDescent="0.25">
      <c r="A352" s="13">
        <v>351</v>
      </c>
      <c r="B352" s="14">
        <v>45947</v>
      </c>
      <c r="C352" s="15">
        <v>0</v>
      </c>
      <c r="D352" s="15">
        <v>0</v>
      </c>
      <c r="E352" s="15">
        <v>0</v>
      </c>
      <c r="F352" s="15">
        <v>0</v>
      </c>
      <c r="G352" s="15">
        <v>0</v>
      </c>
      <c r="H352" s="15">
        <v>0</v>
      </c>
      <c r="I352" s="15">
        <v>0</v>
      </c>
      <c r="J352" s="15">
        <v>12</v>
      </c>
      <c r="K352" s="15">
        <v>0</v>
      </c>
      <c r="L352" s="15">
        <v>0</v>
      </c>
      <c r="M352" s="15">
        <f t="shared" si="9"/>
        <v>12</v>
      </c>
      <c r="N352" s="21" t="e">
        <f t="shared" si="6"/>
        <v>#DIV/0!</v>
      </c>
    </row>
    <row r="353" spans="1:14" x14ac:dyDescent="0.25">
      <c r="A353" s="13">
        <v>352</v>
      </c>
      <c r="B353" s="14">
        <v>45948</v>
      </c>
      <c r="C353" s="15">
        <v>0</v>
      </c>
      <c r="D353" s="15">
        <v>0</v>
      </c>
      <c r="E353" s="15">
        <v>0</v>
      </c>
      <c r="F353" s="15">
        <v>0</v>
      </c>
      <c r="G353" s="15">
        <v>0.77</v>
      </c>
      <c r="H353" s="15">
        <v>0</v>
      </c>
      <c r="I353" s="15">
        <v>0</v>
      </c>
      <c r="J353" s="15">
        <v>6.99</v>
      </c>
      <c r="K353" s="15">
        <v>9.23</v>
      </c>
      <c r="L353" s="15">
        <v>0.82</v>
      </c>
      <c r="M353" s="15">
        <f t="shared" si="9"/>
        <v>-0.65000000000000036</v>
      </c>
      <c r="N353" s="21">
        <f t="shared" si="6"/>
        <v>7.7288941736028585E-2</v>
      </c>
    </row>
    <row r="354" spans="1:14" x14ac:dyDescent="0.25">
      <c r="A354" s="13">
        <v>353</v>
      </c>
      <c r="B354" s="14">
        <v>45948</v>
      </c>
      <c r="C354" s="15">
        <v>0</v>
      </c>
      <c r="D354" s="15">
        <v>0</v>
      </c>
      <c r="E354" s="15">
        <v>0</v>
      </c>
      <c r="F354" s="15">
        <v>0</v>
      </c>
      <c r="G354" s="15">
        <v>0</v>
      </c>
      <c r="H354" s="15">
        <v>0</v>
      </c>
      <c r="I354" s="15">
        <v>0</v>
      </c>
      <c r="J354" s="15">
        <v>21.12</v>
      </c>
      <c r="K354" s="15">
        <v>29.95</v>
      </c>
      <c r="L354" s="15">
        <v>0</v>
      </c>
      <c r="M354" s="15">
        <f t="shared" si="9"/>
        <v>-8.8299999999999983</v>
      </c>
      <c r="N354" s="21">
        <f t="shared" si="6"/>
        <v>0.29482470784641063</v>
      </c>
    </row>
    <row r="355" spans="1:14" x14ac:dyDescent="0.25">
      <c r="A355" s="13">
        <v>354</v>
      </c>
      <c r="B355" s="14">
        <v>45948</v>
      </c>
      <c r="C355" s="15">
        <v>20</v>
      </c>
      <c r="D355" s="15">
        <v>0</v>
      </c>
      <c r="E355" s="15">
        <v>0</v>
      </c>
      <c r="F355" s="15">
        <v>0</v>
      </c>
      <c r="G355" s="15">
        <v>0.18</v>
      </c>
      <c r="H355" s="15">
        <v>0</v>
      </c>
      <c r="I355" s="15">
        <v>0</v>
      </c>
      <c r="J355" s="15">
        <v>7.14</v>
      </c>
      <c r="K355" s="15">
        <v>29.55</v>
      </c>
      <c r="L355" s="15">
        <v>12.36</v>
      </c>
      <c r="M355" s="15">
        <f t="shared" si="9"/>
        <v>10.129999999999999</v>
      </c>
      <c r="N355" s="21">
        <f t="shared" si="6"/>
        <v>0.58929610238510755</v>
      </c>
    </row>
    <row r="356" spans="1:14" x14ac:dyDescent="0.25">
      <c r="A356" s="13">
        <v>355</v>
      </c>
      <c r="B356" s="14">
        <v>45948</v>
      </c>
      <c r="C356" s="15">
        <v>0</v>
      </c>
      <c r="D356" s="15">
        <v>0</v>
      </c>
      <c r="E356" s="15">
        <v>0</v>
      </c>
      <c r="F356" s="15">
        <v>0</v>
      </c>
      <c r="G356" s="15">
        <v>0.04</v>
      </c>
      <c r="H356" s="15">
        <v>0</v>
      </c>
      <c r="I356" s="15">
        <v>0</v>
      </c>
      <c r="J356" s="15">
        <v>6.99</v>
      </c>
      <c r="K356" s="15">
        <v>8.41</v>
      </c>
      <c r="L356" s="15">
        <v>1.1299999999999999</v>
      </c>
      <c r="M356" s="15">
        <f t="shared" si="9"/>
        <v>-0.25</v>
      </c>
      <c r="N356" s="21">
        <f t="shared" si="6"/>
        <v>3.4340659340659337E-2</v>
      </c>
    </row>
    <row r="357" spans="1:14" x14ac:dyDescent="0.25">
      <c r="A357" s="13">
        <v>356</v>
      </c>
      <c r="B357" s="14">
        <v>45949</v>
      </c>
      <c r="C357" s="15">
        <v>0</v>
      </c>
      <c r="D357" s="15">
        <v>0</v>
      </c>
      <c r="E357" s="15">
        <v>0</v>
      </c>
      <c r="F357" s="15">
        <v>0</v>
      </c>
      <c r="G357" s="15">
        <v>0</v>
      </c>
      <c r="H357" s="15">
        <v>0</v>
      </c>
      <c r="I357" s="15">
        <v>0</v>
      </c>
      <c r="J357" s="15">
        <v>17.100000000000001</v>
      </c>
      <c r="K357" s="15">
        <v>20.91</v>
      </c>
      <c r="L357" s="15">
        <v>0</v>
      </c>
      <c r="M357" s="15">
        <f t="shared" si="9"/>
        <v>-3.8099999999999987</v>
      </c>
      <c r="N357" s="21">
        <f t="shared" si="6"/>
        <v>0.18220946915351499</v>
      </c>
    </row>
    <row r="358" spans="1:14" x14ac:dyDescent="0.25">
      <c r="A358" s="13">
        <v>357</v>
      </c>
      <c r="B358" s="14">
        <v>45949</v>
      </c>
      <c r="C358" s="15">
        <v>5.25</v>
      </c>
      <c r="D358" s="15">
        <v>0</v>
      </c>
      <c r="E358" s="15">
        <v>0</v>
      </c>
      <c r="F358" s="15">
        <v>0</v>
      </c>
      <c r="G358" s="15">
        <v>0</v>
      </c>
      <c r="H358" s="15">
        <v>0</v>
      </c>
      <c r="I358" s="15">
        <v>0</v>
      </c>
      <c r="J358" s="15">
        <v>31.41</v>
      </c>
      <c r="K358" s="15">
        <v>46.94</v>
      </c>
      <c r="L358" s="15">
        <v>0</v>
      </c>
      <c r="M358" s="15">
        <f t="shared" si="9"/>
        <v>-10.280000000000001</v>
      </c>
      <c r="N358" s="21">
        <f t="shared" si="6"/>
        <v>0.21900298253089054</v>
      </c>
    </row>
    <row r="359" spans="1:14" x14ac:dyDescent="0.25">
      <c r="A359" s="13">
        <v>358</v>
      </c>
      <c r="B359" s="14">
        <v>45949</v>
      </c>
      <c r="C359" s="15">
        <v>2.5</v>
      </c>
      <c r="D359" s="15">
        <v>0</v>
      </c>
      <c r="E359" s="15">
        <v>0</v>
      </c>
      <c r="F359" s="15">
        <v>0</v>
      </c>
      <c r="G359" s="15">
        <v>0</v>
      </c>
      <c r="H359" s="15">
        <v>0</v>
      </c>
      <c r="I359" s="15">
        <v>0</v>
      </c>
      <c r="J359" s="15">
        <v>6.99</v>
      </c>
      <c r="K359" s="15">
        <v>10.86</v>
      </c>
      <c r="L359" s="15">
        <v>2.9</v>
      </c>
      <c r="M359" s="15">
        <f t="shared" si="9"/>
        <v>1.5300000000000011</v>
      </c>
      <c r="N359" s="21">
        <f t="shared" si="6"/>
        <v>0.19221105527638208</v>
      </c>
    </row>
    <row r="360" spans="1:14" x14ac:dyDescent="0.25">
      <c r="A360" s="13">
        <v>359</v>
      </c>
      <c r="B360" s="14">
        <v>45949</v>
      </c>
      <c r="C360" s="15">
        <v>8.25</v>
      </c>
      <c r="D360" s="15">
        <v>0</v>
      </c>
      <c r="E360" s="15">
        <v>0</v>
      </c>
      <c r="F360" s="15">
        <v>0</v>
      </c>
      <c r="G360" s="15">
        <v>0</v>
      </c>
      <c r="H360" s="15">
        <v>0</v>
      </c>
      <c r="I360" s="15">
        <v>0</v>
      </c>
      <c r="J360" s="15">
        <v>15.33</v>
      </c>
      <c r="K360" s="15">
        <v>25.83</v>
      </c>
      <c r="L360" s="15">
        <v>6.77</v>
      </c>
      <c r="M360" s="15">
        <f t="shared" si="9"/>
        <v>4.5199999999999996</v>
      </c>
      <c r="N360" s="21">
        <f t="shared" si="6"/>
        <v>0.23714585519412382</v>
      </c>
    </row>
    <row r="361" spans="1:14" x14ac:dyDescent="0.25">
      <c r="A361" s="13">
        <v>360</v>
      </c>
      <c r="B361" s="14">
        <v>45949</v>
      </c>
      <c r="C361" s="15">
        <v>3.5</v>
      </c>
      <c r="D361" s="15">
        <v>0</v>
      </c>
      <c r="E361" s="15">
        <v>0</v>
      </c>
      <c r="F361" s="15">
        <v>0</v>
      </c>
      <c r="G361" s="15">
        <v>0</v>
      </c>
      <c r="H361" s="15">
        <v>0</v>
      </c>
      <c r="I361" s="15">
        <v>0</v>
      </c>
      <c r="J361" s="15">
        <v>8.27</v>
      </c>
      <c r="K361" s="15">
        <v>14.97</v>
      </c>
      <c r="L361" s="15">
        <v>0</v>
      </c>
      <c r="M361" s="15">
        <f t="shared" si="9"/>
        <v>-3.2000000000000011</v>
      </c>
      <c r="N361" s="21">
        <f t="shared" si="6"/>
        <v>0.21376085504342024</v>
      </c>
    </row>
    <row r="362" spans="1:14" x14ac:dyDescent="0.25">
      <c r="A362" s="13">
        <v>361</v>
      </c>
      <c r="B362" s="14">
        <v>45949</v>
      </c>
      <c r="C362" s="15">
        <v>2.75</v>
      </c>
      <c r="D362" s="15">
        <v>0</v>
      </c>
      <c r="E362" s="15">
        <v>0</v>
      </c>
      <c r="F362" s="15">
        <v>0</v>
      </c>
      <c r="G362" s="15">
        <v>0</v>
      </c>
      <c r="H362" s="15">
        <v>0</v>
      </c>
      <c r="I362" s="15">
        <v>0</v>
      </c>
      <c r="J362" s="15">
        <v>17.03</v>
      </c>
      <c r="K362" s="15">
        <v>24.91</v>
      </c>
      <c r="L362" s="15">
        <v>1.25</v>
      </c>
      <c r="M362" s="15">
        <f t="shared" si="9"/>
        <v>-3.879999999999999</v>
      </c>
      <c r="N362" s="21">
        <f t="shared" si="6"/>
        <v>0.16398985629754856</v>
      </c>
    </row>
    <row r="363" spans="1:14" x14ac:dyDescent="0.25">
      <c r="A363" s="13">
        <v>362</v>
      </c>
      <c r="B363" s="14">
        <v>45949</v>
      </c>
      <c r="C363" s="15">
        <v>1.25</v>
      </c>
      <c r="D363" s="15">
        <v>0</v>
      </c>
      <c r="E363" s="15">
        <v>0</v>
      </c>
      <c r="F363" s="15">
        <v>0</v>
      </c>
      <c r="G363" s="15">
        <v>0</v>
      </c>
      <c r="H363" s="15">
        <v>0</v>
      </c>
      <c r="I363" s="15">
        <v>0</v>
      </c>
      <c r="J363" s="15">
        <v>18.89</v>
      </c>
      <c r="K363" s="15">
        <v>22.51</v>
      </c>
      <c r="L363" s="15">
        <v>2.59</v>
      </c>
      <c r="M363" s="15">
        <f t="shared" si="9"/>
        <v>0.21999999999999886</v>
      </c>
      <c r="N363" s="21">
        <f t="shared" si="6"/>
        <v>1.1044176706827251E-2</v>
      </c>
    </row>
    <row r="364" spans="1:14" x14ac:dyDescent="0.25">
      <c r="A364" s="13">
        <v>363</v>
      </c>
      <c r="B364" s="14">
        <v>45949</v>
      </c>
      <c r="C364" s="15">
        <v>8.5</v>
      </c>
      <c r="D364" s="15">
        <v>0</v>
      </c>
      <c r="E364" s="15">
        <v>0</v>
      </c>
      <c r="F364" s="15">
        <v>0</v>
      </c>
      <c r="G364" s="15">
        <v>0</v>
      </c>
      <c r="H364" s="15">
        <v>0</v>
      </c>
      <c r="I364" s="15">
        <v>0</v>
      </c>
      <c r="J364" s="15">
        <v>7.22</v>
      </c>
      <c r="K364" s="15">
        <v>17.63</v>
      </c>
      <c r="L364" s="15">
        <v>2.68</v>
      </c>
      <c r="M364" s="15">
        <f t="shared" si="9"/>
        <v>0.76999999999999957</v>
      </c>
      <c r="N364" s="21">
        <f t="shared" si="6"/>
        <v>5.1505016722408002E-2</v>
      </c>
    </row>
    <row r="365" spans="1:14" x14ac:dyDescent="0.25">
      <c r="A365" s="13">
        <v>364</v>
      </c>
      <c r="B365" s="14">
        <v>45949</v>
      </c>
      <c r="C365" s="15">
        <v>3</v>
      </c>
      <c r="D365" s="15">
        <v>0</v>
      </c>
      <c r="E365" s="15">
        <v>0</v>
      </c>
      <c r="F365" s="15">
        <v>0</v>
      </c>
      <c r="G365" s="15">
        <v>0</v>
      </c>
      <c r="H365" s="15">
        <v>0</v>
      </c>
      <c r="I365" s="15">
        <v>0</v>
      </c>
      <c r="J365" s="15">
        <v>6.99</v>
      </c>
      <c r="K365" s="15">
        <v>12.96</v>
      </c>
      <c r="L365" s="15">
        <v>0</v>
      </c>
      <c r="M365" s="15">
        <f t="shared" si="9"/>
        <v>-2.9700000000000006</v>
      </c>
      <c r="N365" s="21">
        <f t="shared" si="6"/>
        <v>0.22916666666666671</v>
      </c>
    </row>
    <row r="366" spans="1:14" x14ac:dyDescent="0.25">
      <c r="A366" s="13">
        <v>365</v>
      </c>
      <c r="B366" s="14">
        <v>45949</v>
      </c>
      <c r="C366" s="15">
        <v>12</v>
      </c>
      <c r="D366" s="15">
        <v>0</v>
      </c>
      <c r="E366" s="15">
        <v>0</v>
      </c>
      <c r="F366" s="15">
        <v>0</v>
      </c>
      <c r="G366" s="15">
        <v>0</v>
      </c>
      <c r="H366" s="15">
        <v>0</v>
      </c>
      <c r="I366" s="15">
        <v>0</v>
      </c>
      <c r="J366" s="15">
        <v>10.55</v>
      </c>
      <c r="K366" s="15">
        <v>24.61</v>
      </c>
      <c r="L366" s="15">
        <v>8.6999999999999993</v>
      </c>
      <c r="M366" s="15">
        <f t="shared" si="9"/>
        <v>6.6400000000000006</v>
      </c>
      <c r="N366" s="21">
        <f t="shared" si="6"/>
        <v>0.41734758013827783</v>
      </c>
    </row>
    <row r="367" spans="1:14" x14ac:dyDescent="0.25">
      <c r="A367" s="13">
        <v>366</v>
      </c>
      <c r="B367" s="14">
        <v>45949</v>
      </c>
      <c r="C367" s="15">
        <v>5.5</v>
      </c>
      <c r="D367" s="15">
        <v>0</v>
      </c>
      <c r="E367" s="15">
        <v>0</v>
      </c>
      <c r="F367" s="15">
        <v>0</v>
      </c>
      <c r="G367" s="15">
        <v>0</v>
      </c>
      <c r="H367" s="15">
        <v>0</v>
      </c>
      <c r="I367" s="15">
        <v>0</v>
      </c>
      <c r="J367" s="15">
        <v>6.99</v>
      </c>
      <c r="K367" s="15">
        <v>13.86</v>
      </c>
      <c r="L367" s="15">
        <v>5.55</v>
      </c>
      <c r="M367" s="15">
        <f t="shared" si="9"/>
        <v>4.1800000000000015</v>
      </c>
      <c r="N367" s="21">
        <f t="shared" si="6"/>
        <v>0.50300842358604114</v>
      </c>
    </row>
    <row r="368" spans="1:14" x14ac:dyDescent="0.25">
      <c r="A368" s="13">
        <v>367</v>
      </c>
      <c r="B368" s="14">
        <v>45949</v>
      </c>
      <c r="C368" s="15">
        <v>2.25</v>
      </c>
      <c r="D368" s="15">
        <v>0</v>
      </c>
      <c r="E368" s="15">
        <v>0</v>
      </c>
      <c r="F368" s="15">
        <v>0</v>
      </c>
      <c r="G368" s="15">
        <v>0</v>
      </c>
      <c r="H368" s="15">
        <v>0</v>
      </c>
      <c r="I368" s="15">
        <v>0</v>
      </c>
      <c r="J368" s="15">
        <v>17.309999999999999</v>
      </c>
      <c r="K368" s="15">
        <v>22.92</v>
      </c>
      <c r="L368" s="15">
        <v>0</v>
      </c>
      <c r="M368" s="15">
        <f t="shared" si="9"/>
        <v>-3.360000000000003</v>
      </c>
      <c r="N368" s="21">
        <f t="shared" si="6"/>
        <v>0.14659685863874358</v>
      </c>
    </row>
    <row r="369" spans="1:14" x14ac:dyDescent="0.25">
      <c r="A369" s="13">
        <v>368</v>
      </c>
      <c r="B369" s="14">
        <v>45949</v>
      </c>
      <c r="C369" s="15">
        <v>0</v>
      </c>
      <c r="D369" s="15">
        <v>0</v>
      </c>
      <c r="E369" s="15">
        <v>0</v>
      </c>
      <c r="F369" s="15">
        <v>0</v>
      </c>
      <c r="G369" s="15">
        <v>0</v>
      </c>
      <c r="H369" s="15">
        <v>0</v>
      </c>
      <c r="I369" s="15">
        <v>0</v>
      </c>
      <c r="J369" s="15">
        <v>6.99</v>
      </c>
      <c r="K369" s="15">
        <v>9.9629999999999992</v>
      </c>
      <c r="L369" s="15">
        <v>0</v>
      </c>
      <c r="M369" s="15">
        <f t="shared" si="9"/>
        <v>-2.972999999999999</v>
      </c>
      <c r="N369" s="21">
        <f t="shared" si="6"/>
        <v>0.29840409515206257</v>
      </c>
    </row>
    <row r="370" spans="1:14" x14ac:dyDescent="0.25">
      <c r="A370" s="13">
        <v>369</v>
      </c>
      <c r="B370" s="14">
        <v>45949</v>
      </c>
      <c r="C370" s="15">
        <v>0</v>
      </c>
      <c r="D370" s="15">
        <v>0</v>
      </c>
      <c r="E370" s="15">
        <v>0</v>
      </c>
      <c r="F370" s="15">
        <v>0</v>
      </c>
      <c r="G370" s="15">
        <v>0.28999999999999998</v>
      </c>
      <c r="H370" s="15">
        <v>0</v>
      </c>
      <c r="I370" s="15">
        <v>0</v>
      </c>
      <c r="J370" s="15">
        <v>6.99</v>
      </c>
      <c r="K370" s="15">
        <v>9.2799999999999994</v>
      </c>
      <c r="L370" s="15">
        <v>0</v>
      </c>
      <c r="M370" s="15">
        <f t="shared" si="9"/>
        <v>-1.9999999999999991</v>
      </c>
      <c r="N370" s="21">
        <f t="shared" si="6"/>
        <v>0.21551724137931028</v>
      </c>
    </row>
    <row r="371" spans="1:14" x14ac:dyDescent="0.25">
      <c r="A371" s="13">
        <v>370</v>
      </c>
      <c r="B371" s="14">
        <v>45949</v>
      </c>
      <c r="C371" s="15">
        <v>0</v>
      </c>
      <c r="D371" s="15">
        <v>0</v>
      </c>
      <c r="E371" s="15">
        <v>0</v>
      </c>
      <c r="F371" s="15">
        <v>0</v>
      </c>
      <c r="G371" s="15">
        <v>0</v>
      </c>
      <c r="H371" s="15">
        <v>0</v>
      </c>
      <c r="I371" s="15">
        <v>0</v>
      </c>
      <c r="J371" s="15">
        <v>7.05</v>
      </c>
      <c r="K371" s="15">
        <v>9.94</v>
      </c>
      <c r="L371" s="15">
        <v>0</v>
      </c>
      <c r="M371" s="15">
        <f t="shared" si="9"/>
        <v>-2.8899999999999997</v>
      </c>
      <c r="N371" s="21">
        <f t="shared" si="6"/>
        <v>0.29074446680080479</v>
      </c>
    </row>
    <row r="372" spans="1:14" x14ac:dyDescent="0.25">
      <c r="A372" s="13">
        <v>371</v>
      </c>
      <c r="B372" s="14">
        <v>45949</v>
      </c>
      <c r="C372" s="15">
        <v>0</v>
      </c>
      <c r="D372" s="15">
        <v>0</v>
      </c>
      <c r="E372" s="15">
        <v>0</v>
      </c>
      <c r="F372" s="15">
        <v>0</v>
      </c>
      <c r="G372" s="15">
        <v>0</v>
      </c>
      <c r="H372" s="15">
        <v>0</v>
      </c>
      <c r="I372" s="15">
        <v>0</v>
      </c>
      <c r="J372" s="15">
        <v>35</v>
      </c>
      <c r="K372" s="15">
        <v>0</v>
      </c>
      <c r="L372" s="15">
        <v>0</v>
      </c>
      <c r="M372" s="15">
        <f t="shared" si="9"/>
        <v>35</v>
      </c>
      <c r="N372" s="21" t="e">
        <f t="shared" si="6"/>
        <v>#DIV/0!</v>
      </c>
    </row>
    <row r="373" spans="1:14" x14ac:dyDescent="0.25">
      <c r="A373" s="13">
        <v>372</v>
      </c>
      <c r="B373" s="14">
        <v>45951</v>
      </c>
      <c r="C373" s="15">
        <v>0</v>
      </c>
      <c r="D373" s="15">
        <v>0</v>
      </c>
      <c r="E373" s="15">
        <v>0</v>
      </c>
      <c r="F373" s="15">
        <v>0</v>
      </c>
      <c r="G373" s="15">
        <v>0</v>
      </c>
      <c r="H373" s="15">
        <v>0</v>
      </c>
      <c r="I373" s="15">
        <v>0</v>
      </c>
      <c r="J373" s="15">
        <v>6.99</v>
      </c>
      <c r="K373" s="15">
        <v>7.96</v>
      </c>
      <c r="L373" s="15">
        <v>0</v>
      </c>
      <c r="M373" s="15">
        <f t="shared" si="9"/>
        <v>-0.96999999999999975</v>
      </c>
      <c r="N373" s="21">
        <f t="shared" si="6"/>
        <v>0.12185929648241203</v>
      </c>
    </row>
    <row r="374" spans="1:14" x14ac:dyDescent="0.25">
      <c r="A374" s="13">
        <v>373</v>
      </c>
      <c r="B374" s="14">
        <v>45951</v>
      </c>
      <c r="C374" s="15">
        <v>0</v>
      </c>
      <c r="D374" s="15">
        <v>0</v>
      </c>
      <c r="E374" s="15">
        <v>0</v>
      </c>
      <c r="F374" s="15">
        <v>0</v>
      </c>
      <c r="G374" s="15">
        <v>0.31</v>
      </c>
      <c r="H374" s="15">
        <v>0</v>
      </c>
      <c r="I374" s="15">
        <v>0</v>
      </c>
      <c r="J374" s="15">
        <v>6.99</v>
      </c>
      <c r="K374" s="15">
        <v>9.34</v>
      </c>
      <c r="L374" s="15">
        <v>0</v>
      </c>
      <c r="M374" s="15">
        <f t="shared" si="9"/>
        <v>-2.04</v>
      </c>
      <c r="N374" s="21">
        <f t="shared" si="6"/>
        <v>0.21841541755888652</v>
      </c>
    </row>
    <row r="375" spans="1:14" x14ac:dyDescent="0.25">
      <c r="A375" s="13">
        <v>374</v>
      </c>
      <c r="B375" s="14">
        <v>45951</v>
      </c>
      <c r="C375" s="15">
        <v>0</v>
      </c>
      <c r="D375" s="15">
        <v>0</v>
      </c>
      <c r="E375" s="15">
        <v>0</v>
      </c>
      <c r="F375" s="15">
        <v>0</v>
      </c>
      <c r="G375" s="15">
        <v>0</v>
      </c>
      <c r="H375" s="15">
        <v>0</v>
      </c>
      <c r="I375" s="15">
        <v>0</v>
      </c>
      <c r="J375" s="15">
        <v>22.66</v>
      </c>
      <c r="K375" s="15">
        <v>26.68</v>
      </c>
      <c r="L375" s="15">
        <v>7.25</v>
      </c>
      <c r="M375" s="15">
        <f t="shared" si="9"/>
        <v>3.2300000000000004</v>
      </c>
      <c r="N375" s="21">
        <f t="shared" si="6"/>
        <v>0.16623777663407105</v>
      </c>
    </row>
    <row r="376" spans="1:14" x14ac:dyDescent="0.25">
      <c r="A376" s="13">
        <v>375</v>
      </c>
      <c r="B376" s="14">
        <v>45951</v>
      </c>
      <c r="C376" s="15">
        <v>7.25</v>
      </c>
      <c r="D376" s="15">
        <v>0</v>
      </c>
      <c r="E376" s="15">
        <v>0</v>
      </c>
      <c r="F376" s="15">
        <v>0</v>
      </c>
      <c r="G376" s="15">
        <v>0</v>
      </c>
      <c r="H376" s="15">
        <v>0</v>
      </c>
      <c r="I376" s="15">
        <v>0</v>
      </c>
      <c r="J376" s="15">
        <v>13.43</v>
      </c>
      <c r="K376" s="15">
        <v>22.87</v>
      </c>
      <c r="L376" s="15">
        <v>4.96</v>
      </c>
      <c r="M376" s="15">
        <f t="shared" si="9"/>
        <v>2.7699999999999996</v>
      </c>
      <c r="N376" s="21">
        <f t="shared" si="6"/>
        <v>0.15466219988833052</v>
      </c>
    </row>
    <row r="377" spans="1:14" x14ac:dyDescent="0.25">
      <c r="A377" s="13">
        <v>376</v>
      </c>
      <c r="B377" s="14">
        <v>45951</v>
      </c>
      <c r="C377" s="15">
        <v>7.25</v>
      </c>
      <c r="D377" s="15">
        <v>0</v>
      </c>
      <c r="E377" s="15">
        <v>0</v>
      </c>
      <c r="F377" s="15">
        <v>0</v>
      </c>
      <c r="G377" s="15">
        <v>0</v>
      </c>
      <c r="H377" s="15">
        <v>8.58</v>
      </c>
      <c r="I377" s="15">
        <v>0</v>
      </c>
      <c r="J377" s="15">
        <v>13.83</v>
      </c>
      <c r="K377" s="15">
        <v>31.99</v>
      </c>
      <c r="L377" s="15">
        <v>0</v>
      </c>
      <c r="M377" s="15">
        <f t="shared" si="9"/>
        <v>-2.3299999999999983</v>
      </c>
      <c r="N377" s="21">
        <f t="shared" si="6"/>
        <v>7.2835261019068412E-2</v>
      </c>
    </row>
    <row r="378" spans="1:14" x14ac:dyDescent="0.25">
      <c r="A378" s="13">
        <v>377</v>
      </c>
      <c r="B378" s="14">
        <v>45951</v>
      </c>
      <c r="C378" s="15">
        <v>6</v>
      </c>
      <c r="D378" s="15">
        <v>0</v>
      </c>
      <c r="E378" s="15">
        <v>0</v>
      </c>
      <c r="F378" s="15">
        <v>2.9</v>
      </c>
      <c r="G378" s="15">
        <v>0</v>
      </c>
      <c r="H378" s="15">
        <v>0</v>
      </c>
      <c r="I378" s="15">
        <v>0</v>
      </c>
      <c r="J378" s="15">
        <v>6.99</v>
      </c>
      <c r="K378" s="15">
        <v>19.97</v>
      </c>
      <c r="L378" s="15">
        <v>0</v>
      </c>
      <c r="M378" s="15">
        <f t="shared" si="9"/>
        <v>-4.0799999999999983</v>
      </c>
      <c r="N378" s="21">
        <f t="shared" si="6"/>
        <v>0.20430645968953423</v>
      </c>
    </row>
    <row r="379" spans="1:14" x14ac:dyDescent="0.25">
      <c r="A379" s="13">
        <v>378</v>
      </c>
      <c r="B379" s="14">
        <v>45951</v>
      </c>
      <c r="C379" s="15">
        <v>5.25</v>
      </c>
      <c r="D379" s="15">
        <v>0</v>
      </c>
      <c r="E379" s="15">
        <v>0</v>
      </c>
      <c r="F379" s="15">
        <v>0</v>
      </c>
      <c r="G379" s="15">
        <v>0</v>
      </c>
      <c r="H379" s="15">
        <v>0</v>
      </c>
      <c r="I379" s="15">
        <v>0</v>
      </c>
      <c r="J379" s="15">
        <v>9.11</v>
      </c>
      <c r="K379" s="15">
        <v>23.93</v>
      </c>
      <c r="L379" s="15">
        <v>0</v>
      </c>
      <c r="M379" s="15">
        <f t="shared" si="9"/>
        <v>-9.57</v>
      </c>
      <c r="N379" s="21">
        <f t="shared" si="6"/>
        <v>0.39991642290012536</v>
      </c>
    </row>
    <row r="380" spans="1:14" x14ac:dyDescent="0.25">
      <c r="A380" s="13">
        <v>379</v>
      </c>
      <c r="B380" s="14">
        <v>45951</v>
      </c>
      <c r="C380" s="15">
        <v>6</v>
      </c>
      <c r="D380" s="15">
        <v>0</v>
      </c>
      <c r="E380" s="15">
        <v>0</v>
      </c>
      <c r="F380" s="15">
        <v>0</v>
      </c>
      <c r="G380" s="15">
        <v>0</v>
      </c>
      <c r="H380" s="15">
        <v>0</v>
      </c>
      <c r="I380" s="15">
        <v>0</v>
      </c>
      <c r="J380" s="15">
        <v>14.39</v>
      </c>
      <c r="K380" s="15">
        <v>22.98</v>
      </c>
      <c r="L380" s="15">
        <v>0</v>
      </c>
      <c r="M380" s="15">
        <f t="shared" si="9"/>
        <v>-2.59</v>
      </c>
      <c r="N380" s="21">
        <f t="shared" si="6"/>
        <v>0.11270670147954742</v>
      </c>
    </row>
    <row r="381" spans="1:14" x14ac:dyDescent="0.25">
      <c r="A381" s="13">
        <v>380</v>
      </c>
      <c r="B381" s="14">
        <v>45951</v>
      </c>
      <c r="C381" s="15">
        <v>3.25</v>
      </c>
      <c r="D381" s="15">
        <v>0</v>
      </c>
      <c r="E381" s="15">
        <v>0</v>
      </c>
      <c r="F381" s="15">
        <v>0</v>
      </c>
      <c r="G381" s="15">
        <v>0</v>
      </c>
      <c r="H381" s="15">
        <v>0</v>
      </c>
      <c r="I381" s="15">
        <v>0</v>
      </c>
      <c r="J381" s="15">
        <v>6.99</v>
      </c>
      <c r="K381" s="15">
        <v>11.94</v>
      </c>
      <c r="L381" s="15">
        <v>0</v>
      </c>
      <c r="M381" s="15">
        <f t="shared" si="9"/>
        <v>-1.6999999999999993</v>
      </c>
      <c r="N381" s="21">
        <f t="shared" si="6"/>
        <v>0.14237855946398656</v>
      </c>
    </row>
    <row r="382" spans="1:14" x14ac:dyDescent="0.25">
      <c r="A382" s="13">
        <v>381</v>
      </c>
      <c r="B382" s="14">
        <v>45951</v>
      </c>
      <c r="C382" s="15">
        <v>0</v>
      </c>
      <c r="D382" s="15">
        <v>0</v>
      </c>
      <c r="E382" s="15">
        <v>0</v>
      </c>
      <c r="F382" s="15">
        <v>0</v>
      </c>
      <c r="G382" s="15">
        <v>0</v>
      </c>
      <c r="H382" s="15">
        <v>0</v>
      </c>
      <c r="I382" s="15">
        <v>0</v>
      </c>
      <c r="J382" s="15">
        <v>6.99</v>
      </c>
      <c r="K382" s="15">
        <v>8.9700000000000006</v>
      </c>
      <c r="L382" s="15">
        <v>0</v>
      </c>
      <c r="M382" s="15">
        <f t="shared" si="9"/>
        <v>-1.9800000000000004</v>
      </c>
      <c r="N382" s="21">
        <f t="shared" si="6"/>
        <v>0.22073578595317728</v>
      </c>
    </row>
    <row r="383" spans="1:14" x14ac:dyDescent="0.25">
      <c r="A383" s="13">
        <v>382</v>
      </c>
      <c r="B383" s="14">
        <v>45951</v>
      </c>
      <c r="C383" s="15">
        <v>0</v>
      </c>
      <c r="D383" s="15">
        <v>0</v>
      </c>
      <c r="E383" s="15">
        <v>0</v>
      </c>
      <c r="F383" s="15">
        <v>0</v>
      </c>
      <c r="G383" s="15">
        <v>0</v>
      </c>
      <c r="H383" s="15">
        <v>0</v>
      </c>
      <c r="I383" s="15">
        <v>0</v>
      </c>
      <c r="J383" s="15">
        <v>6.99</v>
      </c>
      <c r="K383" s="15">
        <v>9.93</v>
      </c>
      <c r="L383" s="15">
        <v>0</v>
      </c>
      <c r="M383" s="15">
        <f t="shared" si="9"/>
        <v>-2.9399999999999995</v>
      </c>
      <c r="N383" s="21">
        <f t="shared" si="6"/>
        <v>0.29607250755287007</v>
      </c>
    </row>
    <row r="384" spans="1:14" x14ac:dyDescent="0.25">
      <c r="A384" s="13">
        <v>383</v>
      </c>
      <c r="B384" s="14">
        <v>45951</v>
      </c>
      <c r="C384" s="15">
        <v>2</v>
      </c>
      <c r="D384" s="15">
        <v>0</v>
      </c>
      <c r="E384" s="15">
        <v>0</v>
      </c>
      <c r="F384" s="15">
        <v>0</v>
      </c>
      <c r="G384" s="15">
        <v>0</v>
      </c>
      <c r="H384" s="15">
        <v>0</v>
      </c>
      <c r="I384" s="15">
        <v>0</v>
      </c>
      <c r="J384" s="15">
        <v>8.75</v>
      </c>
      <c r="K384" s="15">
        <v>17.920000000000002</v>
      </c>
      <c r="L384" s="15">
        <v>0</v>
      </c>
      <c r="M384" s="15">
        <f t="shared" si="9"/>
        <v>-7.1700000000000017</v>
      </c>
      <c r="N384" s="21">
        <f t="shared" si="6"/>
        <v>0.40011160714285721</v>
      </c>
    </row>
    <row r="385" spans="1:14" x14ac:dyDescent="0.25">
      <c r="A385" s="13">
        <v>384</v>
      </c>
      <c r="B385" s="14">
        <v>45951</v>
      </c>
      <c r="C385" s="15">
        <v>1.75</v>
      </c>
      <c r="D385" s="15">
        <v>0</v>
      </c>
      <c r="E385" s="15">
        <v>0</v>
      </c>
      <c r="F385" s="15">
        <v>0</v>
      </c>
      <c r="G385" s="15">
        <v>0</v>
      </c>
      <c r="H385" s="15">
        <v>0</v>
      </c>
      <c r="I385" s="15">
        <v>0</v>
      </c>
      <c r="J385" s="15">
        <v>6.99</v>
      </c>
      <c r="K385" s="15">
        <v>11.97</v>
      </c>
      <c r="L385" s="15">
        <v>0</v>
      </c>
      <c r="M385" s="15">
        <f t="shared" si="9"/>
        <v>-3.2300000000000004</v>
      </c>
      <c r="N385" s="21">
        <f t="shared" si="6"/>
        <v>0.26984126984126988</v>
      </c>
    </row>
    <row r="386" spans="1:14" x14ac:dyDescent="0.25">
      <c r="A386" s="13">
        <v>385</v>
      </c>
      <c r="B386" s="14">
        <v>45951</v>
      </c>
      <c r="C386" s="15">
        <v>6.5</v>
      </c>
      <c r="D386" s="15">
        <v>0</v>
      </c>
      <c r="E386" s="15">
        <v>0</v>
      </c>
      <c r="F386" s="15">
        <v>0</v>
      </c>
      <c r="G386" s="15">
        <v>0</v>
      </c>
      <c r="H386" s="15">
        <v>0</v>
      </c>
      <c r="I386" s="15">
        <v>0</v>
      </c>
      <c r="J386" s="15">
        <v>6.99</v>
      </c>
      <c r="K386" s="15">
        <v>17.059999999999999</v>
      </c>
      <c r="L386" s="15">
        <v>0</v>
      </c>
      <c r="M386" s="15">
        <f t="shared" si="9"/>
        <v>-3.5699999999999985</v>
      </c>
      <c r="N386" s="21">
        <f t="shared" si="6"/>
        <v>0.20926143024618984</v>
      </c>
    </row>
    <row r="387" spans="1:14" x14ac:dyDescent="0.25">
      <c r="A387" s="13">
        <v>386</v>
      </c>
      <c r="B387" s="14">
        <v>45951</v>
      </c>
      <c r="C387" s="15">
        <v>2.75</v>
      </c>
      <c r="D387" s="15">
        <v>0</v>
      </c>
      <c r="E387" s="15">
        <v>0</v>
      </c>
      <c r="F387" s="15">
        <v>0</v>
      </c>
      <c r="G387" s="15">
        <v>0</v>
      </c>
      <c r="H387" s="15">
        <v>0</v>
      </c>
      <c r="I387" s="15">
        <v>0</v>
      </c>
      <c r="J387" s="15">
        <v>6.99</v>
      </c>
      <c r="K387" s="15">
        <v>11.07</v>
      </c>
      <c r="L387" s="15">
        <v>7.15</v>
      </c>
      <c r="M387" s="15">
        <f t="shared" si="9"/>
        <v>5.82</v>
      </c>
      <c r="N387" s="21">
        <f t="shared" si="6"/>
        <v>1.4846938775510206</v>
      </c>
    </row>
    <row r="388" spans="1:14" x14ac:dyDescent="0.25">
      <c r="A388" s="13">
        <v>387</v>
      </c>
      <c r="B388" s="14">
        <v>45952</v>
      </c>
      <c r="C388" s="15">
        <v>0</v>
      </c>
      <c r="D388" s="15">
        <v>0</v>
      </c>
      <c r="E388" s="15">
        <v>0</v>
      </c>
      <c r="F388" s="15">
        <v>0</v>
      </c>
      <c r="G388" s="15">
        <v>0</v>
      </c>
      <c r="H388" s="15">
        <v>0</v>
      </c>
      <c r="I388" s="15">
        <v>0</v>
      </c>
      <c r="J388" s="15">
        <v>6.99</v>
      </c>
      <c r="K388" s="15">
        <v>7.98</v>
      </c>
      <c r="L388" s="15">
        <v>0</v>
      </c>
      <c r="M388" s="15">
        <f t="shared" si="9"/>
        <v>-0.99000000000000021</v>
      </c>
      <c r="N388" s="21">
        <f t="shared" si="6"/>
        <v>0.12406015037593987</v>
      </c>
    </row>
    <row r="389" spans="1:14" x14ac:dyDescent="0.25">
      <c r="A389" s="13">
        <v>388</v>
      </c>
      <c r="B389" s="14">
        <v>45952</v>
      </c>
      <c r="C389" s="15">
        <v>0</v>
      </c>
      <c r="D389" s="15">
        <v>0</v>
      </c>
      <c r="E389" s="15">
        <v>0</v>
      </c>
      <c r="F389" s="15">
        <v>0</v>
      </c>
      <c r="G389" s="15">
        <v>0</v>
      </c>
      <c r="H389" s="15">
        <v>0</v>
      </c>
      <c r="I389" s="15">
        <v>0</v>
      </c>
      <c r="J389" s="15">
        <v>6.99</v>
      </c>
      <c r="K389" s="15">
        <v>7.93</v>
      </c>
      <c r="L389" s="15">
        <v>0</v>
      </c>
      <c r="M389" s="15">
        <f t="shared" si="9"/>
        <v>-0.9399999999999995</v>
      </c>
      <c r="N389" s="21">
        <f t="shared" si="6"/>
        <v>0.11853720050441356</v>
      </c>
    </row>
    <row r="390" spans="1:14" x14ac:dyDescent="0.25">
      <c r="A390" s="13">
        <v>389</v>
      </c>
      <c r="B390" s="14">
        <v>45952</v>
      </c>
      <c r="C390" s="15">
        <v>0</v>
      </c>
      <c r="D390" s="15">
        <v>0</v>
      </c>
      <c r="E390" s="15">
        <v>0</v>
      </c>
      <c r="F390" s="15">
        <v>0</v>
      </c>
      <c r="G390" s="15">
        <v>0</v>
      </c>
      <c r="H390" s="15">
        <v>0</v>
      </c>
      <c r="I390" s="15">
        <v>0</v>
      </c>
      <c r="J390" s="15">
        <v>25.47</v>
      </c>
      <c r="K390" s="15">
        <v>29.72</v>
      </c>
      <c r="L390" s="15">
        <v>10.199999999999999</v>
      </c>
      <c r="M390" s="15">
        <f t="shared" si="9"/>
        <v>5.9499999999999993</v>
      </c>
      <c r="N390" s="21">
        <f t="shared" si="6"/>
        <v>0.30481557377049179</v>
      </c>
    </row>
    <row r="391" spans="1:14" x14ac:dyDescent="0.25">
      <c r="A391" s="13">
        <v>390</v>
      </c>
      <c r="B391" s="14">
        <v>45952</v>
      </c>
      <c r="C391" s="15">
        <v>2.75</v>
      </c>
      <c r="D391" s="15">
        <v>0</v>
      </c>
      <c r="E391" s="15">
        <v>0</v>
      </c>
      <c r="F391" s="15">
        <v>0</v>
      </c>
      <c r="G391" s="15">
        <v>0</v>
      </c>
      <c r="H391" s="15">
        <v>0</v>
      </c>
      <c r="I391" s="15">
        <v>0</v>
      </c>
      <c r="J391" s="15">
        <v>9.34</v>
      </c>
      <c r="K391" s="15">
        <v>13.98</v>
      </c>
      <c r="L391" s="15">
        <v>0</v>
      </c>
      <c r="M391" s="15">
        <f t="shared" si="9"/>
        <v>-1.8900000000000006</v>
      </c>
      <c r="N391" s="21">
        <f t="shared" si="6"/>
        <v>0.13519313304721034</v>
      </c>
    </row>
    <row r="392" spans="1:14" x14ac:dyDescent="0.25">
      <c r="A392" s="13">
        <v>391</v>
      </c>
      <c r="B392" s="14">
        <v>45952</v>
      </c>
      <c r="C392" s="15">
        <v>0</v>
      </c>
      <c r="D392" s="15">
        <v>0</v>
      </c>
      <c r="E392" s="15">
        <v>0</v>
      </c>
      <c r="F392" s="15">
        <v>0</v>
      </c>
      <c r="G392" s="15">
        <v>0</v>
      </c>
      <c r="H392" s="15">
        <v>0</v>
      </c>
      <c r="I392" s="15">
        <v>0</v>
      </c>
      <c r="J392" s="15">
        <v>17.190000000000001</v>
      </c>
      <c r="K392" s="15">
        <v>24.93</v>
      </c>
      <c r="L392" s="15">
        <v>0</v>
      </c>
      <c r="M392" s="15">
        <f t="shared" si="9"/>
        <v>-7.7399999999999984</v>
      </c>
      <c r="N392" s="21">
        <f t="shared" si="6"/>
        <v>0.3104693140794223</v>
      </c>
    </row>
    <row r="393" spans="1:14" x14ac:dyDescent="0.25">
      <c r="A393" s="13">
        <v>392</v>
      </c>
      <c r="B393" s="14">
        <v>45952</v>
      </c>
      <c r="C393" s="15">
        <v>2.5</v>
      </c>
      <c r="D393" s="15">
        <v>0</v>
      </c>
      <c r="E393" s="15">
        <v>0</v>
      </c>
      <c r="F393" s="15">
        <v>0</v>
      </c>
      <c r="G393" s="15">
        <v>0</v>
      </c>
      <c r="H393" s="15">
        <v>0</v>
      </c>
      <c r="I393" s="15">
        <v>0</v>
      </c>
      <c r="J393" s="15">
        <v>24.55</v>
      </c>
      <c r="K393" s="15">
        <v>31.99</v>
      </c>
      <c r="L393" s="15">
        <v>0</v>
      </c>
      <c r="M393" s="15">
        <f t="shared" si="9"/>
        <v>-4.9399999999999977</v>
      </c>
      <c r="N393" s="21">
        <f t="shared" si="6"/>
        <v>0.15442325726789616</v>
      </c>
    </row>
    <row r="394" spans="1:14" x14ac:dyDescent="0.25">
      <c r="A394" s="13">
        <v>393</v>
      </c>
      <c r="B394" s="14">
        <v>45952</v>
      </c>
      <c r="C394" s="15">
        <v>4</v>
      </c>
      <c r="D394" s="15">
        <v>0</v>
      </c>
      <c r="E394" s="15">
        <v>0</v>
      </c>
      <c r="F394" s="15">
        <v>0</v>
      </c>
      <c r="G394" s="15">
        <v>0.9</v>
      </c>
      <c r="H394" s="15">
        <v>0</v>
      </c>
      <c r="I394" s="15">
        <v>0</v>
      </c>
      <c r="J394" s="15">
        <v>6.99</v>
      </c>
      <c r="K394" s="15">
        <v>14.97</v>
      </c>
      <c r="L394" s="15">
        <v>2.15</v>
      </c>
      <c r="M394" s="15">
        <f t="shared" si="9"/>
        <v>-0.92999999999999972</v>
      </c>
      <c r="N394" s="21">
        <f t="shared" si="6"/>
        <v>7.2542901716068614E-2</v>
      </c>
    </row>
    <row r="395" spans="1:14" x14ac:dyDescent="0.25">
      <c r="A395" s="13">
        <v>394</v>
      </c>
      <c r="B395" s="14">
        <v>45952</v>
      </c>
      <c r="C395" s="15">
        <v>0</v>
      </c>
      <c r="D395" s="15">
        <v>0</v>
      </c>
      <c r="E395" s="15">
        <v>0</v>
      </c>
      <c r="F395" s="15">
        <v>0</v>
      </c>
      <c r="G395" s="15">
        <v>0</v>
      </c>
      <c r="H395" s="15">
        <v>0</v>
      </c>
      <c r="I395" s="15">
        <v>0</v>
      </c>
      <c r="J395" s="15">
        <v>6.99</v>
      </c>
      <c r="K395" s="15">
        <v>9.9499999999999993</v>
      </c>
      <c r="L395" s="15">
        <v>0</v>
      </c>
      <c r="M395" s="15">
        <f t="shared" si="9"/>
        <v>-2.9599999999999991</v>
      </c>
      <c r="N395" s="21">
        <f t="shared" si="6"/>
        <v>0.29748743718592957</v>
      </c>
    </row>
    <row r="396" spans="1:14" x14ac:dyDescent="0.25">
      <c r="A396" s="13">
        <v>395</v>
      </c>
      <c r="B396" s="14">
        <v>45952</v>
      </c>
      <c r="C396" s="15">
        <v>0</v>
      </c>
      <c r="D396" s="15">
        <v>0</v>
      </c>
      <c r="E396" s="15">
        <v>0</v>
      </c>
      <c r="F396" s="15">
        <v>0</v>
      </c>
      <c r="G396" s="15">
        <v>1.2</v>
      </c>
      <c r="H396" s="15">
        <v>0</v>
      </c>
      <c r="I396" s="15">
        <v>0</v>
      </c>
      <c r="J396" s="15">
        <v>6.99</v>
      </c>
      <c r="K396" s="15">
        <v>11.27</v>
      </c>
      <c r="L396" s="15">
        <v>0</v>
      </c>
      <c r="M396" s="15">
        <f t="shared" si="9"/>
        <v>-3.08</v>
      </c>
      <c r="N396" s="21">
        <f t="shared" si="6"/>
        <v>0.27329192546583853</v>
      </c>
    </row>
    <row r="397" spans="1:14" x14ac:dyDescent="0.25">
      <c r="A397" s="13">
        <v>396</v>
      </c>
      <c r="B397" s="14">
        <v>45952</v>
      </c>
      <c r="C397" s="15">
        <v>3.5</v>
      </c>
      <c r="D397" s="15">
        <v>0</v>
      </c>
      <c r="E397" s="15">
        <v>0</v>
      </c>
      <c r="F397" s="15">
        <v>0</v>
      </c>
      <c r="G397" s="15">
        <v>0</v>
      </c>
      <c r="H397" s="15">
        <v>0</v>
      </c>
      <c r="I397" s="15">
        <v>0</v>
      </c>
      <c r="J397" s="15">
        <v>10.35</v>
      </c>
      <c r="K397" s="15">
        <v>15.94</v>
      </c>
      <c r="L397" s="15">
        <v>0</v>
      </c>
      <c r="M397" s="15">
        <f t="shared" si="9"/>
        <v>-2.09</v>
      </c>
      <c r="N397" s="21">
        <f t="shared" si="6"/>
        <v>0.13111668757841907</v>
      </c>
    </row>
    <row r="398" spans="1:14" x14ac:dyDescent="0.25">
      <c r="A398" s="13">
        <v>397</v>
      </c>
      <c r="B398" s="14">
        <v>45952</v>
      </c>
      <c r="C398" s="15">
        <v>0</v>
      </c>
      <c r="D398" s="15">
        <v>0</v>
      </c>
      <c r="E398" s="15">
        <v>0</v>
      </c>
      <c r="F398" s="15">
        <v>0</v>
      </c>
      <c r="G398" s="15">
        <v>0</v>
      </c>
      <c r="H398" s="15">
        <v>0</v>
      </c>
      <c r="I398" s="15">
        <v>0</v>
      </c>
      <c r="J398" s="15">
        <v>9.02</v>
      </c>
      <c r="K398" s="15">
        <v>12.26</v>
      </c>
      <c r="L398" s="15">
        <v>0</v>
      </c>
      <c r="M398" s="15">
        <f t="shared" si="9"/>
        <v>-3.24</v>
      </c>
      <c r="N398" s="21">
        <f t="shared" si="6"/>
        <v>0.26427406199021208</v>
      </c>
    </row>
    <row r="399" spans="1:14" x14ac:dyDescent="0.25">
      <c r="A399" s="13">
        <v>398</v>
      </c>
      <c r="B399" s="14">
        <v>45952</v>
      </c>
      <c r="C399" s="15">
        <v>0</v>
      </c>
      <c r="D399" s="15">
        <v>0</v>
      </c>
      <c r="E399" s="15">
        <v>0</v>
      </c>
      <c r="F399" s="15">
        <v>2.9</v>
      </c>
      <c r="G399" s="15">
        <v>0</v>
      </c>
      <c r="H399" s="15">
        <v>0</v>
      </c>
      <c r="I399" s="15">
        <v>0</v>
      </c>
      <c r="J399" s="15">
        <v>6.99</v>
      </c>
      <c r="K399" s="15">
        <v>11.69</v>
      </c>
      <c r="L399" s="15">
        <v>0</v>
      </c>
      <c r="M399" s="15">
        <f t="shared" si="9"/>
        <v>-1.7999999999999989</v>
      </c>
      <c r="N399" s="21">
        <f t="shared" si="6"/>
        <v>0.15397775876817785</v>
      </c>
    </row>
    <row r="400" spans="1:14" x14ac:dyDescent="0.25">
      <c r="A400" s="13">
        <v>399</v>
      </c>
      <c r="B400" s="14">
        <v>45952</v>
      </c>
      <c r="C400" s="15">
        <v>0</v>
      </c>
      <c r="D400" s="15">
        <v>0</v>
      </c>
      <c r="E400" s="15">
        <v>0</v>
      </c>
      <c r="F400" s="15">
        <v>0</v>
      </c>
      <c r="G400" s="15">
        <v>0</v>
      </c>
      <c r="H400" s="15">
        <v>0</v>
      </c>
      <c r="I400" s="15">
        <v>0</v>
      </c>
      <c r="J400" s="15">
        <v>6.99</v>
      </c>
      <c r="K400" s="15">
        <v>9.9700000000000006</v>
      </c>
      <c r="L400" s="15">
        <v>0</v>
      </c>
      <c r="M400" s="15">
        <f t="shared" si="9"/>
        <v>-2.9800000000000004</v>
      </c>
      <c r="N400" s="21">
        <f t="shared" si="6"/>
        <v>0.29889669007021064</v>
      </c>
    </row>
    <row r="401" spans="1:14" x14ac:dyDescent="0.25">
      <c r="A401" s="13">
        <v>400</v>
      </c>
      <c r="B401" s="14">
        <v>45952</v>
      </c>
      <c r="C401" s="15">
        <v>0</v>
      </c>
      <c r="D401" s="15">
        <v>0</v>
      </c>
      <c r="E401" s="15">
        <v>0</v>
      </c>
      <c r="F401" s="15">
        <v>0</v>
      </c>
      <c r="G401" s="15">
        <v>0</v>
      </c>
      <c r="H401" s="15">
        <v>0</v>
      </c>
      <c r="I401" s="15">
        <v>0</v>
      </c>
      <c r="J401" s="15">
        <v>4.57</v>
      </c>
      <c r="K401" s="15">
        <v>5.25</v>
      </c>
      <c r="L401" s="15">
        <v>0</v>
      </c>
      <c r="M401" s="15">
        <f t="shared" si="9"/>
        <v>-0.67999999999999972</v>
      </c>
      <c r="N401" s="21">
        <f t="shared" si="6"/>
        <v>0.12952380952380946</v>
      </c>
    </row>
    <row r="402" spans="1:14" x14ac:dyDescent="0.25">
      <c r="A402" s="13">
        <v>401</v>
      </c>
      <c r="B402" s="14">
        <v>45952</v>
      </c>
      <c r="C402" s="15">
        <v>1.75</v>
      </c>
      <c r="D402" s="15">
        <v>0</v>
      </c>
      <c r="E402" s="15">
        <v>0</v>
      </c>
      <c r="F402" s="15">
        <v>0</v>
      </c>
      <c r="G402" s="15">
        <v>0</v>
      </c>
      <c r="H402" s="15">
        <v>0</v>
      </c>
      <c r="I402" s="15">
        <v>0</v>
      </c>
      <c r="J402" s="15">
        <v>12.39</v>
      </c>
      <c r="K402" s="15">
        <v>21.93</v>
      </c>
      <c r="L402" s="15">
        <v>0</v>
      </c>
      <c r="M402" s="15">
        <f t="shared" si="9"/>
        <v>-7.7899999999999991</v>
      </c>
      <c r="N402" s="21">
        <f t="shared" si="6"/>
        <v>0.35522115823073414</v>
      </c>
    </row>
    <row r="403" spans="1:14" x14ac:dyDescent="0.25">
      <c r="A403" s="13">
        <v>402</v>
      </c>
      <c r="B403" s="14">
        <v>45952</v>
      </c>
      <c r="C403" s="15">
        <v>4.5</v>
      </c>
      <c r="D403" s="15">
        <v>0</v>
      </c>
      <c r="E403" s="15">
        <v>0</v>
      </c>
      <c r="F403" s="15">
        <v>0</v>
      </c>
      <c r="G403" s="15">
        <v>0</v>
      </c>
      <c r="H403" s="15">
        <v>0</v>
      </c>
      <c r="I403" s="15">
        <v>0</v>
      </c>
      <c r="J403" s="15">
        <v>14.9</v>
      </c>
      <c r="K403" s="15">
        <v>20.94</v>
      </c>
      <c r="L403" s="15">
        <v>0</v>
      </c>
      <c r="M403" s="15">
        <f t="shared" si="9"/>
        <v>-1.5400000000000027</v>
      </c>
      <c r="N403" s="21">
        <f t="shared" si="6"/>
        <v>7.3543457497612347E-2</v>
      </c>
    </row>
    <row r="404" spans="1:14" x14ac:dyDescent="0.25">
      <c r="A404" s="13">
        <v>403</v>
      </c>
      <c r="B404" s="14">
        <v>45954</v>
      </c>
      <c r="C404" s="15">
        <v>0</v>
      </c>
      <c r="D404" s="15">
        <v>0</v>
      </c>
      <c r="E404" s="15">
        <v>0</v>
      </c>
      <c r="F404" s="15">
        <v>0</v>
      </c>
      <c r="G404" s="15">
        <v>0</v>
      </c>
      <c r="H404" s="15">
        <v>0</v>
      </c>
      <c r="I404" s="15">
        <v>0</v>
      </c>
      <c r="J404" s="15">
        <v>8.6999999999999993</v>
      </c>
      <c r="K404" s="15">
        <v>9.9600000000000009</v>
      </c>
      <c r="L404" s="15">
        <v>0</v>
      </c>
      <c r="M404" s="15">
        <f t="shared" si="9"/>
        <v>-1.2600000000000016</v>
      </c>
      <c r="N404" s="21">
        <f t="shared" si="6"/>
        <v>0.1265060240963857</v>
      </c>
    </row>
    <row r="405" spans="1:14" x14ac:dyDescent="0.25">
      <c r="A405" s="13">
        <v>404</v>
      </c>
      <c r="B405" s="14">
        <v>45954</v>
      </c>
      <c r="C405" s="15">
        <v>0</v>
      </c>
      <c r="D405" s="15">
        <v>0</v>
      </c>
      <c r="E405" s="15">
        <v>0</v>
      </c>
      <c r="F405" s="15">
        <v>0</v>
      </c>
      <c r="G405" s="15">
        <v>0</v>
      </c>
      <c r="H405" s="15">
        <v>0</v>
      </c>
      <c r="I405" s="15">
        <v>0</v>
      </c>
      <c r="J405" s="15">
        <v>11.29</v>
      </c>
      <c r="K405" s="15">
        <v>15.99</v>
      </c>
      <c r="L405" s="15">
        <v>0</v>
      </c>
      <c r="M405" s="15">
        <f t="shared" si="9"/>
        <v>-4.7000000000000011</v>
      </c>
      <c r="N405" s="21">
        <f t="shared" ref="N405:N437" si="10">ABS(M405/(K405-L405))</f>
        <v>0.29393370856785495</v>
      </c>
    </row>
    <row r="406" spans="1:14" x14ac:dyDescent="0.25">
      <c r="A406" s="13">
        <v>405</v>
      </c>
      <c r="B406" s="14">
        <v>45954</v>
      </c>
      <c r="C406" s="15">
        <v>2.25</v>
      </c>
      <c r="D406" s="15">
        <v>0</v>
      </c>
      <c r="E406" s="15">
        <v>0</v>
      </c>
      <c r="F406" s="15">
        <v>0</v>
      </c>
      <c r="G406" s="15">
        <v>0</v>
      </c>
      <c r="H406" s="15">
        <v>0</v>
      </c>
      <c r="I406" s="15">
        <v>0</v>
      </c>
      <c r="J406" s="15">
        <v>20.83</v>
      </c>
      <c r="K406" s="15">
        <v>27.12</v>
      </c>
      <c r="L406" s="15">
        <v>0.14000000000000001</v>
      </c>
      <c r="M406" s="15">
        <f t="shared" si="9"/>
        <v>-3.9000000000000021</v>
      </c>
      <c r="N406" s="21">
        <f t="shared" si="10"/>
        <v>0.14455151964418095</v>
      </c>
    </row>
    <row r="407" spans="1:14" x14ac:dyDescent="0.25">
      <c r="A407" s="13">
        <v>406</v>
      </c>
      <c r="B407" s="14">
        <v>45954</v>
      </c>
      <c r="C407" s="15">
        <v>0</v>
      </c>
      <c r="D407" s="15">
        <v>0</v>
      </c>
      <c r="E407" s="15">
        <v>0</v>
      </c>
      <c r="F407" s="15">
        <v>0</v>
      </c>
      <c r="G407" s="15">
        <v>0</v>
      </c>
      <c r="H407" s="15">
        <v>0</v>
      </c>
      <c r="I407" s="15">
        <v>0</v>
      </c>
      <c r="J407" s="15">
        <v>10.76</v>
      </c>
      <c r="K407" s="15">
        <v>17.940000000000001</v>
      </c>
      <c r="L407" s="15">
        <v>0</v>
      </c>
      <c r="M407" s="15">
        <f t="shared" si="9"/>
        <v>-7.1800000000000015</v>
      </c>
      <c r="N407" s="21">
        <f t="shared" si="10"/>
        <v>0.40022296544035679</v>
      </c>
    </row>
    <row r="408" spans="1:14" x14ac:dyDescent="0.25">
      <c r="A408" s="13">
        <v>407</v>
      </c>
      <c r="B408" s="14">
        <v>45954</v>
      </c>
      <c r="C408" s="15">
        <v>0</v>
      </c>
      <c r="D408" s="15">
        <v>0</v>
      </c>
      <c r="E408" s="15">
        <v>0</v>
      </c>
      <c r="F408" s="15">
        <v>0</v>
      </c>
      <c r="G408" s="15">
        <v>0</v>
      </c>
      <c r="H408" s="15">
        <v>0</v>
      </c>
      <c r="I408" s="15">
        <v>0</v>
      </c>
      <c r="J408" s="15">
        <v>6.99</v>
      </c>
      <c r="K408" s="15">
        <v>8.99</v>
      </c>
      <c r="L408" s="15">
        <v>0</v>
      </c>
      <c r="M408" s="15">
        <f t="shared" si="9"/>
        <v>-2</v>
      </c>
      <c r="N408" s="21">
        <f t="shared" si="10"/>
        <v>0.22246941045606228</v>
      </c>
    </row>
    <row r="409" spans="1:14" x14ac:dyDescent="0.25">
      <c r="A409" s="13">
        <v>408</v>
      </c>
      <c r="B409" s="14">
        <v>45954</v>
      </c>
      <c r="C409" s="15">
        <v>0</v>
      </c>
      <c r="D409" s="15">
        <v>0</v>
      </c>
      <c r="E409" s="15">
        <v>0</v>
      </c>
      <c r="F409" s="15">
        <v>0</v>
      </c>
      <c r="G409" s="15">
        <v>0</v>
      </c>
      <c r="H409" s="15">
        <v>0</v>
      </c>
      <c r="I409" s="15">
        <v>0</v>
      </c>
      <c r="J409" s="15">
        <v>6.99</v>
      </c>
      <c r="K409" s="15">
        <v>9.9</v>
      </c>
      <c r="L409" s="15">
        <v>0</v>
      </c>
      <c r="M409" s="15">
        <f t="shared" si="9"/>
        <v>-2.91</v>
      </c>
      <c r="N409" s="21">
        <f t="shared" si="10"/>
        <v>0.29393939393939394</v>
      </c>
    </row>
    <row r="410" spans="1:14" x14ac:dyDescent="0.25">
      <c r="A410" s="13">
        <v>409</v>
      </c>
      <c r="B410" s="14">
        <v>45954</v>
      </c>
      <c r="C410" s="15">
        <v>0</v>
      </c>
      <c r="D410" s="15">
        <v>0</v>
      </c>
      <c r="E410" s="15">
        <v>0</v>
      </c>
      <c r="F410" s="15">
        <v>0</v>
      </c>
      <c r="G410" s="15">
        <v>0</v>
      </c>
      <c r="H410" s="15">
        <v>0</v>
      </c>
      <c r="I410" s="15">
        <v>0</v>
      </c>
      <c r="J410" s="15">
        <v>6.99</v>
      </c>
      <c r="K410" s="15">
        <v>9.9700000000000006</v>
      </c>
      <c r="L410" s="15">
        <v>0</v>
      </c>
      <c r="M410" s="15">
        <f t="shared" si="9"/>
        <v>-2.9800000000000004</v>
      </c>
      <c r="N410" s="21">
        <f t="shared" si="10"/>
        <v>0.29889669007021064</v>
      </c>
    </row>
    <row r="411" spans="1:14" x14ac:dyDescent="0.25">
      <c r="A411" s="13">
        <v>410</v>
      </c>
      <c r="B411" s="14">
        <v>45954</v>
      </c>
      <c r="C411" s="15">
        <v>0</v>
      </c>
      <c r="D411" s="15">
        <v>0</v>
      </c>
      <c r="E411" s="15">
        <v>0</v>
      </c>
      <c r="F411" s="15">
        <v>0</v>
      </c>
      <c r="G411" s="15">
        <v>0</v>
      </c>
      <c r="H411" s="15">
        <v>0</v>
      </c>
      <c r="I411" s="15">
        <v>0</v>
      </c>
      <c r="J411" s="15">
        <v>42.96</v>
      </c>
      <c r="K411" s="15">
        <v>51.12</v>
      </c>
      <c r="L411" s="15">
        <v>1.19</v>
      </c>
      <c r="M411" s="15">
        <f t="shared" si="9"/>
        <v>-6.9699999999999989</v>
      </c>
      <c r="N411" s="21">
        <f t="shared" si="10"/>
        <v>0.13959543360704985</v>
      </c>
    </row>
    <row r="412" spans="1:14" x14ac:dyDescent="0.25">
      <c r="A412" s="13">
        <v>411</v>
      </c>
      <c r="B412" s="14">
        <v>45954</v>
      </c>
      <c r="C412" s="15">
        <v>0</v>
      </c>
      <c r="D412" s="15">
        <v>0</v>
      </c>
      <c r="E412" s="15">
        <v>0</v>
      </c>
      <c r="F412" s="15">
        <v>0</v>
      </c>
      <c r="G412" s="15">
        <v>0</v>
      </c>
      <c r="H412" s="15">
        <v>0</v>
      </c>
      <c r="I412" s="15">
        <v>0</v>
      </c>
      <c r="J412" s="15">
        <v>20.11</v>
      </c>
      <c r="K412" s="15">
        <v>28.92</v>
      </c>
      <c r="L412" s="15">
        <v>0</v>
      </c>
      <c r="M412" s="15">
        <f t="shared" si="9"/>
        <v>-8.8100000000000023</v>
      </c>
      <c r="N412" s="21">
        <f t="shared" si="10"/>
        <v>0.30463347164591986</v>
      </c>
    </row>
    <row r="413" spans="1:14" x14ac:dyDescent="0.25">
      <c r="A413" s="13">
        <v>412</v>
      </c>
      <c r="B413" s="14">
        <v>45954</v>
      </c>
      <c r="C413" s="15">
        <v>0</v>
      </c>
      <c r="D413" s="15">
        <v>0</v>
      </c>
      <c r="E413" s="15">
        <v>0</v>
      </c>
      <c r="F413" s="15">
        <v>0</v>
      </c>
      <c r="G413" s="15">
        <v>0</v>
      </c>
      <c r="H413" s="15">
        <v>0</v>
      </c>
      <c r="I413" s="15">
        <v>0</v>
      </c>
      <c r="J413" s="15">
        <v>6.99</v>
      </c>
      <c r="K413" s="15">
        <v>8.9600000000000009</v>
      </c>
      <c r="L413" s="15">
        <v>0</v>
      </c>
      <c r="M413" s="15">
        <f t="shared" si="9"/>
        <v>-1.9700000000000006</v>
      </c>
      <c r="N413" s="21">
        <f t="shared" si="10"/>
        <v>0.21986607142857148</v>
      </c>
    </row>
    <row r="414" spans="1:14" x14ac:dyDescent="0.25">
      <c r="A414" s="13">
        <v>413</v>
      </c>
      <c r="B414" s="14">
        <v>45954</v>
      </c>
      <c r="C414" s="15">
        <v>0</v>
      </c>
      <c r="D414" s="15">
        <v>0</v>
      </c>
      <c r="E414" s="15">
        <v>0</v>
      </c>
      <c r="F414" s="15">
        <v>0</v>
      </c>
      <c r="G414" s="15">
        <v>0</v>
      </c>
      <c r="H414" s="15">
        <v>0</v>
      </c>
      <c r="I414" s="15">
        <v>0</v>
      </c>
      <c r="J414" s="15">
        <v>6.99</v>
      </c>
      <c r="K414" s="15">
        <v>9.98</v>
      </c>
      <c r="L414" s="15">
        <v>0</v>
      </c>
      <c r="M414" s="15">
        <f t="shared" si="9"/>
        <v>-2.99</v>
      </c>
      <c r="N414" s="21">
        <f t="shared" si="10"/>
        <v>0.29959919839679361</v>
      </c>
    </row>
    <row r="415" spans="1:14" x14ac:dyDescent="0.25">
      <c r="A415" s="13">
        <v>414</v>
      </c>
      <c r="B415" s="14">
        <v>45954</v>
      </c>
      <c r="C415" s="15">
        <v>0</v>
      </c>
      <c r="D415" s="15">
        <v>0</v>
      </c>
      <c r="E415" s="15">
        <v>0</v>
      </c>
      <c r="F415" s="15">
        <v>0</v>
      </c>
      <c r="G415" s="15">
        <v>0</v>
      </c>
      <c r="H415" s="15">
        <v>0</v>
      </c>
      <c r="I415" s="15">
        <v>0</v>
      </c>
      <c r="J415" s="15">
        <v>9.14</v>
      </c>
      <c r="K415" s="15">
        <v>11.17</v>
      </c>
      <c r="L415" s="15">
        <v>0</v>
      </c>
      <c r="M415" s="15">
        <f t="shared" si="9"/>
        <v>-2.0299999999999994</v>
      </c>
      <c r="N415" s="21">
        <f t="shared" si="10"/>
        <v>0.18173679498657111</v>
      </c>
    </row>
    <row r="416" spans="1:14" x14ac:dyDescent="0.25">
      <c r="A416" s="13">
        <v>415</v>
      </c>
      <c r="B416" s="14">
        <v>45954</v>
      </c>
      <c r="C416" s="15">
        <v>0</v>
      </c>
      <c r="D416" s="15">
        <v>0</v>
      </c>
      <c r="E416" s="15">
        <v>0</v>
      </c>
      <c r="F416" s="15">
        <v>0</v>
      </c>
      <c r="G416" s="15">
        <v>0</v>
      </c>
      <c r="H416" s="15">
        <v>0</v>
      </c>
      <c r="I416" s="15">
        <v>0</v>
      </c>
      <c r="J416" s="15">
        <v>6.99</v>
      </c>
      <c r="K416" s="15">
        <v>8.98</v>
      </c>
      <c r="L416" s="15">
        <v>0</v>
      </c>
      <c r="M416" s="15">
        <f t="shared" si="9"/>
        <v>-1.9900000000000002</v>
      </c>
      <c r="N416" s="21">
        <f t="shared" si="10"/>
        <v>0.22160356347438753</v>
      </c>
    </row>
    <row r="417" spans="1:14" x14ac:dyDescent="0.25">
      <c r="A417" s="13">
        <v>416</v>
      </c>
      <c r="B417" s="14">
        <v>45954</v>
      </c>
      <c r="C417" s="15">
        <v>3.5</v>
      </c>
      <c r="D417" s="15">
        <v>0</v>
      </c>
      <c r="E417" s="15">
        <v>0</v>
      </c>
      <c r="F417" s="15">
        <v>0</v>
      </c>
      <c r="G417" s="15">
        <v>0</v>
      </c>
      <c r="H417" s="15">
        <v>0</v>
      </c>
      <c r="I417" s="15">
        <v>0</v>
      </c>
      <c r="J417" s="15">
        <v>16.920000000000002</v>
      </c>
      <c r="K417" s="15">
        <v>23.91</v>
      </c>
      <c r="L417" s="15">
        <v>0</v>
      </c>
      <c r="M417" s="15">
        <f t="shared" si="9"/>
        <v>-3.4899999999999984</v>
      </c>
      <c r="N417" s="21">
        <f t="shared" si="10"/>
        <v>0.14596403178586359</v>
      </c>
    </row>
    <row r="418" spans="1:14" x14ac:dyDescent="0.25">
      <c r="A418" s="13">
        <v>417</v>
      </c>
      <c r="B418" s="14">
        <v>45956</v>
      </c>
      <c r="C418" s="15">
        <v>1</v>
      </c>
      <c r="D418" s="15">
        <v>0</v>
      </c>
      <c r="E418" s="15">
        <v>0</v>
      </c>
      <c r="F418" s="15">
        <v>0</v>
      </c>
      <c r="G418" s="15">
        <v>0</v>
      </c>
      <c r="H418" s="15">
        <v>0</v>
      </c>
      <c r="I418" s="15">
        <v>0</v>
      </c>
      <c r="J418" s="15">
        <v>7.97</v>
      </c>
      <c r="K418" s="15">
        <v>14.95</v>
      </c>
      <c r="L418" s="15">
        <v>0</v>
      </c>
      <c r="M418" s="15">
        <f t="shared" si="9"/>
        <v>-5.98</v>
      </c>
      <c r="N418" s="21">
        <f t="shared" si="10"/>
        <v>0.4</v>
      </c>
    </row>
    <row r="419" spans="1:14" x14ac:dyDescent="0.25">
      <c r="A419" s="13">
        <v>418</v>
      </c>
      <c r="B419" s="14">
        <v>45956</v>
      </c>
      <c r="C419" s="15">
        <v>5</v>
      </c>
      <c r="D419" s="15">
        <v>0</v>
      </c>
      <c r="E419" s="15">
        <v>0</v>
      </c>
      <c r="F419" s="15">
        <v>0</v>
      </c>
      <c r="G419" s="15">
        <v>0</v>
      </c>
      <c r="H419" s="15">
        <v>0</v>
      </c>
      <c r="I419" s="15">
        <v>0</v>
      </c>
      <c r="J419" s="15">
        <v>17.18</v>
      </c>
      <c r="K419" s="15">
        <v>36.96</v>
      </c>
      <c r="L419" s="15">
        <v>0</v>
      </c>
      <c r="M419" s="15">
        <f t="shared" si="9"/>
        <v>-14.780000000000001</v>
      </c>
      <c r="N419" s="21">
        <f t="shared" si="10"/>
        <v>0.39989177489177491</v>
      </c>
    </row>
    <row r="420" spans="1:14" x14ac:dyDescent="0.25">
      <c r="A420" s="13">
        <v>419</v>
      </c>
      <c r="B420" s="14">
        <v>45956</v>
      </c>
      <c r="C420" s="15">
        <v>6.5</v>
      </c>
      <c r="D420" s="15">
        <v>0</v>
      </c>
      <c r="E420" s="15">
        <v>0</v>
      </c>
      <c r="F420" s="15">
        <v>0</v>
      </c>
      <c r="G420" s="15">
        <v>0</v>
      </c>
      <c r="H420" s="15">
        <v>0</v>
      </c>
      <c r="I420" s="15">
        <v>0</v>
      </c>
      <c r="J420" s="15">
        <v>30.26</v>
      </c>
      <c r="K420" s="15">
        <v>42.15</v>
      </c>
      <c r="L420" s="15">
        <v>1.2</v>
      </c>
      <c r="M420" s="15">
        <f t="shared" si="9"/>
        <v>-4.1899999999999906</v>
      </c>
      <c r="N420" s="21">
        <f t="shared" si="10"/>
        <v>0.1023199023199021</v>
      </c>
    </row>
    <row r="421" spans="1:14" x14ac:dyDescent="0.25">
      <c r="A421" s="13">
        <v>420</v>
      </c>
      <c r="B421" s="14">
        <v>45956</v>
      </c>
      <c r="C421" s="15">
        <v>4.25</v>
      </c>
      <c r="D421" s="15">
        <v>0</v>
      </c>
      <c r="E421" s="15">
        <v>0</v>
      </c>
      <c r="F421" s="15">
        <v>0</v>
      </c>
      <c r="G421" s="15">
        <v>0</v>
      </c>
      <c r="H421" s="15">
        <v>0</v>
      </c>
      <c r="I421" s="15">
        <v>0</v>
      </c>
      <c r="J421" s="15">
        <v>10.36</v>
      </c>
      <c r="K421" s="15">
        <v>19.95</v>
      </c>
      <c r="L421" s="15">
        <v>0</v>
      </c>
      <c r="M421" s="15">
        <f t="shared" si="9"/>
        <v>-5.34</v>
      </c>
      <c r="N421" s="21">
        <f t="shared" si="10"/>
        <v>0.26766917293233083</v>
      </c>
    </row>
    <row r="422" spans="1:14" x14ac:dyDescent="0.25">
      <c r="A422" s="13">
        <v>421</v>
      </c>
      <c r="B422" s="14">
        <v>45956</v>
      </c>
      <c r="C422" s="15">
        <v>8.75</v>
      </c>
      <c r="D422" s="15">
        <v>0</v>
      </c>
      <c r="E422" s="15">
        <v>0</v>
      </c>
      <c r="F422" s="15">
        <v>0</v>
      </c>
      <c r="G422" s="15">
        <v>0</v>
      </c>
      <c r="H422" s="15">
        <v>0</v>
      </c>
      <c r="I422" s="15">
        <v>0</v>
      </c>
      <c r="J422" s="15">
        <v>22.05</v>
      </c>
      <c r="K422" s="15">
        <v>38.950000000000003</v>
      </c>
      <c r="L422" s="15">
        <v>0</v>
      </c>
      <c r="M422" s="15">
        <f t="shared" si="9"/>
        <v>-8.1500000000000021</v>
      </c>
      <c r="N422" s="21">
        <f t="shared" si="10"/>
        <v>0.20924261874197694</v>
      </c>
    </row>
    <row r="423" spans="1:14" x14ac:dyDescent="0.25">
      <c r="A423" s="13">
        <v>422</v>
      </c>
      <c r="B423" s="14">
        <v>45956</v>
      </c>
      <c r="C423" s="15">
        <v>1</v>
      </c>
      <c r="D423" s="15">
        <v>0</v>
      </c>
      <c r="E423" s="15">
        <v>0</v>
      </c>
      <c r="F423" s="15">
        <v>0</v>
      </c>
      <c r="G423" s="15">
        <v>0</v>
      </c>
      <c r="H423" s="15">
        <v>0</v>
      </c>
      <c r="I423" s="15">
        <v>0</v>
      </c>
      <c r="J423" s="15">
        <v>13.04</v>
      </c>
      <c r="K423" s="15">
        <v>16.95</v>
      </c>
      <c r="L423" s="15">
        <v>0</v>
      </c>
      <c r="M423" s="15">
        <f t="shared" si="9"/>
        <v>-2.91</v>
      </c>
      <c r="N423" s="21">
        <f t="shared" si="10"/>
        <v>0.17168141592920355</v>
      </c>
    </row>
    <row r="424" spans="1:14" x14ac:dyDescent="0.25">
      <c r="A424" s="13">
        <v>423</v>
      </c>
      <c r="B424" s="14">
        <v>45956</v>
      </c>
      <c r="C424" s="15">
        <v>0</v>
      </c>
      <c r="D424" s="15">
        <v>0</v>
      </c>
      <c r="E424" s="15">
        <v>0</v>
      </c>
      <c r="F424" s="15">
        <v>0</v>
      </c>
      <c r="G424" s="15">
        <v>0</v>
      </c>
      <c r="H424" s="15">
        <v>0</v>
      </c>
      <c r="I424" s="15">
        <v>0</v>
      </c>
      <c r="J424" s="15">
        <v>10.14</v>
      </c>
      <c r="K424" s="15">
        <v>16.899999999999999</v>
      </c>
      <c r="L424" s="15">
        <v>0</v>
      </c>
      <c r="M424" s="15">
        <f t="shared" si="9"/>
        <v>-6.759999999999998</v>
      </c>
      <c r="N424" s="21">
        <f t="shared" si="10"/>
        <v>0.39999999999999991</v>
      </c>
    </row>
    <row r="425" spans="1:14" x14ac:dyDescent="0.25">
      <c r="A425" s="13">
        <v>424</v>
      </c>
      <c r="B425" s="14">
        <v>45956</v>
      </c>
      <c r="C425" s="15">
        <v>1</v>
      </c>
      <c r="D425" s="15">
        <v>0</v>
      </c>
      <c r="E425" s="15">
        <v>0</v>
      </c>
      <c r="F425" s="15">
        <v>0</v>
      </c>
      <c r="G425" s="15">
        <v>0.11</v>
      </c>
      <c r="H425" s="15">
        <v>0</v>
      </c>
      <c r="I425" s="15">
        <v>0</v>
      </c>
      <c r="J425" s="15">
        <v>18.73</v>
      </c>
      <c r="K425" s="15">
        <v>22.29</v>
      </c>
      <c r="L425" s="15">
        <v>1.31</v>
      </c>
      <c r="M425" s="15">
        <f t="shared" si="9"/>
        <v>-1.1400000000000006</v>
      </c>
      <c r="N425" s="21">
        <f t="shared" si="10"/>
        <v>5.4337464251668278E-2</v>
      </c>
    </row>
    <row r="426" spans="1:14" x14ac:dyDescent="0.25">
      <c r="A426" s="13">
        <v>425</v>
      </c>
      <c r="B426" s="14">
        <v>45956</v>
      </c>
      <c r="C426" s="15">
        <v>8.25</v>
      </c>
      <c r="D426" s="15">
        <v>0</v>
      </c>
      <c r="E426" s="15">
        <v>0</v>
      </c>
      <c r="F426" s="15">
        <v>0</v>
      </c>
      <c r="G426" s="15">
        <v>0</v>
      </c>
      <c r="H426" s="15">
        <v>0</v>
      </c>
      <c r="I426" s="15">
        <v>0</v>
      </c>
      <c r="J426" s="15">
        <v>8.9600000000000009</v>
      </c>
      <c r="K426" s="15">
        <v>18.7</v>
      </c>
      <c r="L426" s="15">
        <v>7.72</v>
      </c>
      <c r="M426" s="15">
        <f t="shared" si="9"/>
        <v>6.23</v>
      </c>
      <c r="N426" s="21">
        <f t="shared" si="10"/>
        <v>0.56739526411657559</v>
      </c>
    </row>
    <row r="427" spans="1:14" x14ac:dyDescent="0.25">
      <c r="A427" s="13">
        <v>426</v>
      </c>
      <c r="B427" s="14">
        <v>45956</v>
      </c>
      <c r="C427" s="15">
        <v>8.75</v>
      </c>
      <c r="D427" s="15">
        <v>0</v>
      </c>
      <c r="E427" s="15">
        <v>0</v>
      </c>
      <c r="F427" s="15">
        <v>0</v>
      </c>
      <c r="G427" s="15">
        <v>0</v>
      </c>
      <c r="H427" s="15">
        <v>0</v>
      </c>
      <c r="I427" s="15">
        <v>0</v>
      </c>
      <c r="J427" s="15">
        <v>10.01</v>
      </c>
      <c r="K427" s="15">
        <v>20.95</v>
      </c>
      <c r="L427" s="15">
        <v>6.05</v>
      </c>
      <c r="M427" s="15">
        <f t="shared" si="9"/>
        <v>3.8599999999999994</v>
      </c>
      <c r="N427" s="21">
        <f t="shared" si="10"/>
        <v>0.25906040268456376</v>
      </c>
    </row>
    <row r="428" spans="1:14" x14ac:dyDescent="0.25">
      <c r="A428" s="13">
        <v>427</v>
      </c>
      <c r="B428" s="14">
        <v>45956</v>
      </c>
      <c r="C428" s="15">
        <v>4.5</v>
      </c>
      <c r="D428" s="15">
        <v>0</v>
      </c>
      <c r="E428" s="15">
        <v>0</v>
      </c>
      <c r="F428" s="15">
        <v>0</v>
      </c>
      <c r="G428" s="15">
        <v>0</v>
      </c>
      <c r="H428" s="15">
        <v>0</v>
      </c>
      <c r="I428" s="15">
        <v>0</v>
      </c>
      <c r="J428" s="15">
        <v>9.52</v>
      </c>
      <c r="K428" s="15">
        <v>15.48</v>
      </c>
      <c r="L428" s="15">
        <v>8.75</v>
      </c>
      <c r="M428" s="15">
        <f t="shared" si="9"/>
        <v>7.2899999999999991</v>
      </c>
      <c r="N428" s="21">
        <f t="shared" si="10"/>
        <v>1.0832095096582464</v>
      </c>
    </row>
    <row r="429" spans="1:14" x14ac:dyDescent="0.25">
      <c r="A429" s="13">
        <v>428</v>
      </c>
      <c r="B429" s="14">
        <v>45956</v>
      </c>
      <c r="C429" s="15">
        <v>5.25</v>
      </c>
      <c r="D429" s="15">
        <v>0</v>
      </c>
      <c r="E429" s="15">
        <v>0</v>
      </c>
      <c r="F429" s="15">
        <v>0</v>
      </c>
      <c r="G429" s="15">
        <v>0</v>
      </c>
      <c r="H429" s="15">
        <v>0</v>
      </c>
      <c r="I429" s="15">
        <v>0</v>
      </c>
      <c r="J429" s="15">
        <v>8.44</v>
      </c>
      <c r="K429" s="15">
        <v>15.22</v>
      </c>
      <c r="L429" s="15">
        <v>4.29</v>
      </c>
      <c r="M429" s="15">
        <f t="shared" si="9"/>
        <v>2.76</v>
      </c>
      <c r="N429" s="21">
        <f t="shared" si="10"/>
        <v>0.25251601097895698</v>
      </c>
    </row>
    <row r="430" spans="1:14" x14ac:dyDescent="0.25">
      <c r="A430" s="13">
        <v>429</v>
      </c>
      <c r="B430" s="14">
        <v>45956</v>
      </c>
      <c r="C430" s="15">
        <v>4</v>
      </c>
      <c r="D430" s="15">
        <v>0</v>
      </c>
      <c r="E430" s="15">
        <v>0</v>
      </c>
      <c r="F430" s="15">
        <v>0</v>
      </c>
      <c r="G430" s="15">
        <v>0</v>
      </c>
      <c r="H430" s="15">
        <v>0</v>
      </c>
      <c r="I430" s="15">
        <v>0</v>
      </c>
      <c r="J430" s="15">
        <v>11.17</v>
      </c>
      <c r="K430" s="15">
        <f>12.97+L430</f>
        <v>16.91</v>
      </c>
      <c r="L430" s="15">
        <v>3.94</v>
      </c>
      <c r="M430" s="15">
        <f t="shared" si="9"/>
        <v>2.1999999999999993</v>
      </c>
      <c r="N430" s="21">
        <f t="shared" si="10"/>
        <v>0.1696222050886661</v>
      </c>
    </row>
    <row r="431" spans="1:14" x14ac:dyDescent="0.25">
      <c r="A431" s="13">
        <v>430</v>
      </c>
      <c r="B431" s="14">
        <v>45956</v>
      </c>
      <c r="C431" s="15">
        <v>2</v>
      </c>
      <c r="D431" s="15">
        <v>0</v>
      </c>
      <c r="E431" s="15">
        <v>0</v>
      </c>
      <c r="F431" s="15">
        <v>0</v>
      </c>
      <c r="G431" s="15">
        <v>0</v>
      </c>
      <c r="H431" s="15">
        <v>0</v>
      </c>
      <c r="I431" s="15">
        <v>0</v>
      </c>
      <c r="J431" s="15">
        <v>9.08</v>
      </c>
      <c r="K431" s="15">
        <f>11.93+L431</f>
        <v>12.7</v>
      </c>
      <c r="L431" s="15">
        <v>0.77</v>
      </c>
      <c r="M431" s="15">
        <f t="shared" ref="M431:M437" si="11">((C431+D431+E431+F431+G431+H431+J431)-(K431-L431))</f>
        <v>-0.84999999999999964</v>
      </c>
      <c r="N431" s="21">
        <f t="shared" si="10"/>
        <v>7.1248952221290837E-2</v>
      </c>
    </row>
    <row r="432" spans="1:14" x14ac:dyDescent="0.25">
      <c r="A432" s="13">
        <v>431</v>
      </c>
      <c r="B432" s="14">
        <v>45956</v>
      </c>
      <c r="C432" s="15">
        <v>6.5</v>
      </c>
      <c r="D432" s="15">
        <v>0</v>
      </c>
      <c r="E432" s="15">
        <v>0</v>
      </c>
      <c r="F432" s="15">
        <v>0</v>
      </c>
      <c r="G432" s="15">
        <v>0</v>
      </c>
      <c r="H432" s="15">
        <v>0</v>
      </c>
      <c r="I432" s="15">
        <v>0</v>
      </c>
      <c r="J432" s="15">
        <v>19.97</v>
      </c>
      <c r="K432" s="15">
        <f>21.93+L432</f>
        <v>28.9</v>
      </c>
      <c r="L432" s="15">
        <v>6.97</v>
      </c>
      <c r="M432" s="15">
        <f t="shared" si="11"/>
        <v>4.5399999999999991</v>
      </c>
      <c r="N432" s="21">
        <f t="shared" si="10"/>
        <v>0.2070223438212494</v>
      </c>
    </row>
    <row r="433" spans="1:14" x14ac:dyDescent="0.25">
      <c r="A433" s="13">
        <v>432</v>
      </c>
      <c r="B433" s="14">
        <v>45956</v>
      </c>
      <c r="C433" s="15">
        <v>4</v>
      </c>
      <c r="D433" s="15">
        <v>0</v>
      </c>
      <c r="E433" s="15">
        <v>0</v>
      </c>
      <c r="F433" s="15">
        <v>0</v>
      </c>
      <c r="G433" s="15">
        <v>0</v>
      </c>
      <c r="H433" s="15">
        <v>0</v>
      </c>
      <c r="I433" s="15">
        <v>0</v>
      </c>
      <c r="J433" s="15">
        <v>9.23</v>
      </c>
      <c r="K433" s="15">
        <f>13.21+L433</f>
        <v>15.06</v>
      </c>
      <c r="L433" s="15">
        <v>1.85</v>
      </c>
      <c r="M433" s="15">
        <f t="shared" si="11"/>
        <v>1.9999999999999574E-2</v>
      </c>
      <c r="N433" s="21">
        <f t="shared" si="10"/>
        <v>1.5140045420135937E-3</v>
      </c>
    </row>
    <row r="434" spans="1:14" x14ac:dyDescent="0.25">
      <c r="A434" s="13">
        <v>433</v>
      </c>
      <c r="B434" s="14">
        <v>45956</v>
      </c>
      <c r="C434" s="15">
        <v>0</v>
      </c>
      <c r="D434" s="15">
        <v>0</v>
      </c>
      <c r="E434" s="15">
        <v>0</v>
      </c>
      <c r="F434" s="15">
        <v>0</v>
      </c>
      <c r="G434" s="15">
        <v>0</v>
      </c>
      <c r="H434" s="15">
        <v>0</v>
      </c>
      <c r="I434" s="15">
        <v>0</v>
      </c>
      <c r="J434" s="15">
        <v>65</v>
      </c>
      <c r="K434" s="15">
        <v>0</v>
      </c>
      <c r="L434" s="15">
        <v>0</v>
      </c>
      <c r="M434" s="15">
        <f t="shared" si="11"/>
        <v>65</v>
      </c>
      <c r="N434" s="21" t="e">
        <f t="shared" si="10"/>
        <v>#DIV/0!</v>
      </c>
    </row>
    <row r="435" spans="1:14" x14ac:dyDescent="0.25">
      <c r="A435" s="13">
        <v>434</v>
      </c>
      <c r="B435" s="14"/>
      <c r="M435" s="15">
        <f t="shared" si="11"/>
        <v>0</v>
      </c>
      <c r="N435" s="21" t="e">
        <f t="shared" si="10"/>
        <v>#DIV/0!</v>
      </c>
    </row>
    <row r="436" spans="1:14" x14ac:dyDescent="0.25">
      <c r="A436" s="13">
        <v>435</v>
      </c>
      <c r="M436" s="15">
        <f t="shared" si="11"/>
        <v>0</v>
      </c>
      <c r="N436" s="21" t="e">
        <f t="shared" si="10"/>
        <v>#DIV/0!</v>
      </c>
    </row>
    <row r="437" spans="1:14" x14ac:dyDescent="0.25">
      <c r="A437" s="13">
        <v>436</v>
      </c>
      <c r="M437" s="15">
        <f t="shared" si="11"/>
        <v>0</v>
      </c>
      <c r="N437" s="21" t="e">
        <f t="shared" si="10"/>
        <v>#DIV/0!</v>
      </c>
    </row>
    <row r="438" spans="1:14" x14ac:dyDescent="0.25">
      <c r="A438" s="13">
        <v>437</v>
      </c>
    </row>
    <row r="439" spans="1:14" x14ac:dyDescent="0.25">
      <c r="A439" s="13">
        <v>438</v>
      </c>
    </row>
    <row r="440" spans="1:14" x14ac:dyDescent="0.25">
      <c r="A440" s="13">
        <v>439</v>
      </c>
    </row>
    <row r="441" spans="1:14" x14ac:dyDescent="0.25">
      <c r="A441" s="13">
        <v>440</v>
      </c>
    </row>
    <row r="442" spans="1:14" x14ac:dyDescent="0.25">
      <c r="A442" s="13">
        <v>441</v>
      </c>
    </row>
    <row r="443" spans="1:14" x14ac:dyDescent="0.25">
      <c r="A443" s="13">
        <v>442</v>
      </c>
    </row>
    <row r="444" spans="1:14" x14ac:dyDescent="0.25">
      <c r="A444" s="13">
        <v>443</v>
      </c>
    </row>
    <row r="445" spans="1:14" x14ac:dyDescent="0.25">
      <c r="A445" s="13">
        <v>444</v>
      </c>
    </row>
    <row r="446" spans="1:14" x14ac:dyDescent="0.25">
      <c r="A446" s="13">
        <v>445</v>
      </c>
    </row>
    <row r="447" spans="1:14" x14ac:dyDescent="0.25">
      <c r="A447" s="13">
        <v>446</v>
      </c>
    </row>
    <row r="448" spans="1:14" x14ac:dyDescent="0.25">
      <c r="A448" s="13">
        <v>447</v>
      </c>
    </row>
    <row r="449" spans="1:1" x14ac:dyDescent="0.25">
      <c r="A449" s="13">
        <v>448</v>
      </c>
    </row>
    <row r="450" spans="1:1" x14ac:dyDescent="0.25">
      <c r="A450" s="13">
        <v>449</v>
      </c>
    </row>
    <row r="451" spans="1:1" x14ac:dyDescent="0.25">
      <c r="A451" s="13">
        <v>450</v>
      </c>
    </row>
    <row r="452" spans="1:1" x14ac:dyDescent="0.25">
      <c r="A452" s="13">
        <v>451</v>
      </c>
    </row>
    <row r="453" spans="1:1" x14ac:dyDescent="0.25">
      <c r="A453" s="13">
        <v>452</v>
      </c>
    </row>
    <row r="454" spans="1:1" x14ac:dyDescent="0.25">
      <c r="A454" s="13">
        <v>453</v>
      </c>
    </row>
    <row r="455" spans="1:1" x14ac:dyDescent="0.25">
      <c r="A455" s="13">
        <v>454</v>
      </c>
    </row>
    <row r="456" spans="1:1" x14ac:dyDescent="0.25">
      <c r="A456" s="13">
        <v>455</v>
      </c>
    </row>
    <row r="457" spans="1:1" x14ac:dyDescent="0.25">
      <c r="A457" s="13">
        <v>456</v>
      </c>
    </row>
    <row r="458" spans="1:1" x14ac:dyDescent="0.25">
      <c r="A458" s="13">
        <v>457</v>
      </c>
    </row>
    <row r="459" spans="1:1" x14ac:dyDescent="0.25">
      <c r="A459" s="13">
        <v>458</v>
      </c>
    </row>
    <row r="460" spans="1:1" x14ac:dyDescent="0.25">
      <c r="A460" s="13">
        <v>459</v>
      </c>
    </row>
    <row r="461" spans="1:1" x14ac:dyDescent="0.25">
      <c r="A461" s="13">
        <v>460</v>
      </c>
    </row>
    <row r="462" spans="1:1" x14ac:dyDescent="0.25">
      <c r="A462" s="13">
        <v>461</v>
      </c>
    </row>
    <row r="463" spans="1:1" x14ac:dyDescent="0.25">
      <c r="A463" s="13">
        <v>462</v>
      </c>
    </row>
    <row r="464" spans="1:1" x14ac:dyDescent="0.25">
      <c r="A464" s="13">
        <v>463</v>
      </c>
    </row>
    <row r="465" spans="1:1" x14ac:dyDescent="0.25">
      <c r="A465" s="13">
        <v>464</v>
      </c>
    </row>
    <row r="466" spans="1:1" x14ac:dyDescent="0.25">
      <c r="A466" s="13">
        <v>465</v>
      </c>
    </row>
    <row r="467" spans="1:1" x14ac:dyDescent="0.25">
      <c r="A467" s="13">
        <v>466</v>
      </c>
    </row>
    <row r="468" spans="1:1" x14ac:dyDescent="0.25">
      <c r="A468" s="13">
        <v>467</v>
      </c>
    </row>
    <row r="469" spans="1:1" x14ac:dyDescent="0.25">
      <c r="A469" s="13">
        <v>468</v>
      </c>
    </row>
    <row r="470" spans="1:1" x14ac:dyDescent="0.25">
      <c r="A470" s="13">
        <v>469</v>
      </c>
    </row>
    <row r="471" spans="1:1" x14ac:dyDescent="0.25">
      <c r="A471" s="13">
        <v>470</v>
      </c>
    </row>
    <row r="472" spans="1:1" x14ac:dyDescent="0.25">
      <c r="A472" s="13">
        <v>471</v>
      </c>
    </row>
    <row r="473" spans="1:1" x14ac:dyDescent="0.25">
      <c r="A473" s="13">
        <v>472</v>
      </c>
    </row>
    <row r="474" spans="1:1" x14ac:dyDescent="0.25">
      <c r="A474" s="13">
        <v>473</v>
      </c>
    </row>
    <row r="475" spans="1:1" x14ac:dyDescent="0.25">
      <c r="A475" s="13">
        <v>474</v>
      </c>
    </row>
    <row r="476" spans="1:1" x14ac:dyDescent="0.25">
      <c r="A476" s="13">
        <v>475</v>
      </c>
    </row>
    <row r="477" spans="1:1" x14ac:dyDescent="0.25">
      <c r="A477" s="13">
        <v>476</v>
      </c>
    </row>
    <row r="478" spans="1:1" x14ac:dyDescent="0.25">
      <c r="A478" s="13">
        <v>477</v>
      </c>
    </row>
    <row r="479" spans="1:1" x14ac:dyDescent="0.25">
      <c r="A479" s="13">
        <v>478</v>
      </c>
    </row>
    <row r="480" spans="1:1" x14ac:dyDescent="0.25">
      <c r="A480" s="13">
        <v>479</v>
      </c>
    </row>
    <row r="481" spans="1:1" x14ac:dyDescent="0.25">
      <c r="A481" s="13">
        <v>480</v>
      </c>
    </row>
    <row r="482" spans="1:1" x14ac:dyDescent="0.25">
      <c r="A482" s="13">
        <v>481</v>
      </c>
    </row>
    <row r="483" spans="1:1" x14ac:dyDescent="0.25">
      <c r="A483" s="13">
        <v>482</v>
      </c>
    </row>
    <row r="484" spans="1:1" x14ac:dyDescent="0.25">
      <c r="A484" s="13">
        <v>483</v>
      </c>
    </row>
    <row r="485" spans="1:1" x14ac:dyDescent="0.25">
      <c r="A485" s="13">
        <v>484</v>
      </c>
    </row>
    <row r="486" spans="1:1" x14ac:dyDescent="0.25">
      <c r="A486" s="13">
        <v>485</v>
      </c>
    </row>
    <row r="487" spans="1:1" x14ac:dyDescent="0.25">
      <c r="A487" s="13">
        <v>486</v>
      </c>
    </row>
    <row r="488" spans="1:1" x14ac:dyDescent="0.25">
      <c r="A488" s="13">
        <v>487</v>
      </c>
    </row>
    <row r="489" spans="1:1" x14ac:dyDescent="0.25">
      <c r="A489" s="13">
        <v>488</v>
      </c>
    </row>
    <row r="490" spans="1:1" x14ac:dyDescent="0.25">
      <c r="A490" s="13">
        <v>489</v>
      </c>
    </row>
    <row r="491" spans="1:1" x14ac:dyDescent="0.25">
      <c r="A491" s="13">
        <v>490</v>
      </c>
    </row>
    <row r="492" spans="1:1" x14ac:dyDescent="0.25">
      <c r="A492" s="13">
        <v>491</v>
      </c>
    </row>
    <row r="493" spans="1:1" x14ac:dyDescent="0.25">
      <c r="A493" s="13">
        <v>492</v>
      </c>
    </row>
    <row r="494" spans="1:1" x14ac:dyDescent="0.25">
      <c r="A494" s="13">
        <v>493</v>
      </c>
    </row>
    <row r="495" spans="1:1" x14ac:dyDescent="0.25">
      <c r="A495" s="13">
        <v>494</v>
      </c>
    </row>
    <row r="496" spans="1:1" x14ac:dyDescent="0.25">
      <c r="A496" s="13">
        <v>495</v>
      </c>
    </row>
    <row r="497" spans="1:1" x14ac:dyDescent="0.25">
      <c r="A497" s="13">
        <v>496</v>
      </c>
    </row>
    <row r="498" spans="1:1" x14ac:dyDescent="0.25">
      <c r="A498" s="13">
        <v>497</v>
      </c>
    </row>
    <row r="499" spans="1:1" x14ac:dyDescent="0.25">
      <c r="A499" s="13">
        <v>498</v>
      </c>
    </row>
    <row r="500" spans="1:1" x14ac:dyDescent="0.25">
      <c r="A500" s="13">
        <v>499</v>
      </c>
    </row>
    <row r="501" spans="1:1" x14ac:dyDescent="0.25">
      <c r="A501" s="13">
        <v>500</v>
      </c>
    </row>
    <row r="502" spans="1:1" x14ac:dyDescent="0.25">
      <c r="A502" s="13">
        <v>501</v>
      </c>
    </row>
    <row r="503" spans="1:1" x14ac:dyDescent="0.25">
      <c r="A503" s="13">
        <v>502</v>
      </c>
    </row>
    <row r="504" spans="1:1" x14ac:dyDescent="0.25">
      <c r="A504" s="13">
        <v>503</v>
      </c>
    </row>
    <row r="505" spans="1:1" x14ac:dyDescent="0.25">
      <c r="A505" s="13">
        <v>504</v>
      </c>
    </row>
    <row r="506" spans="1:1" x14ac:dyDescent="0.25">
      <c r="A506" s="13">
        <v>505</v>
      </c>
    </row>
    <row r="507" spans="1:1" x14ac:dyDescent="0.25">
      <c r="A507" s="13">
        <v>506</v>
      </c>
    </row>
    <row r="508" spans="1:1" x14ac:dyDescent="0.25">
      <c r="A508" s="13">
        <v>507</v>
      </c>
    </row>
    <row r="509" spans="1:1" x14ac:dyDescent="0.25">
      <c r="A509" s="13">
        <v>508</v>
      </c>
    </row>
    <row r="510" spans="1:1" x14ac:dyDescent="0.25">
      <c r="A510" s="13">
        <v>509</v>
      </c>
    </row>
    <row r="511" spans="1:1" x14ac:dyDescent="0.25">
      <c r="A511" s="13">
        <v>510</v>
      </c>
    </row>
    <row r="512" spans="1:1" x14ac:dyDescent="0.25">
      <c r="A512" s="13">
        <v>511</v>
      </c>
    </row>
    <row r="513" spans="1:1" x14ac:dyDescent="0.25">
      <c r="A513" s="13">
        <v>512</v>
      </c>
    </row>
    <row r="514" spans="1:1" x14ac:dyDescent="0.25">
      <c r="A514" s="13">
        <v>513</v>
      </c>
    </row>
    <row r="515" spans="1:1" x14ac:dyDescent="0.25">
      <c r="A515" s="13">
        <v>514</v>
      </c>
    </row>
    <row r="516" spans="1:1" x14ac:dyDescent="0.25">
      <c r="A516" s="13">
        <v>515</v>
      </c>
    </row>
    <row r="517" spans="1:1" x14ac:dyDescent="0.25">
      <c r="A517" s="13">
        <v>516</v>
      </c>
    </row>
    <row r="518" spans="1:1" x14ac:dyDescent="0.25">
      <c r="A518" s="13">
        <v>517</v>
      </c>
    </row>
    <row r="519" spans="1:1" x14ac:dyDescent="0.25">
      <c r="A519" s="13">
        <v>518</v>
      </c>
    </row>
    <row r="520" spans="1:1" x14ac:dyDescent="0.25">
      <c r="A520" s="13">
        <v>519</v>
      </c>
    </row>
    <row r="521" spans="1:1" x14ac:dyDescent="0.25">
      <c r="A521" s="13">
        <v>520</v>
      </c>
    </row>
    <row r="522" spans="1:1" x14ac:dyDescent="0.25">
      <c r="A522" s="13">
        <v>521</v>
      </c>
    </row>
    <row r="523" spans="1:1" x14ac:dyDescent="0.25">
      <c r="A523" s="13">
        <v>522</v>
      </c>
    </row>
    <row r="524" spans="1:1" x14ac:dyDescent="0.25">
      <c r="A524" s="13">
        <v>523</v>
      </c>
    </row>
    <row r="525" spans="1:1" x14ac:dyDescent="0.25">
      <c r="A525" s="13">
        <v>524</v>
      </c>
    </row>
    <row r="526" spans="1:1" x14ac:dyDescent="0.25">
      <c r="A526" s="13">
        <v>525</v>
      </c>
    </row>
    <row r="527" spans="1:1" x14ac:dyDescent="0.25">
      <c r="A527" s="13">
        <v>526</v>
      </c>
    </row>
    <row r="528" spans="1:1" x14ac:dyDescent="0.25">
      <c r="A528" s="13">
        <v>527</v>
      </c>
    </row>
    <row r="529" spans="1:1" x14ac:dyDescent="0.25">
      <c r="A529" s="13">
        <v>528</v>
      </c>
    </row>
    <row r="530" spans="1:1" x14ac:dyDescent="0.25">
      <c r="A530" s="13">
        <v>529</v>
      </c>
    </row>
    <row r="531" spans="1:1" x14ac:dyDescent="0.25">
      <c r="A531" s="13">
        <v>530</v>
      </c>
    </row>
    <row r="532" spans="1:1" x14ac:dyDescent="0.25">
      <c r="A532" s="13">
        <v>531</v>
      </c>
    </row>
    <row r="533" spans="1:1" x14ac:dyDescent="0.25">
      <c r="A533" s="13">
        <v>532</v>
      </c>
    </row>
    <row r="534" spans="1:1" x14ac:dyDescent="0.25">
      <c r="A534" s="13">
        <v>533</v>
      </c>
    </row>
    <row r="535" spans="1:1" x14ac:dyDescent="0.25">
      <c r="A535" s="13">
        <v>534</v>
      </c>
    </row>
    <row r="536" spans="1:1" x14ac:dyDescent="0.25">
      <c r="A536" s="13">
        <v>535</v>
      </c>
    </row>
    <row r="537" spans="1:1" x14ac:dyDescent="0.25">
      <c r="A537" s="13">
        <v>536</v>
      </c>
    </row>
    <row r="538" spans="1:1" x14ac:dyDescent="0.25">
      <c r="A538" s="13">
        <v>537</v>
      </c>
    </row>
    <row r="539" spans="1:1" x14ac:dyDescent="0.25">
      <c r="A539" s="13">
        <v>538</v>
      </c>
    </row>
    <row r="540" spans="1:1" x14ac:dyDescent="0.25">
      <c r="A540" s="13">
        <v>539</v>
      </c>
    </row>
    <row r="541" spans="1:1" x14ac:dyDescent="0.25">
      <c r="A541" s="13">
        <v>540</v>
      </c>
    </row>
    <row r="542" spans="1:1" x14ac:dyDescent="0.25">
      <c r="A542" s="13">
        <v>541</v>
      </c>
    </row>
    <row r="543" spans="1:1" x14ac:dyDescent="0.25">
      <c r="A543" s="13">
        <v>542</v>
      </c>
    </row>
    <row r="544" spans="1:1" x14ac:dyDescent="0.25">
      <c r="A544" s="13">
        <v>543</v>
      </c>
    </row>
    <row r="545" spans="1:1" x14ac:dyDescent="0.25">
      <c r="A545" s="13">
        <v>544</v>
      </c>
    </row>
    <row r="546" spans="1:1" x14ac:dyDescent="0.25">
      <c r="A546" s="13">
        <v>545</v>
      </c>
    </row>
    <row r="547" spans="1:1" x14ac:dyDescent="0.25">
      <c r="A547" s="13">
        <v>546</v>
      </c>
    </row>
    <row r="548" spans="1:1" x14ac:dyDescent="0.25">
      <c r="A548" s="13">
        <v>547</v>
      </c>
    </row>
    <row r="549" spans="1:1" x14ac:dyDescent="0.25">
      <c r="A549" s="13">
        <v>548</v>
      </c>
    </row>
    <row r="550" spans="1:1" x14ac:dyDescent="0.25">
      <c r="A550" s="13">
        <v>549</v>
      </c>
    </row>
    <row r="551" spans="1:1" x14ac:dyDescent="0.25">
      <c r="A551" s="13">
        <v>550</v>
      </c>
    </row>
    <row r="552" spans="1:1" x14ac:dyDescent="0.25">
      <c r="A552" s="13">
        <v>551</v>
      </c>
    </row>
    <row r="553" spans="1:1" x14ac:dyDescent="0.25">
      <c r="A553" s="13">
        <v>552</v>
      </c>
    </row>
    <row r="554" spans="1:1" x14ac:dyDescent="0.25">
      <c r="A554" s="13">
        <v>553</v>
      </c>
    </row>
    <row r="555" spans="1:1" x14ac:dyDescent="0.25">
      <c r="A555" s="13">
        <v>554</v>
      </c>
    </row>
    <row r="556" spans="1:1" x14ac:dyDescent="0.25">
      <c r="A556" s="13">
        <v>555</v>
      </c>
    </row>
    <row r="557" spans="1:1" x14ac:dyDescent="0.25">
      <c r="A557" s="13">
        <v>556</v>
      </c>
    </row>
    <row r="558" spans="1:1" x14ac:dyDescent="0.25">
      <c r="A558" s="13">
        <v>557</v>
      </c>
    </row>
    <row r="559" spans="1:1" x14ac:dyDescent="0.25">
      <c r="A559" s="13">
        <v>558</v>
      </c>
    </row>
    <row r="560" spans="1:1" x14ac:dyDescent="0.25">
      <c r="A560" s="13">
        <v>559</v>
      </c>
    </row>
    <row r="561" spans="1:1" x14ac:dyDescent="0.25">
      <c r="A561" s="13">
        <v>560</v>
      </c>
    </row>
    <row r="562" spans="1:1" x14ac:dyDescent="0.25">
      <c r="A562" s="13">
        <v>561</v>
      </c>
    </row>
    <row r="563" spans="1:1" x14ac:dyDescent="0.25">
      <c r="A563" s="13">
        <v>562</v>
      </c>
    </row>
    <row r="564" spans="1:1" x14ac:dyDescent="0.25">
      <c r="A564" s="13">
        <v>563</v>
      </c>
    </row>
    <row r="565" spans="1:1" x14ac:dyDescent="0.25">
      <c r="A565" s="13">
        <v>564</v>
      </c>
    </row>
    <row r="566" spans="1:1" x14ac:dyDescent="0.25">
      <c r="A566" s="13">
        <v>565</v>
      </c>
    </row>
    <row r="567" spans="1:1" x14ac:dyDescent="0.25">
      <c r="A567" s="13">
        <v>566</v>
      </c>
    </row>
    <row r="568" spans="1:1" x14ac:dyDescent="0.25">
      <c r="A568" s="13">
        <v>567</v>
      </c>
    </row>
    <row r="569" spans="1:1" x14ac:dyDescent="0.25">
      <c r="A569" s="13">
        <v>568</v>
      </c>
    </row>
    <row r="570" spans="1:1" x14ac:dyDescent="0.25">
      <c r="A570" s="13">
        <v>569</v>
      </c>
    </row>
    <row r="571" spans="1:1" x14ac:dyDescent="0.25">
      <c r="A571" s="13">
        <v>570</v>
      </c>
    </row>
    <row r="572" spans="1:1" x14ac:dyDescent="0.25">
      <c r="A572" s="13">
        <v>571</v>
      </c>
    </row>
    <row r="573" spans="1:1" x14ac:dyDescent="0.25">
      <c r="A573" s="13">
        <v>572</v>
      </c>
    </row>
    <row r="574" spans="1:1" x14ac:dyDescent="0.25">
      <c r="A574" s="13">
        <v>573</v>
      </c>
    </row>
    <row r="575" spans="1:1" x14ac:dyDescent="0.25">
      <c r="A575" s="13">
        <v>574</v>
      </c>
    </row>
    <row r="576" spans="1:1" x14ac:dyDescent="0.25">
      <c r="A576" s="13">
        <v>575</v>
      </c>
    </row>
    <row r="577" spans="1:1" x14ac:dyDescent="0.25">
      <c r="A577" s="13">
        <v>576</v>
      </c>
    </row>
    <row r="578" spans="1:1" x14ac:dyDescent="0.25">
      <c r="A578" s="13">
        <v>577</v>
      </c>
    </row>
    <row r="579" spans="1:1" x14ac:dyDescent="0.25">
      <c r="A579" s="13">
        <v>578</v>
      </c>
    </row>
    <row r="580" spans="1:1" x14ac:dyDescent="0.25">
      <c r="A580" s="13">
        <v>579</v>
      </c>
    </row>
    <row r="581" spans="1:1" x14ac:dyDescent="0.25">
      <c r="A581" s="13">
        <v>580</v>
      </c>
    </row>
    <row r="582" spans="1:1" x14ac:dyDescent="0.25">
      <c r="A582" s="13">
        <v>581</v>
      </c>
    </row>
    <row r="583" spans="1:1" x14ac:dyDescent="0.25">
      <c r="A583" s="13">
        <v>582</v>
      </c>
    </row>
    <row r="584" spans="1:1" x14ac:dyDescent="0.25">
      <c r="A584" s="13">
        <v>583</v>
      </c>
    </row>
    <row r="585" spans="1:1" x14ac:dyDescent="0.25">
      <c r="A585" s="13">
        <v>584</v>
      </c>
    </row>
    <row r="586" spans="1:1" x14ac:dyDescent="0.25">
      <c r="A586" s="13">
        <v>585</v>
      </c>
    </row>
    <row r="587" spans="1:1" x14ac:dyDescent="0.25">
      <c r="A587" s="13">
        <v>586</v>
      </c>
    </row>
    <row r="588" spans="1:1" x14ac:dyDescent="0.25">
      <c r="A588" s="13">
        <v>587</v>
      </c>
    </row>
    <row r="589" spans="1:1" x14ac:dyDescent="0.25">
      <c r="A589" s="13">
        <v>588</v>
      </c>
    </row>
    <row r="590" spans="1:1" x14ac:dyDescent="0.25">
      <c r="A590" s="13">
        <v>589</v>
      </c>
    </row>
    <row r="591" spans="1:1" x14ac:dyDescent="0.25">
      <c r="A591" s="13">
        <v>590</v>
      </c>
    </row>
    <row r="592" spans="1:1" x14ac:dyDescent="0.25">
      <c r="A592" s="13">
        <v>591</v>
      </c>
    </row>
    <row r="593" spans="1:1" x14ac:dyDescent="0.25">
      <c r="A593" s="13">
        <v>592</v>
      </c>
    </row>
    <row r="594" spans="1:1" x14ac:dyDescent="0.25">
      <c r="A594" s="13">
        <v>593</v>
      </c>
    </row>
    <row r="595" spans="1:1" x14ac:dyDescent="0.25">
      <c r="A595" s="13">
        <v>594</v>
      </c>
    </row>
    <row r="596" spans="1:1" x14ac:dyDescent="0.25">
      <c r="A596" s="13">
        <v>595</v>
      </c>
    </row>
    <row r="597" spans="1:1" x14ac:dyDescent="0.25">
      <c r="A597" s="13">
        <v>596</v>
      </c>
    </row>
    <row r="598" spans="1:1" x14ac:dyDescent="0.25">
      <c r="A598" s="13">
        <v>597</v>
      </c>
    </row>
    <row r="599" spans="1:1" x14ac:dyDescent="0.25">
      <c r="A599" s="13">
        <v>598</v>
      </c>
    </row>
    <row r="600" spans="1:1" x14ac:dyDescent="0.25">
      <c r="A600" s="13">
        <v>599</v>
      </c>
    </row>
    <row r="601" spans="1:1" x14ac:dyDescent="0.25">
      <c r="A601" s="13">
        <v>600</v>
      </c>
    </row>
    <row r="602" spans="1:1" x14ac:dyDescent="0.25">
      <c r="A602" s="13">
        <v>601</v>
      </c>
    </row>
    <row r="603" spans="1:1" x14ac:dyDescent="0.25">
      <c r="A603" s="13">
        <v>602</v>
      </c>
    </row>
    <row r="604" spans="1:1" x14ac:dyDescent="0.25">
      <c r="A604" s="13">
        <v>603</v>
      </c>
    </row>
  </sheetData>
  <pageMargins left="0.511811024" right="0.511811024" top="0.78740157499999996" bottom="0.78740157499999996" header="0.31496062000000002" footer="0.31496062000000002"/>
  <ignoredErrors>
    <ignoredError sqref="N352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3CDE-C054-4509-ACF9-EF7AA5BDBEE1}">
  <dimension ref="A1:B5"/>
  <sheetViews>
    <sheetView workbookViewId="0">
      <selection sqref="A1:XFD5"/>
    </sheetView>
  </sheetViews>
  <sheetFormatPr defaultRowHeight="15" x14ac:dyDescent="0.25"/>
  <sheetData>
    <row r="1" spans="1:2" s="3" customFormat="1" x14ac:dyDescent="0.25">
      <c r="A1" s="4" t="s">
        <v>21</v>
      </c>
      <c r="B1" s="4" t="s">
        <v>22</v>
      </c>
    </row>
    <row r="2" spans="1:2" s="3" customFormat="1" x14ac:dyDescent="0.25">
      <c r="A2" s="4">
        <v>1</v>
      </c>
      <c r="B2" s="4" t="s">
        <v>23</v>
      </c>
    </row>
    <row r="3" spans="1:2" s="3" customFormat="1" x14ac:dyDescent="0.25">
      <c r="A3" s="4">
        <v>2</v>
      </c>
      <c r="B3" s="9">
        <v>99</v>
      </c>
    </row>
    <row r="4" spans="1:2" s="3" customFormat="1" x14ac:dyDescent="0.25">
      <c r="A4" s="4">
        <v>3</v>
      </c>
      <c r="B4" s="4" t="s">
        <v>24</v>
      </c>
    </row>
    <row r="5" spans="1:2" s="3" customFormat="1" x14ac:dyDescent="0.25">
      <c r="A5" s="4">
        <v>4</v>
      </c>
      <c r="B5" s="4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4363-41CF-4281-AFE1-B65BB003B1EF}">
  <dimension ref="A1:C2"/>
  <sheetViews>
    <sheetView workbookViewId="0">
      <selection sqref="A1:XFD1048576"/>
    </sheetView>
  </sheetViews>
  <sheetFormatPr defaultRowHeight="15" x14ac:dyDescent="0.25"/>
  <cols>
    <col min="1" max="1" width="3.28515625" style="3" bestFit="1" customWidth="1"/>
    <col min="2" max="2" width="6.42578125" style="3" bestFit="1" customWidth="1"/>
    <col min="3" max="3" width="11" style="3" bestFit="1" customWidth="1"/>
    <col min="4" max="16384" width="9.140625" style="3"/>
  </cols>
  <sheetData>
    <row r="1" spans="1:3" s="7" customFormat="1" x14ac:dyDescent="0.25">
      <c r="A1" s="6" t="s">
        <v>21</v>
      </c>
      <c r="B1" s="4" t="s">
        <v>22</v>
      </c>
      <c r="C1" s="7" t="s">
        <v>43</v>
      </c>
    </row>
    <row r="2" spans="1:3" s="7" customFormat="1" x14ac:dyDescent="0.25">
      <c r="A2" s="8" t="s">
        <v>26</v>
      </c>
      <c r="B2" s="4" t="s">
        <v>27</v>
      </c>
      <c r="C2" s="7">
        <v>34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716BB-6C3D-453C-A7FC-A7DA8AAFF7A9}">
  <dimension ref="A1:G2"/>
  <sheetViews>
    <sheetView workbookViewId="0">
      <selection sqref="A1:XFD1048576"/>
    </sheetView>
  </sheetViews>
  <sheetFormatPr defaultRowHeight="15" x14ac:dyDescent="0.25"/>
  <cols>
    <col min="1" max="1" width="3.28515625" style="3" bestFit="1" customWidth="1"/>
    <col min="2" max="2" width="5" style="3" bestFit="1" customWidth="1"/>
    <col min="3" max="3" width="7.28515625" style="3" bestFit="1" customWidth="1"/>
    <col min="4" max="4" width="6.5703125" style="3" bestFit="1" customWidth="1"/>
    <col min="5" max="5" width="23.7109375" style="3" bestFit="1" customWidth="1"/>
    <col min="6" max="6" width="25.7109375" style="3" bestFit="1" customWidth="1"/>
    <col min="7" max="7" width="13.7109375" style="3" bestFit="1" customWidth="1"/>
    <col min="8" max="16384" width="9.140625" style="3"/>
  </cols>
  <sheetData>
    <row r="1" spans="1:7" s="5" customFormat="1" x14ac:dyDescent="0.25">
      <c r="A1" s="4" t="s">
        <v>21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</row>
    <row r="2" spans="1:7" s="5" customFormat="1" x14ac:dyDescent="0.25">
      <c r="A2" s="4">
        <v>1</v>
      </c>
      <c r="B2" s="4">
        <v>2016</v>
      </c>
      <c r="C2" s="4" t="s">
        <v>34</v>
      </c>
      <c r="D2" s="4" t="s">
        <v>35</v>
      </c>
      <c r="E2" s="4">
        <v>7.9</v>
      </c>
      <c r="F2" s="4">
        <v>12</v>
      </c>
      <c r="G2" s="4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A3F3B-7DA3-4570-A26A-4E4F2A018A4F}">
  <dimension ref="A1:B6"/>
  <sheetViews>
    <sheetView workbookViewId="0">
      <selection sqref="A1:B1"/>
    </sheetView>
  </sheetViews>
  <sheetFormatPr defaultRowHeight="15" x14ac:dyDescent="0.25"/>
  <cols>
    <col min="1" max="1" width="15" style="3" bestFit="1" customWidth="1"/>
    <col min="2" max="2" width="13.140625" style="3" bestFit="1" customWidth="1"/>
    <col min="3" max="16384" width="9.140625" style="3"/>
  </cols>
  <sheetData>
    <row r="1" spans="1:2" x14ac:dyDescent="0.25">
      <c r="A1" s="2" t="s">
        <v>6</v>
      </c>
      <c r="B1" s="2" t="s">
        <v>37</v>
      </c>
    </row>
    <row r="2" spans="1:2" x14ac:dyDescent="0.25">
      <c r="A2" s="4">
        <v>1</v>
      </c>
      <c r="B2" s="4" t="s">
        <v>38</v>
      </c>
    </row>
    <row r="3" spans="1:2" x14ac:dyDescent="0.25">
      <c r="A3" s="4">
        <v>2</v>
      </c>
      <c r="B3" s="4" t="s">
        <v>39</v>
      </c>
    </row>
    <row r="4" spans="1:2" x14ac:dyDescent="0.25">
      <c r="A4" s="4">
        <v>3</v>
      </c>
      <c r="B4" s="4" t="s">
        <v>40</v>
      </c>
    </row>
    <row r="5" spans="1:2" x14ac:dyDescent="0.25">
      <c r="A5" s="4">
        <v>4</v>
      </c>
      <c r="B5" s="4" t="s">
        <v>41</v>
      </c>
    </row>
    <row r="6" spans="1:2" x14ac:dyDescent="0.25">
      <c r="A6" s="4">
        <v>5</v>
      </c>
      <c r="B6" s="4" t="s">
        <v>42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Corrida</vt:lpstr>
      <vt:lpstr>Localidade</vt:lpstr>
      <vt:lpstr>Valor_Viagem</vt:lpstr>
      <vt:lpstr>Aplicativos</vt:lpstr>
      <vt:lpstr>Motoristas</vt:lpstr>
      <vt:lpstr>Carros</vt:lpstr>
      <vt:lpstr>Tipo de Pagamento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Renan Sousa</dc:creator>
  <cp:lastModifiedBy>Renan Sousa</cp:lastModifiedBy>
  <dcterms:created xsi:type="dcterms:W3CDTF">2026-01-26T22:50:10Z</dcterms:created>
  <dcterms:modified xsi:type="dcterms:W3CDTF">2026-04-21T13:54:08Z</dcterms:modified>
</cp:coreProperties>
</file>